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marianne_pena_ucr_ac_cr/Documents/cuenta personal/ucr pers/practica profesional/practica dengue/dengue-model/data/raw/"/>
    </mc:Choice>
  </mc:AlternateContent>
  <xr:revisionPtr revIDLastSave="130" documentId="11_F25DC773A252ABDACC104827C19B4C825ADE58E0" xr6:coauthVersionLast="47" xr6:coauthVersionMax="47" xr10:uidLastSave="{8C7E33E9-273B-498D-B407-57DABB968748}"/>
  <bookViews>
    <workbookView xWindow="-110" yWindow="-110" windowWidth="19420" windowHeight="11020" activeTab="1" xr2:uid="{00000000-000D-0000-FFFF-FFFF00000000}"/>
  </bookViews>
  <sheets>
    <sheet name="anual" sheetId="1" r:id="rId1"/>
    <sheet name="constants" sheetId="4" r:id="rId2"/>
    <sheet name="sour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4" l="1"/>
  <c r="D86" i="4"/>
  <c r="E86" i="4"/>
  <c r="D86" i="1"/>
  <c r="E86" i="1"/>
  <c r="F86" i="1"/>
  <c r="G86" i="1"/>
  <c r="H86" i="1"/>
  <c r="I86" i="1"/>
  <c r="J86" i="1"/>
  <c r="C86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2" i="4"/>
  <c r="M3" i="1"/>
  <c r="D2" i="4"/>
  <c r="M2" i="1"/>
  <c r="E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3" i="4"/>
  <c r="E2" i="4"/>
  <c r="M5" i="1"/>
  <c r="M4" i="1" l="1"/>
  <c r="M6" i="1" s="1"/>
</calcChain>
</file>

<file path=xl/sharedStrings.xml><?xml version="1.0" encoding="utf-8"?>
<sst xmlns="http://schemas.openxmlformats.org/spreadsheetml/2006/main" count="184" uniqueCount="94">
  <si>
    <t>https://admin.inec.cr/sites/default/files/2025-10/repoblaceppsubnaciopanelregionesmideplan2000-2050.xlsx</t>
  </si>
  <si>
    <t>Estimaciones y proyecciones subnacionales de población 2000 - 2050. Regiones de planificación: panel interactivo</t>
  </si>
  <si>
    <t>canton</t>
  </si>
  <si>
    <t>San José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</si>
  <si>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</si>
  <si>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</si>
  <si>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</si>
  <si>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</si>
  <si>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</si>
  <si>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</si>
  <si>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</si>
  <si>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</si>
  <si>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</si>
  <si>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Vásquez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</si>
  <si>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</si>
  <si>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</si>
  <si>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</si>
  <si>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</si>
  <si>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</si>
  <si>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</si>
  <si>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</si>
  <si>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</si>
  <si>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</si>
  <si>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</si>
  <si>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</si>
  <si>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</si>
  <si>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</si>
  <si>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</si>
  <si>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</si>
  <si>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</si>
  <si>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</si>
  <si>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</si>
  <si>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</si>
  <si>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</si>
  <si>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Valverde Vega</t>
  </si>
  <si>
    <t>Upala</t>
  </si>
  <si>
    <t>Los Chiles</t>
  </si>
  <si>
    <t>Guatuso</t>
  </si>
  <si>
    <t>Río Cuarto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</si>
  <si>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</si>
  <si>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</si>
  <si>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</si>
  <si>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</si>
  <si>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</si>
  <si>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</si>
  <si>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</si>
  <si>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</si>
  <si>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</si>
  <si>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</si>
  <si>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</si>
  <si>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</si>
  <si>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</si>
  <si>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</si>
  <si>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</si>
  <si>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</si>
  <si>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</si>
  <si>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</si>
  <si>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</si>
  <si>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</si>
  <si>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</si>
  <si>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</si>
  <si>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</si>
  <si>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</si>
  <si>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</si>
  <si>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</si>
  <si>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</si>
  <si>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</si>
  <si>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</si>
  <si>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</si>
  <si>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</si>
  <si>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 xml:space="preserve">Buenos Aires 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</si>
  <si>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</si>
  <si>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</si>
  <si>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</si>
  <si>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</si>
  <si>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</si>
  <si>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</si>
  <si>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</si>
  <si>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</si>
  <si>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</si>
  <si>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Puerto Jiménez</t>
  </si>
  <si>
    <t>Limón</t>
  </si>
  <si>
    <t>Pococí</t>
  </si>
  <si>
    <t>Siquirres</t>
  </si>
  <si>
    <t>Talamanca</t>
  </si>
  <si>
    <t>Matina</t>
  </si>
  <si>
    <t xml:space="preserve">Guácimo </t>
  </si>
  <si>
    <t>codigo</t>
  </si>
  <si>
    <t>t</t>
  </si>
  <si>
    <t>n0</t>
  </si>
  <si>
    <t>r</t>
  </si>
  <si>
    <t>fms_2026</t>
  </si>
  <si>
    <t>fms_2019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</si>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</sst>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Open Sans Condense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2" fontId="0" fillId="0" borderId="0" xfId="0" applyNumberFormat="1"/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opLeftCell="A67" workbookViewId="0">
      <selection activeCell="C86" sqref="C86:J86"/>
    </sheetView>
  </sheetViews>
  <sheetFormatPr baseColWidth="10" defaultColWidth="8.7265625" defaultRowHeight="14.5"/>
  <sheetData>
    <row r="1" spans="1:13">
      <c r="A1" t="s">
        <v>87</v>
      </c>
      <c r="B1" t="s">
        <v>2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</row>
    <row r="2" spans="1:13">
      <c r="A2" s="2">
        <v>101</v>
      </c>
      <c r="B2" s="2" t="s">
        <v>3</v>
      </c>
      <c r="C2" s="2">
        <v>347692.45856501424</v>
      </c>
      <c r="D2">
        <v>348650.26776199462</v>
      </c>
      <c r="E2">
        <v>349339.04667269776</v>
      </c>
      <c r="F2">
        <v>350104.59507527098</v>
      </c>
      <c r="G2">
        <v>351263.9721048784</v>
      </c>
      <c r="H2">
        <v>352298.48491473496</v>
      </c>
      <c r="I2">
        <v>353209.46325169969</v>
      </c>
      <c r="J2">
        <v>354025.91533710225</v>
      </c>
      <c r="L2" t="s">
        <v>92</v>
      </c>
      <c r="M2">
        <f>(2019-1900)*12 + 6</f>
        <v>1434</v>
      </c>
    </row>
    <row r="3" spans="1:13">
      <c r="A3" s="2">
        <v>102</v>
      </c>
      <c r="B3" s="2" t="s">
        <v>4</v>
      </c>
      <c r="C3" s="2">
        <v>69342.771863127593</v>
      </c>
      <c r="D3">
        <v>69663.114948175615</v>
      </c>
      <c r="E3">
        <v>69932.998700149314</v>
      </c>
      <c r="F3">
        <v>70222.770585836843</v>
      </c>
      <c r="G3">
        <v>70578.009000896476</v>
      </c>
      <c r="H3">
        <v>70903.348646243947</v>
      </c>
      <c r="I3">
        <v>71200.542216543472</v>
      </c>
      <c r="J3">
        <v>71474.761565909546</v>
      </c>
      <c r="L3" t="s">
        <v>91</v>
      </c>
      <c r="M3">
        <f>(2026-1900)*12 + 6</f>
        <v>1518</v>
      </c>
    </row>
    <row r="4" spans="1:13">
      <c r="A4" s="2">
        <v>103</v>
      </c>
      <c r="B4" s="2" t="s">
        <v>5</v>
      </c>
      <c r="C4" s="2">
        <v>238762.28232309327</v>
      </c>
      <c r="D4">
        <v>239941.16013864966</v>
      </c>
      <c r="E4">
        <v>240923.14706299681</v>
      </c>
      <c r="F4">
        <v>241942.39958240004</v>
      </c>
      <c r="G4">
        <v>243115.78926006326</v>
      </c>
      <c r="H4">
        <v>244173.39648955272</v>
      </c>
      <c r="I4">
        <v>245126.15066931135</v>
      </c>
      <c r="J4">
        <v>245996.11040902205</v>
      </c>
      <c r="L4" t="s">
        <v>88</v>
      </c>
      <c r="M4">
        <f>(M3-M2)/12</f>
        <v>7</v>
      </c>
    </row>
    <row r="5" spans="1:13">
      <c r="A5" s="2">
        <v>104</v>
      </c>
      <c r="B5" s="2" t="s">
        <v>6</v>
      </c>
      <c r="C5" s="2">
        <v>38240.587050800503</v>
      </c>
      <c r="D5">
        <v>38421.960299402584</v>
      </c>
      <c r="E5">
        <v>38568.634173293307</v>
      </c>
      <c r="F5">
        <v>38715.677630372593</v>
      </c>
      <c r="G5">
        <v>38901.008901812573</v>
      </c>
      <c r="H5">
        <v>39069.282619475838</v>
      </c>
      <c r="I5">
        <v>39220.055612267999</v>
      </c>
      <c r="J5">
        <v>39356.469591736779</v>
      </c>
      <c r="L5" t="s">
        <v>89</v>
      </c>
      <c r="M5">
        <f>D2</f>
        <v>348650.26776199462</v>
      </c>
    </row>
    <row r="6" spans="1:13">
      <c r="A6" s="2">
        <v>105</v>
      </c>
      <c r="B6" s="2" t="s">
        <v>7</v>
      </c>
      <c r="C6" s="2">
        <v>17842.632764587546</v>
      </c>
      <c r="D6">
        <v>17878.272285328087</v>
      </c>
      <c r="E6">
        <v>17897.748320028411</v>
      </c>
      <c r="F6">
        <v>17923.38413421424</v>
      </c>
      <c r="G6">
        <v>17960.588407250198</v>
      </c>
      <c r="H6">
        <v>17990.175683094181</v>
      </c>
      <c r="I6">
        <v>18013.482305817812</v>
      </c>
      <c r="J6">
        <v>18032.365445277799</v>
      </c>
      <c r="L6" t="s">
        <v>90</v>
      </c>
      <c r="M6">
        <f>((I2-D2)/M4)/D2</f>
        <v>1.868100218500498E-3</v>
      </c>
    </row>
    <row r="7" spans="1:13">
      <c r="A7" s="2">
        <v>106</v>
      </c>
      <c r="B7" s="2" t="s">
        <v>8</v>
      </c>
      <c r="C7" s="2">
        <v>61640.79175785082</v>
      </c>
      <c r="D7">
        <v>61883.568498730587</v>
      </c>
      <c r="E7">
        <v>62072.626309008207</v>
      </c>
      <c r="F7">
        <v>62267.764483050909</v>
      </c>
      <c r="G7">
        <v>62493.158179910475</v>
      </c>
      <c r="H7">
        <v>62687.94861109223</v>
      </c>
      <c r="I7">
        <v>62855.088364956522</v>
      </c>
      <c r="J7">
        <v>63000.9997631515</v>
      </c>
    </row>
    <row r="8" spans="1:13">
      <c r="A8" s="2">
        <v>107</v>
      </c>
      <c r="B8" s="2" t="s">
        <v>9</v>
      </c>
      <c r="C8" s="2">
        <v>28301.543605497558</v>
      </c>
      <c r="D8">
        <v>28393.757699522528</v>
      </c>
      <c r="E8">
        <v>28464.244506693845</v>
      </c>
      <c r="F8">
        <v>28542.910569431908</v>
      </c>
      <c r="G8">
        <v>28643.998829167758</v>
      </c>
      <c r="H8">
        <v>28730.995251532746</v>
      </c>
      <c r="I8">
        <v>28803.961020641738</v>
      </c>
      <c r="J8">
        <v>28864.910083762261</v>
      </c>
    </row>
    <row r="9" spans="1:13">
      <c r="A9" s="2">
        <v>108</v>
      </c>
      <c r="B9" s="2" t="s">
        <v>10</v>
      </c>
      <c r="C9" s="2">
        <v>137108.97722321076</v>
      </c>
      <c r="D9">
        <v>137672.80834832694</v>
      </c>
      <c r="E9">
        <v>138122.72983772951</v>
      </c>
      <c r="F9">
        <v>138587.59880102781</v>
      </c>
      <c r="G9">
        <v>139178.941327529</v>
      </c>
      <c r="H9">
        <v>139708.29743037571</v>
      </c>
      <c r="I9">
        <v>140178.35169281636</v>
      </c>
      <c r="J9">
        <v>140600.04200111047</v>
      </c>
    </row>
    <row r="10" spans="1:13">
      <c r="A10" s="2">
        <v>109</v>
      </c>
      <c r="B10" s="2" t="s">
        <v>11</v>
      </c>
      <c r="C10" s="2">
        <v>59327.717623552853</v>
      </c>
      <c r="D10">
        <v>59822.431110027013</v>
      </c>
      <c r="E10">
        <v>60272.377695399111</v>
      </c>
      <c r="F10">
        <v>60734.269442776786</v>
      </c>
      <c r="G10">
        <v>61233.088401521338</v>
      </c>
      <c r="H10">
        <v>61701.00872591394</v>
      </c>
      <c r="I10">
        <v>62139.491398308237</v>
      </c>
      <c r="J10">
        <v>62553.128540349266</v>
      </c>
    </row>
    <row r="11" spans="1:13">
      <c r="A11" s="2">
        <v>110</v>
      </c>
      <c r="B11" s="2" t="s">
        <v>12</v>
      </c>
      <c r="C11" s="2">
        <v>92686.07744882835</v>
      </c>
      <c r="D11">
        <v>93533.113766653201</v>
      </c>
      <c r="E11">
        <v>94301.416973208688</v>
      </c>
      <c r="F11">
        <v>95083.403457660723</v>
      </c>
      <c r="G11">
        <v>95915.376765816865</v>
      </c>
      <c r="H11">
        <v>96711.644197366681</v>
      </c>
      <c r="I11">
        <v>97473.905989773746</v>
      </c>
      <c r="J11">
        <v>98211.040186110244</v>
      </c>
    </row>
    <row r="12" spans="1:13">
      <c r="A12" s="2">
        <v>111</v>
      </c>
      <c r="B12" s="2" t="s">
        <v>13</v>
      </c>
      <c r="C12" s="2">
        <v>69754.925417826904</v>
      </c>
      <c r="D12">
        <v>70175.7090596669</v>
      </c>
      <c r="E12">
        <v>70538.428465424542</v>
      </c>
      <c r="F12">
        <v>70903.402855229433</v>
      </c>
      <c r="G12">
        <v>71311.983025863214</v>
      </c>
      <c r="H12">
        <v>71683.875584654554</v>
      </c>
      <c r="I12">
        <v>72019.910306833015</v>
      </c>
      <c r="J12">
        <v>72325.11473412234</v>
      </c>
    </row>
    <row r="13" spans="1:13">
      <c r="A13" s="2">
        <v>112</v>
      </c>
      <c r="B13" s="2" t="s">
        <v>14</v>
      </c>
      <c r="C13" s="2">
        <v>21699.266475138473</v>
      </c>
      <c r="D13">
        <v>21764.944155832291</v>
      </c>
      <c r="E13">
        <v>21811.348623408179</v>
      </c>
      <c r="F13">
        <v>21849.632913148314</v>
      </c>
      <c r="G13">
        <v>21904.66063096351</v>
      </c>
      <c r="H13">
        <v>21955.102915877673</v>
      </c>
      <c r="I13">
        <v>21997.38940758512</v>
      </c>
      <c r="J13">
        <v>22033.699211611452</v>
      </c>
    </row>
    <row r="14" spans="1:13">
      <c r="A14" s="2">
        <v>113</v>
      </c>
      <c r="B14" s="2" t="s">
        <v>15</v>
      </c>
      <c r="C14" s="2">
        <v>83692.119332512375</v>
      </c>
      <c r="D14">
        <v>83998.517424313904</v>
      </c>
      <c r="E14">
        <v>84236.168027706211</v>
      </c>
      <c r="F14">
        <v>84484.783081906207</v>
      </c>
      <c r="G14">
        <v>84822.02859859429</v>
      </c>
      <c r="H14">
        <v>85124.036623393782</v>
      </c>
      <c r="I14">
        <v>85392.370603254356</v>
      </c>
      <c r="J14">
        <v>85632.378177672275</v>
      </c>
    </row>
    <row r="15" spans="1:13">
      <c r="A15" s="2">
        <v>114</v>
      </c>
      <c r="B15" s="2" t="s">
        <v>16</v>
      </c>
      <c r="C15" s="2">
        <v>61121.852323967265</v>
      </c>
      <c r="D15">
        <v>61238.103433980854</v>
      </c>
      <c r="E15">
        <v>61298.587848090203</v>
      </c>
      <c r="F15">
        <v>61367.782723700424</v>
      </c>
      <c r="G15">
        <v>61491.496604305343</v>
      </c>
      <c r="H15">
        <v>61582.775444982355</v>
      </c>
      <c r="I15">
        <v>61644.597169963599</v>
      </c>
      <c r="J15">
        <v>61682.076522276198</v>
      </c>
    </row>
    <row r="16" spans="1:13">
      <c r="A16" s="2">
        <v>115</v>
      </c>
      <c r="B16" s="2" t="s">
        <v>17</v>
      </c>
      <c r="C16" s="2">
        <v>61401.434959428974</v>
      </c>
      <c r="D16">
        <v>61375.276335137969</v>
      </c>
      <c r="E16">
        <v>61300.468279927358</v>
      </c>
      <c r="F16">
        <v>61222.141856896531</v>
      </c>
      <c r="G16">
        <v>61219.858850544522</v>
      </c>
      <c r="H16">
        <v>61195.410989207507</v>
      </c>
      <c r="I16">
        <v>61146.352160207112</v>
      </c>
      <c r="J16">
        <v>61075.892410603818</v>
      </c>
    </row>
    <row r="17" spans="1:10">
      <c r="A17" s="2">
        <v>116</v>
      </c>
      <c r="B17" s="2" t="s">
        <v>18</v>
      </c>
      <c r="C17" s="2">
        <v>7122.4202578776185</v>
      </c>
      <c r="D17">
        <v>7170.1754347307342</v>
      </c>
      <c r="E17">
        <v>7212.3979329465437</v>
      </c>
      <c r="F17">
        <v>7254.2415825412281</v>
      </c>
      <c r="G17">
        <v>7302.8764961520719</v>
      </c>
      <c r="H17">
        <v>7350.5904790897384</v>
      </c>
      <c r="I17">
        <v>7396.7790093970725</v>
      </c>
      <c r="J17">
        <v>7441.7734689290855</v>
      </c>
    </row>
    <row r="18" spans="1:10">
      <c r="A18" s="2">
        <v>117</v>
      </c>
      <c r="B18" s="2" t="s">
        <v>19</v>
      </c>
      <c r="C18" s="2">
        <v>7759.3518669735276</v>
      </c>
      <c r="D18">
        <v>7771.0898506151243</v>
      </c>
      <c r="E18">
        <v>7775.0709125525045</v>
      </c>
      <c r="F18">
        <v>7780.3058970269703</v>
      </c>
      <c r="G18">
        <v>7790.8950646987632</v>
      </c>
      <c r="H18">
        <v>7798.4513862083104</v>
      </c>
      <c r="I18">
        <v>7803.6642829068005</v>
      </c>
      <c r="J18">
        <v>7807.6578448189439</v>
      </c>
    </row>
    <row r="19" spans="1:10">
      <c r="A19" s="2">
        <v>118</v>
      </c>
      <c r="B19" s="2" t="s">
        <v>20</v>
      </c>
      <c r="C19" s="2">
        <v>78069.636218031286</v>
      </c>
      <c r="D19">
        <v>78334.0228650551</v>
      </c>
      <c r="E19">
        <v>78531.415261871181</v>
      </c>
      <c r="F19">
        <v>78738.301687846397</v>
      </c>
      <c r="G19">
        <v>79005.003483688983</v>
      </c>
      <c r="H19">
        <v>79242.061353111261</v>
      </c>
      <c r="I19">
        <v>79446.274221882064</v>
      </c>
      <c r="J19">
        <v>79626.799403917961</v>
      </c>
    </row>
    <row r="20" spans="1:10">
      <c r="A20" s="2">
        <v>119</v>
      </c>
      <c r="B20" s="2" t="s">
        <v>21</v>
      </c>
      <c r="C20" s="2">
        <v>135629.67197663515</v>
      </c>
      <c r="D20">
        <v>135309.07544926539</v>
      </c>
      <c r="E20">
        <v>134888.72037859319</v>
      </c>
      <c r="F20">
        <v>134518.01828420689</v>
      </c>
      <c r="G20">
        <v>134255.78545538278</v>
      </c>
      <c r="H20">
        <v>133935.42470404663</v>
      </c>
      <c r="I20">
        <v>133565.67129016059</v>
      </c>
      <c r="J20">
        <v>133160.3949137585</v>
      </c>
    </row>
    <row r="21" spans="1:10">
      <c r="A21" s="2">
        <v>120</v>
      </c>
      <c r="B21" s="2" t="s">
        <v>22</v>
      </c>
      <c r="C21" s="2">
        <v>13110.005500423718</v>
      </c>
      <c r="D21">
        <v>13183.729133336852</v>
      </c>
      <c r="E21">
        <v>13246.651403262656</v>
      </c>
      <c r="F21">
        <v>13307.452314695878</v>
      </c>
      <c r="G21">
        <v>13378.597120763712</v>
      </c>
      <c r="H21">
        <v>13444.785001561391</v>
      </c>
      <c r="I21">
        <v>13504.034766530447</v>
      </c>
      <c r="J21">
        <v>13556.817088881977</v>
      </c>
    </row>
    <row r="22" spans="1:10">
      <c r="A22" s="2">
        <v>201</v>
      </c>
      <c r="B22" s="2" t="s">
        <v>23</v>
      </c>
      <c r="C22" s="2">
        <v>313360.92561695981</v>
      </c>
      <c r="D22">
        <v>315839.75372438796</v>
      </c>
      <c r="E22">
        <v>318088.6440784554</v>
      </c>
      <c r="F22">
        <v>320443.52220739354</v>
      </c>
      <c r="G22">
        <v>323050.18841104687</v>
      </c>
      <c r="H22">
        <v>325535.31436990644</v>
      </c>
      <c r="I22">
        <v>327910.92507413734</v>
      </c>
      <c r="J22">
        <v>330205.17742366367</v>
      </c>
    </row>
    <row r="23" spans="1:10">
      <c r="A23" s="2">
        <v>202</v>
      </c>
      <c r="B23" s="2" t="s">
        <v>24</v>
      </c>
      <c r="C23" s="2">
        <v>89238.4691379383</v>
      </c>
      <c r="D23">
        <v>89751.117726494733</v>
      </c>
      <c r="E23">
        <v>90222.592378455636</v>
      </c>
      <c r="F23">
        <v>90734.977236801933</v>
      </c>
      <c r="G23">
        <v>91347.60438278153</v>
      </c>
      <c r="H23">
        <v>91936.254256840053</v>
      </c>
      <c r="I23">
        <v>92499.330742835184</v>
      </c>
      <c r="J23">
        <v>93040.45987959209</v>
      </c>
    </row>
    <row r="24" spans="1:10">
      <c r="A24" s="2">
        <v>203</v>
      </c>
      <c r="B24" s="2" t="s">
        <v>25</v>
      </c>
      <c r="C24" s="2">
        <v>77877.077161967609</v>
      </c>
      <c r="D24">
        <v>78403.786442124343</v>
      </c>
      <c r="E24">
        <v>78869.704837408732</v>
      </c>
      <c r="F24">
        <v>79353.711624637595</v>
      </c>
      <c r="G24">
        <v>79903.351358818385</v>
      </c>
      <c r="H24">
        <v>80425.377734916896</v>
      </c>
      <c r="I24">
        <v>80918.034030608338</v>
      </c>
      <c r="J24">
        <v>81388.212901806168</v>
      </c>
    </row>
    <row r="25" spans="1:10">
      <c r="A25" s="2">
        <v>204</v>
      </c>
      <c r="B25" s="2" t="s">
        <v>26</v>
      </c>
      <c r="C25" s="2">
        <v>7320.929017146681</v>
      </c>
      <c r="D25">
        <v>7361.0757416480046</v>
      </c>
      <c r="E25">
        <v>7394.6359396497583</v>
      </c>
      <c r="F25">
        <v>7426.0700961330249</v>
      </c>
      <c r="G25">
        <v>7466.9570767604164</v>
      </c>
      <c r="H25">
        <v>7506.6766861686046</v>
      </c>
      <c r="I25">
        <v>7544.0483142238791</v>
      </c>
      <c r="J25">
        <v>7579.5317810666347</v>
      </c>
    </row>
    <row r="26" spans="1:10">
      <c r="A26" s="2">
        <v>205</v>
      </c>
      <c r="B26" s="2" t="s">
        <v>27</v>
      </c>
      <c r="C26" s="2">
        <v>29541.082982532505</v>
      </c>
      <c r="D26">
        <v>29717.805638599453</v>
      </c>
      <c r="E26">
        <v>29868.143157312552</v>
      </c>
      <c r="F26">
        <v>30023.04436437945</v>
      </c>
      <c r="G26">
        <v>30211.450794485689</v>
      </c>
      <c r="H26">
        <v>30387.010915394148</v>
      </c>
      <c r="I26">
        <v>30549.631443968738</v>
      </c>
      <c r="J26">
        <v>30700.887241410855</v>
      </c>
    </row>
    <row r="27" spans="1:10">
      <c r="A27" s="2">
        <v>206</v>
      </c>
      <c r="B27" s="2" t="s">
        <v>28</v>
      </c>
      <c r="C27" s="2">
        <v>48765.107980937304</v>
      </c>
      <c r="D27">
        <v>49043.284590456722</v>
      </c>
      <c r="E27">
        <v>49281.803857867621</v>
      </c>
      <c r="F27">
        <v>49533.390797896165</v>
      </c>
      <c r="G27">
        <v>49824.75609697136</v>
      </c>
      <c r="H27">
        <v>50096.694959167653</v>
      </c>
      <c r="I27">
        <v>50352.177965831739</v>
      </c>
      <c r="J27">
        <v>50596.002008162366</v>
      </c>
    </row>
    <row r="28" spans="1:10">
      <c r="A28" s="2">
        <v>207</v>
      </c>
      <c r="B28" s="2" t="s">
        <v>29</v>
      </c>
      <c r="C28" s="2">
        <v>40963.256483213729</v>
      </c>
      <c r="D28">
        <v>41276.89223737485</v>
      </c>
      <c r="E28">
        <v>41554.634450873666</v>
      </c>
      <c r="F28">
        <v>41836.698631271211</v>
      </c>
      <c r="G28">
        <v>42154.899824518216</v>
      </c>
      <c r="H28">
        <v>42451.974203365389</v>
      </c>
      <c r="I28">
        <v>42728.058070289349</v>
      </c>
      <c r="J28">
        <v>42985.942364186834</v>
      </c>
    </row>
    <row r="29" spans="1:10">
      <c r="A29" s="2">
        <v>208</v>
      </c>
      <c r="B29" s="2" t="s">
        <v>30</v>
      </c>
      <c r="C29" s="2">
        <v>33882.600982043499</v>
      </c>
      <c r="D29">
        <v>34176.470268437144</v>
      </c>
      <c r="E29">
        <v>34445.219792297896</v>
      </c>
      <c r="F29">
        <v>34724.767891031428</v>
      </c>
      <c r="G29">
        <v>35031.420491939141</v>
      </c>
      <c r="H29">
        <v>35326.388041990387</v>
      </c>
      <c r="I29">
        <v>35610.729045535874</v>
      </c>
      <c r="J29">
        <v>35887.50629408886</v>
      </c>
    </row>
    <row r="30" spans="1:10">
      <c r="A30" s="2">
        <v>209</v>
      </c>
      <c r="B30" s="2" t="s">
        <v>31</v>
      </c>
      <c r="C30" s="2">
        <v>23883.945695728271</v>
      </c>
      <c r="D30">
        <v>24108.793118878952</v>
      </c>
      <c r="E30">
        <v>24314.980402740177</v>
      </c>
      <c r="F30">
        <v>24529.190363262773</v>
      </c>
      <c r="G30">
        <v>24765.852742959367</v>
      </c>
      <c r="H30">
        <v>24995.111360903808</v>
      </c>
      <c r="I30">
        <v>25216.704662382457</v>
      </c>
      <c r="J30">
        <v>25432.670833095552</v>
      </c>
    </row>
    <row r="31" spans="1:10">
      <c r="A31" s="2">
        <v>210</v>
      </c>
      <c r="B31" s="2" t="s">
        <v>32</v>
      </c>
      <c r="C31" s="2">
        <v>200446.33903553456</v>
      </c>
      <c r="D31">
        <v>202460.44574270881</v>
      </c>
      <c r="E31">
        <v>204279.69378021406</v>
      </c>
      <c r="F31">
        <v>206137.18581285374</v>
      </c>
      <c r="G31">
        <v>208090.04377414947</v>
      </c>
      <c r="H31">
        <v>209952.36142776033</v>
      </c>
      <c r="I31">
        <v>211734.55657996901</v>
      </c>
      <c r="J31">
        <v>213462.05760644379</v>
      </c>
    </row>
    <row r="32" spans="1:10">
      <c r="A32" s="2">
        <v>211</v>
      </c>
      <c r="B32" s="2" t="s">
        <v>33</v>
      </c>
      <c r="C32" s="2">
        <v>14410.500892204112</v>
      </c>
      <c r="D32">
        <v>14491.923034722011</v>
      </c>
      <c r="E32">
        <v>14558.853311469073</v>
      </c>
      <c r="F32">
        <v>14625.908688425683</v>
      </c>
      <c r="G32">
        <v>14702.808933728729</v>
      </c>
      <c r="H32">
        <v>14775.258891729212</v>
      </c>
      <c r="I32">
        <v>14842.218408954172</v>
      </c>
      <c r="J32">
        <v>14905.718577626563</v>
      </c>
    </row>
    <row r="33" spans="1:10">
      <c r="A33" s="2">
        <v>212</v>
      </c>
      <c r="B33" s="2" t="s">
        <v>34</v>
      </c>
      <c r="C33" s="2">
        <v>22165.483844052134</v>
      </c>
      <c r="D33">
        <v>22286.742297299294</v>
      </c>
      <c r="E33">
        <v>22389.893596095448</v>
      </c>
      <c r="F33">
        <v>22495.123697400486</v>
      </c>
      <c r="G33">
        <v>22618.636118456088</v>
      </c>
      <c r="H33">
        <v>22736.141499495548</v>
      </c>
      <c r="I33">
        <v>22845.901334634611</v>
      </c>
      <c r="J33">
        <v>22949.724314421946</v>
      </c>
    </row>
    <row r="34" spans="1:10">
      <c r="A34" s="2">
        <v>213</v>
      </c>
      <c r="B34" s="2" t="s">
        <v>35</v>
      </c>
      <c r="C34" s="2">
        <v>54442.633617922635</v>
      </c>
      <c r="D34">
        <v>54914.484400481932</v>
      </c>
      <c r="E34">
        <v>55327.380185659931</v>
      </c>
      <c r="F34">
        <v>55742.077547918117</v>
      </c>
      <c r="G34">
        <v>56183.300785400308</v>
      </c>
      <c r="H34">
        <v>56595.672709340695</v>
      </c>
      <c r="I34">
        <v>56979.646899505606</v>
      </c>
      <c r="J34">
        <v>57342.204427995886</v>
      </c>
    </row>
    <row r="35" spans="1:10">
      <c r="A35" s="2">
        <v>214</v>
      </c>
      <c r="B35" s="2" t="s">
        <v>36</v>
      </c>
      <c r="C35" s="2">
        <v>34045.178955669733</v>
      </c>
      <c r="D35">
        <v>34613.322333999757</v>
      </c>
      <c r="E35">
        <v>35155.569166521127</v>
      </c>
      <c r="F35">
        <v>35705.867328374829</v>
      </c>
      <c r="G35">
        <v>36273.280770196085</v>
      </c>
      <c r="H35">
        <v>36830.329542730105</v>
      </c>
      <c r="I35">
        <v>37377.746291319643</v>
      </c>
      <c r="J35">
        <v>37920.982549846267</v>
      </c>
    </row>
    <row r="36" spans="1:10">
      <c r="A36" s="2">
        <v>215</v>
      </c>
      <c r="B36" s="2" t="s">
        <v>37</v>
      </c>
      <c r="C36" s="2">
        <v>19166.649236339777</v>
      </c>
      <c r="D36">
        <v>19321.120454714626</v>
      </c>
      <c r="E36">
        <v>19455.622382527719</v>
      </c>
      <c r="F36">
        <v>19591.597665289206</v>
      </c>
      <c r="G36">
        <v>19734.915436377654</v>
      </c>
      <c r="H36">
        <v>19867.643638997855</v>
      </c>
      <c r="I36">
        <v>19990.282694789319</v>
      </c>
      <c r="J36">
        <v>20105.116140972168</v>
      </c>
    </row>
    <row r="37" spans="1:10">
      <c r="A37" s="2">
        <v>216</v>
      </c>
      <c r="B37" s="2" t="s">
        <v>38</v>
      </c>
      <c r="C37" s="2">
        <v>16589.593831471066</v>
      </c>
      <c r="D37">
        <v>16827.182967563109</v>
      </c>
      <c r="E37">
        <v>17051.788503922038</v>
      </c>
      <c r="F37">
        <v>17287.301265290902</v>
      </c>
      <c r="G37">
        <v>17535.050964030685</v>
      </c>
      <c r="H37">
        <v>17781.490271297116</v>
      </c>
      <c r="I37">
        <v>18028.854551626591</v>
      </c>
      <c r="J37">
        <v>18280.858485204506</v>
      </c>
    </row>
    <row r="38" spans="1:10">
      <c r="A38" s="2">
        <v>301</v>
      </c>
      <c r="B38" s="2" t="s">
        <v>39</v>
      </c>
      <c r="C38" s="2">
        <v>160800.54777507891</v>
      </c>
      <c r="D38">
        <v>161280.42527189513</v>
      </c>
      <c r="E38">
        <v>161627.97671123757</v>
      </c>
      <c r="F38">
        <v>162000.70559117768</v>
      </c>
      <c r="G38">
        <v>162496.67500110657</v>
      </c>
      <c r="H38">
        <v>162917.63405208182</v>
      </c>
      <c r="I38">
        <v>163270.926310829</v>
      </c>
      <c r="J38">
        <v>163572.10229544528</v>
      </c>
    </row>
    <row r="39" spans="1:10">
      <c r="A39" s="2">
        <v>302</v>
      </c>
      <c r="B39" s="2" t="s">
        <v>40</v>
      </c>
      <c r="C39" s="2">
        <v>60503.614472114554</v>
      </c>
      <c r="D39">
        <v>60717.003226983506</v>
      </c>
      <c r="E39">
        <v>60877.90716440152</v>
      </c>
      <c r="F39">
        <v>61043.883481112134</v>
      </c>
      <c r="G39">
        <v>61242.217357950612</v>
      </c>
      <c r="H39">
        <v>61406.745134117235</v>
      </c>
      <c r="I39">
        <v>61541.932587074436</v>
      </c>
      <c r="J39">
        <v>61653.97474301036</v>
      </c>
    </row>
    <row r="40" spans="1:10">
      <c r="A40" s="2">
        <v>303</v>
      </c>
      <c r="B40" s="2" t="s">
        <v>41</v>
      </c>
      <c r="C40" s="2">
        <v>111181.99268416413</v>
      </c>
      <c r="D40">
        <v>111766.04451706965</v>
      </c>
      <c r="E40">
        <v>112255.12819865815</v>
      </c>
      <c r="F40">
        <v>112765.23437957227</v>
      </c>
      <c r="G40">
        <v>113339.91833670542</v>
      </c>
      <c r="H40">
        <v>113862.04590935982</v>
      </c>
      <c r="I40">
        <v>114333.26044229898</v>
      </c>
      <c r="J40">
        <v>114762.87111777262</v>
      </c>
    </row>
    <row r="41" spans="1:10">
      <c r="A41" s="2">
        <v>304</v>
      </c>
      <c r="B41" s="2" t="s">
        <v>42</v>
      </c>
      <c r="C41" s="2">
        <v>16013.572967355041</v>
      </c>
      <c r="D41">
        <v>15977.181021494474</v>
      </c>
      <c r="E41">
        <v>15926.746007227754</v>
      </c>
      <c r="F41">
        <v>15880.863099543236</v>
      </c>
      <c r="G41">
        <v>15849.20884603378</v>
      </c>
      <c r="H41">
        <v>15810.960242700505</v>
      </c>
      <c r="I41">
        <v>15767.444766167133</v>
      </c>
      <c r="J41">
        <v>15720.473399737813</v>
      </c>
    </row>
    <row r="42" spans="1:10">
      <c r="A42" s="2">
        <v>305</v>
      </c>
      <c r="B42" s="2" t="s">
        <v>43</v>
      </c>
      <c r="C42" s="2">
        <v>70325.525267318735</v>
      </c>
      <c r="D42">
        <v>70071.002504341726</v>
      </c>
      <c r="E42">
        <v>69757.467252144503</v>
      </c>
      <c r="F42">
        <v>69454.399165041454</v>
      </c>
      <c r="G42">
        <v>69224.730449347262</v>
      </c>
      <c r="H42">
        <v>68965.472008065815</v>
      </c>
      <c r="I42">
        <v>68677.29704757547</v>
      </c>
      <c r="J42">
        <v>68365.928622810781</v>
      </c>
    </row>
    <row r="43" spans="1:10">
      <c r="A43" s="2">
        <v>306</v>
      </c>
      <c r="B43" s="2" t="s">
        <v>44</v>
      </c>
      <c r="C43" s="2">
        <v>15059.088779095084</v>
      </c>
      <c r="D43">
        <v>15089.387764805415</v>
      </c>
      <c r="E43">
        <v>15106.38659159746</v>
      </c>
      <c r="F43">
        <v>15126.287834879924</v>
      </c>
      <c r="G43">
        <v>15156.658024167828</v>
      </c>
      <c r="H43">
        <v>15180.497352227827</v>
      </c>
      <c r="I43">
        <v>15197.918147594393</v>
      </c>
      <c r="J43">
        <v>15210.607927978965</v>
      </c>
    </row>
    <row r="44" spans="1:10">
      <c r="A44" s="2">
        <v>307</v>
      </c>
      <c r="B44" s="2" t="s">
        <v>45</v>
      </c>
      <c r="C44" s="2">
        <v>48159.580867468983</v>
      </c>
      <c r="D44">
        <v>48301.73118490263</v>
      </c>
      <c r="E44">
        <v>48402.311033166268</v>
      </c>
      <c r="F44">
        <v>48509.648289842356</v>
      </c>
      <c r="G44">
        <v>48643.742912462461</v>
      </c>
      <c r="H44">
        <v>48752.566329069894</v>
      </c>
      <c r="I44">
        <v>48838.159453468536</v>
      </c>
      <c r="J44">
        <v>48904.820942035687</v>
      </c>
    </row>
    <row r="45" spans="1:10">
      <c r="A45" s="2">
        <v>308</v>
      </c>
      <c r="B45" s="2" t="s">
        <v>46</v>
      </c>
      <c r="C45" s="2">
        <v>44512.114468701118</v>
      </c>
      <c r="D45">
        <v>44666.915478930954</v>
      </c>
      <c r="E45">
        <v>44784.542621554501</v>
      </c>
      <c r="F45">
        <v>44909.378539662881</v>
      </c>
      <c r="G45">
        <v>45056.486884184036</v>
      </c>
      <c r="H45">
        <v>45181.162209912465</v>
      </c>
      <c r="I45">
        <v>45285.902788606807</v>
      </c>
      <c r="J45">
        <v>45374.968043115667</v>
      </c>
    </row>
    <row r="46" spans="1:10">
      <c r="A46" s="2">
        <v>401</v>
      </c>
      <c r="B46" s="2" t="s">
        <v>47</v>
      </c>
      <c r="C46" s="2">
        <v>141279.33236905705</v>
      </c>
      <c r="D46">
        <v>142202.25641828633</v>
      </c>
      <c r="E46">
        <v>143023.27400782524</v>
      </c>
      <c r="F46">
        <v>143878.59181499912</v>
      </c>
      <c r="G46">
        <v>144847.03447788698</v>
      </c>
      <c r="H46">
        <v>145753.17484595999</v>
      </c>
      <c r="I46">
        <v>146599.63076023583</v>
      </c>
      <c r="J46">
        <v>147395.18778828083</v>
      </c>
    </row>
    <row r="47" spans="1:10">
      <c r="A47" s="2">
        <v>402</v>
      </c>
      <c r="B47" s="2" t="s">
        <v>48</v>
      </c>
      <c r="C47" s="2">
        <v>46412.577574639348</v>
      </c>
      <c r="D47">
        <v>46837.715303119548</v>
      </c>
      <c r="E47">
        <v>47228.366173482646</v>
      </c>
      <c r="F47">
        <v>47623.018901271993</v>
      </c>
      <c r="G47">
        <v>48048.298272305838</v>
      </c>
      <c r="H47">
        <v>48455.416476137078</v>
      </c>
      <c r="I47">
        <v>48843.327963922216</v>
      </c>
      <c r="J47">
        <v>49215.938205570419</v>
      </c>
    </row>
    <row r="48" spans="1:10">
      <c r="A48" s="2">
        <v>403</v>
      </c>
      <c r="B48" s="2" t="s">
        <v>49</v>
      </c>
      <c r="C48" s="2">
        <v>48618.467107528188</v>
      </c>
      <c r="D48">
        <v>48874.037335342255</v>
      </c>
      <c r="E48">
        <v>49088.620451033275</v>
      </c>
      <c r="F48">
        <v>49308.19975070958</v>
      </c>
      <c r="G48">
        <v>49575.27052620006</v>
      </c>
      <c r="H48">
        <v>49815.72831484754</v>
      </c>
      <c r="I48">
        <v>50030.592737469102</v>
      </c>
      <c r="J48">
        <v>50222.035959988832</v>
      </c>
    </row>
    <row r="49" spans="1:10">
      <c r="A49" s="2">
        <v>404</v>
      </c>
      <c r="B49" s="2" t="s">
        <v>50</v>
      </c>
      <c r="C49" s="2">
        <v>42982.873210465354</v>
      </c>
      <c r="D49">
        <v>43365.146660517436</v>
      </c>
      <c r="E49">
        <v>43715.780159724323</v>
      </c>
      <c r="F49">
        <v>44052.55657600081</v>
      </c>
      <c r="G49">
        <v>44406.251422455272</v>
      </c>
      <c r="H49">
        <v>44769.244883051353</v>
      </c>
      <c r="I49">
        <v>45118.850770027988</v>
      </c>
      <c r="J49">
        <v>45462.561225169775</v>
      </c>
    </row>
    <row r="50" spans="1:10">
      <c r="A50" s="2">
        <v>405</v>
      </c>
      <c r="B50" s="2" t="s">
        <v>51</v>
      </c>
      <c r="C50" s="2">
        <v>54313.580033103179</v>
      </c>
      <c r="D50">
        <v>54734.025406029439</v>
      </c>
      <c r="E50">
        <v>55115.807508508457</v>
      </c>
      <c r="F50">
        <v>55512.768544540959</v>
      </c>
      <c r="G50">
        <v>55951.543694382271</v>
      </c>
      <c r="H50">
        <v>56366.597596674619</v>
      </c>
      <c r="I50">
        <v>56759.687014512048</v>
      </c>
      <c r="J50">
        <v>57133.870253866073</v>
      </c>
    </row>
    <row r="51" spans="1:10">
      <c r="A51" s="2">
        <v>406</v>
      </c>
      <c r="B51" s="2" t="s">
        <v>52</v>
      </c>
      <c r="C51" s="2">
        <v>22740.240755341045</v>
      </c>
      <c r="D51">
        <v>22878.719231396019</v>
      </c>
      <c r="E51">
        <v>22998.820806548752</v>
      </c>
      <c r="F51">
        <v>23114.718527135763</v>
      </c>
      <c r="G51">
        <v>23247.741080762811</v>
      </c>
      <c r="H51">
        <v>23372.149792088916</v>
      </c>
      <c r="I51">
        <v>23486.53106453568</v>
      </c>
      <c r="J51">
        <v>23592.416168728461</v>
      </c>
    </row>
    <row r="52" spans="1:10">
      <c r="A52" s="2">
        <v>407</v>
      </c>
      <c r="B52" s="2" t="s">
        <v>53</v>
      </c>
      <c r="C52" s="2">
        <v>25802.988492663877</v>
      </c>
      <c r="D52">
        <v>25941.173686726754</v>
      </c>
      <c r="E52">
        <v>26059.840980003042</v>
      </c>
      <c r="F52">
        <v>26163.757816213627</v>
      </c>
      <c r="G52">
        <v>26281.924715577396</v>
      </c>
      <c r="H52">
        <v>26400.43631688433</v>
      </c>
      <c r="I52">
        <v>26506.897045494108</v>
      </c>
      <c r="J52">
        <v>26604.690769632267</v>
      </c>
    </row>
    <row r="53" spans="1:10">
      <c r="A53" s="2">
        <v>408</v>
      </c>
      <c r="B53" s="2" t="s">
        <v>54</v>
      </c>
      <c r="C53" s="2">
        <v>21193.070036267593</v>
      </c>
      <c r="D53">
        <v>21368.590451956381</v>
      </c>
      <c r="E53">
        <v>21526.137691364791</v>
      </c>
      <c r="F53">
        <v>21680.534022475385</v>
      </c>
      <c r="G53">
        <v>21851.195489832637</v>
      </c>
      <c r="H53">
        <v>22009.657897121673</v>
      </c>
      <c r="I53">
        <v>22155.700246106757</v>
      </c>
      <c r="J53">
        <v>22289.956242268658</v>
      </c>
    </row>
    <row r="54" spans="1:10">
      <c r="A54" s="2">
        <v>409</v>
      </c>
      <c r="B54" s="2" t="s">
        <v>55</v>
      </c>
      <c r="C54" s="2">
        <v>30125.956695576082</v>
      </c>
      <c r="D54">
        <v>30197.445043270716</v>
      </c>
      <c r="E54">
        <v>30245.175504739684</v>
      </c>
      <c r="F54">
        <v>30289.356996341143</v>
      </c>
      <c r="G54">
        <v>30358.833333149756</v>
      </c>
      <c r="H54">
        <v>30413.045743865176</v>
      </c>
      <c r="I54">
        <v>30452.096574756833</v>
      </c>
      <c r="J54">
        <v>30477.652583952695</v>
      </c>
    </row>
    <row r="55" spans="1:10">
      <c r="A55" s="2">
        <v>410</v>
      </c>
      <c r="B55" s="2" t="s">
        <v>56</v>
      </c>
      <c r="C55" s="2">
        <v>86102.105355116975</v>
      </c>
      <c r="D55">
        <v>87846.011448865989</v>
      </c>
      <c r="E55">
        <v>89523.152601791604</v>
      </c>
      <c r="F55">
        <v>91247.18921648222</v>
      </c>
      <c r="G55">
        <v>93011.848265416396</v>
      </c>
      <c r="H55">
        <v>94754.303571202909</v>
      </c>
      <c r="I55">
        <v>96484.759249818453</v>
      </c>
      <c r="J55">
        <v>98218.675895166904</v>
      </c>
    </row>
    <row r="56" spans="1:10">
      <c r="A56" s="2">
        <v>501</v>
      </c>
      <c r="B56" s="2" t="s">
        <v>57</v>
      </c>
      <c r="C56" s="2">
        <v>76113.681382974697</v>
      </c>
      <c r="D56">
        <v>77096.296252818574</v>
      </c>
      <c r="E56">
        <v>78009.749847447587</v>
      </c>
      <c r="F56">
        <v>78932.309226287092</v>
      </c>
      <c r="G56">
        <v>79888.486997056185</v>
      </c>
      <c r="H56">
        <v>80807.241453146038</v>
      </c>
      <c r="I56">
        <v>81692.633378876577</v>
      </c>
      <c r="J56">
        <v>82554.658882824282</v>
      </c>
    </row>
    <row r="57" spans="1:10">
      <c r="A57" s="2">
        <v>502</v>
      </c>
      <c r="B57" s="2" t="s">
        <v>58</v>
      </c>
      <c r="C57" s="2">
        <v>57161.818517786087</v>
      </c>
      <c r="D57">
        <v>57469.263385984261</v>
      </c>
      <c r="E57">
        <v>57726.741389682909</v>
      </c>
      <c r="F57">
        <v>57990.64272807278</v>
      </c>
      <c r="G57">
        <v>58328.621459000417</v>
      </c>
      <c r="H57">
        <v>58648.803653638912</v>
      </c>
      <c r="I57">
        <v>58951.174854180565</v>
      </c>
      <c r="J57">
        <v>59240.650304586241</v>
      </c>
    </row>
    <row r="58" spans="1:10">
      <c r="A58" s="2">
        <v>503</v>
      </c>
      <c r="B58" s="2" t="s">
        <v>59</v>
      </c>
      <c r="C58" s="2">
        <v>68302.663687150722</v>
      </c>
      <c r="D58">
        <v>69154.674022621562</v>
      </c>
      <c r="E58">
        <v>69947.621239541128</v>
      </c>
      <c r="F58">
        <v>70743.510211495974</v>
      </c>
      <c r="G58">
        <v>71602.917411404254</v>
      </c>
      <c r="H58">
        <v>72442.974913997023</v>
      </c>
      <c r="I58">
        <v>73259.612882649904</v>
      </c>
      <c r="J58">
        <v>74058.837080034005</v>
      </c>
    </row>
    <row r="59" spans="1:10">
      <c r="A59" s="2">
        <v>504</v>
      </c>
      <c r="B59" s="2" t="s">
        <v>60</v>
      </c>
      <c r="C59" s="2">
        <v>24209.971915413378</v>
      </c>
      <c r="D59">
        <v>24453.80710689459</v>
      </c>
      <c r="E59">
        <v>24676.028489741897</v>
      </c>
      <c r="F59">
        <v>24906.165998362354</v>
      </c>
      <c r="G59">
        <v>25153.296270303981</v>
      </c>
      <c r="H59">
        <v>25390.600989713632</v>
      </c>
      <c r="I59">
        <v>25619.652219474352</v>
      </c>
      <c r="J59">
        <v>25844.101482311409</v>
      </c>
    </row>
    <row r="60" spans="1:10">
      <c r="A60" s="2">
        <v>505</v>
      </c>
      <c r="B60" s="2" t="s">
        <v>61</v>
      </c>
      <c r="C60" s="2">
        <v>46040.071352808089</v>
      </c>
      <c r="D60">
        <v>46685.735346013011</v>
      </c>
      <c r="E60">
        <v>47295.547543848763</v>
      </c>
      <c r="F60">
        <v>47920.35288895783</v>
      </c>
      <c r="G60">
        <v>48582.931724510723</v>
      </c>
      <c r="H60">
        <v>49230.883965853231</v>
      </c>
      <c r="I60">
        <v>49867.478430697767</v>
      </c>
      <c r="J60">
        <v>50498.807069528542</v>
      </c>
    </row>
    <row r="61" spans="1:10">
      <c r="A61" s="2">
        <v>506</v>
      </c>
      <c r="B61" s="2" t="s">
        <v>62</v>
      </c>
      <c r="C61" s="2">
        <v>31572.870195090771</v>
      </c>
      <c r="D61">
        <v>31793.420357465693</v>
      </c>
      <c r="E61">
        <v>31981.265358514702</v>
      </c>
      <c r="F61">
        <v>32170.768383659823</v>
      </c>
      <c r="G61">
        <v>32375.7318006532</v>
      </c>
      <c r="H61">
        <v>32561.982938915993</v>
      </c>
      <c r="I61">
        <v>32731.377204821736</v>
      </c>
      <c r="J61">
        <v>32887.959013139814</v>
      </c>
    </row>
    <row r="62" spans="1:10">
      <c r="A62" s="2">
        <v>507</v>
      </c>
      <c r="B62" s="2" t="s">
        <v>63</v>
      </c>
      <c r="C62" s="2">
        <v>19885.432570915815</v>
      </c>
      <c r="D62">
        <v>19927.92901809324</v>
      </c>
      <c r="E62">
        <v>19952.168150931611</v>
      </c>
      <c r="F62">
        <v>19980.110714993098</v>
      </c>
      <c r="G62">
        <v>20026.211315479628</v>
      </c>
      <c r="H62">
        <v>20064.67510338538</v>
      </c>
      <c r="I62">
        <v>20095.802816900716</v>
      </c>
      <c r="J62">
        <v>20122.166278992339</v>
      </c>
    </row>
    <row r="63" spans="1:10">
      <c r="A63" s="2">
        <v>508</v>
      </c>
      <c r="B63" s="2" t="s">
        <v>64</v>
      </c>
      <c r="C63" s="2">
        <v>24550.259070555054</v>
      </c>
      <c r="D63">
        <v>24615.81322138794</v>
      </c>
      <c r="E63">
        <v>24655.670055607909</v>
      </c>
      <c r="F63">
        <v>24692.647598120115</v>
      </c>
      <c r="G63">
        <v>24757.05625956774</v>
      </c>
      <c r="H63">
        <v>24813.998999688454</v>
      </c>
      <c r="I63">
        <v>24860.439645587783</v>
      </c>
      <c r="J63">
        <v>24898.729372610163</v>
      </c>
    </row>
    <row r="64" spans="1:10">
      <c r="A64" s="2">
        <v>509</v>
      </c>
      <c r="B64" s="2" t="s">
        <v>65</v>
      </c>
      <c r="C64" s="2">
        <v>11475.207717340756</v>
      </c>
      <c r="D64">
        <v>11488.700872741154</v>
      </c>
      <c r="E64">
        <v>11487.650047520421</v>
      </c>
      <c r="F64">
        <v>11472.984368819536</v>
      </c>
      <c r="G64">
        <v>11471.694809933386</v>
      </c>
      <c r="H64">
        <v>11469.054724813679</v>
      </c>
      <c r="I64">
        <v>11460.640697119017</v>
      </c>
      <c r="J64">
        <v>11446.434468706462</v>
      </c>
    </row>
    <row r="65" spans="1:10">
      <c r="A65" s="2">
        <v>510</v>
      </c>
      <c r="B65" s="2" t="s">
        <v>66</v>
      </c>
      <c r="C65" s="2">
        <v>26061.852712436965</v>
      </c>
      <c r="D65">
        <v>26432.857474102821</v>
      </c>
      <c r="E65">
        <v>26778.795292795556</v>
      </c>
      <c r="F65">
        <v>27104.28868653786</v>
      </c>
      <c r="G65">
        <v>27430.226791748173</v>
      </c>
      <c r="H65">
        <v>27752.148921255517</v>
      </c>
      <c r="I65">
        <v>28061.454640667642</v>
      </c>
      <c r="J65">
        <v>28360.054332563141</v>
      </c>
    </row>
    <row r="66" spans="1:10">
      <c r="A66" s="2">
        <v>511</v>
      </c>
      <c r="B66" s="2" t="s">
        <v>67</v>
      </c>
      <c r="C66" s="2">
        <v>7102.1703459052405</v>
      </c>
      <c r="D66">
        <v>7101.9283963126609</v>
      </c>
      <c r="E66">
        <v>7103.0352596061684</v>
      </c>
      <c r="F66">
        <v>7109.6536369225423</v>
      </c>
      <c r="G66">
        <v>7128.7764447610398</v>
      </c>
      <c r="H66">
        <v>7148.5724834190496</v>
      </c>
      <c r="I66">
        <v>7166.8884379133542</v>
      </c>
      <c r="J66">
        <v>7183.5236174847623</v>
      </c>
    </row>
    <row r="67" spans="1:10">
      <c r="A67" s="2">
        <v>601</v>
      </c>
      <c r="B67" s="2" t="s">
        <v>68</v>
      </c>
      <c r="C67" s="2">
        <v>137471.87134663673</v>
      </c>
      <c r="D67">
        <v>138622.1909285344</v>
      </c>
      <c r="E67">
        <v>139669.23476028081</v>
      </c>
      <c r="F67">
        <v>140786.86271880643</v>
      </c>
      <c r="G67">
        <v>142028.31274644478</v>
      </c>
      <c r="H67">
        <v>143233.42003857886</v>
      </c>
      <c r="I67">
        <v>144410.26902367431</v>
      </c>
      <c r="J67">
        <v>145576.23023604468</v>
      </c>
    </row>
    <row r="68" spans="1:10">
      <c r="A68" s="2">
        <v>602</v>
      </c>
      <c r="B68" s="2" t="s">
        <v>69</v>
      </c>
      <c r="C68" s="2">
        <v>33409.314792378209</v>
      </c>
      <c r="D68">
        <v>33760.731194531429</v>
      </c>
      <c r="E68">
        <v>34092.733596011218</v>
      </c>
      <c r="F68">
        <v>34434.907358178658</v>
      </c>
      <c r="G68">
        <v>34805.78131311688</v>
      </c>
      <c r="H68">
        <v>35161.331032199145</v>
      </c>
      <c r="I68">
        <v>35500.510176479496</v>
      </c>
      <c r="J68">
        <v>35825.708070505003</v>
      </c>
    </row>
    <row r="69" spans="1:10">
      <c r="A69" s="2">
        <v>603</v>
      </c>
      <c r="B69" s="2" t="s">
        <v>70</v>
      </c>
      <c r="C69" s="2">
        <v>52550.463292340683</v>
      </c>
      <c r="D69">
        <v>53005.538447166226</v>
      </c>
      <c r="E69">
        <v>53411.79684684235</v>
      </c>
      <c r="F69">
        <v>53830.81565652453</v>
      </c>
      <c r="G69">
        <v>54272.438466294669</v>
      </c>
      <c r="H69">
        <v>54690.486192918121</v>
      </c>
      <c r="I69">
        <v>55087.875884675537</v>
      </c>
      <c r="J69">
        <v>55472.108825667747</v>
      </c>
    </row>
    <row r="70" spans="1:10">
      <c r="A70" s="2">
        <v>604</v>
      </c>
      <c r="B70" s="2" t="s">
        <v>71</v>
      </c>
      <c r="C70" s="2">
        <v>14564.88873797431</v>
      </c>
      <c r="D70">
        <v>14634.672715063702</v>
      </c>
      <c r="E70">
        <v>14690.24025358568</v>
      </c>
      <c r="F70">
        <v>14747.701589789698</v>
      </c>
      <c r="G70">
        <v>14822.099996719502</v>
      </c>
      <c r="H70">
        <v>14894.357629431066</v>
      </c>
      <c r="I70">
        <v>14962.751737423665</v>
      </c>
      <c r="J70">
        <v>15028.522789483945</v>
      </c>
    </row>
    <row r="71" spans="1:10">
      <c r="A71" s="2">
        <v>605</v>
      </c>
      <c r="B71" s="2" t="s">
        <v>72</v>
      </c>
      <c r="C71" s="2">
        <v>29567.044098543542</v>
      </c>
      <c r="D71">
        <v>29568.130873632945</v>
      </c>
      <c r="E71">
        <v>29539.720646424161</v>
      </c>
      <c r="F71">
        <v>29513.238706200078</v>
      </c>
      <c r="G71">
        <v>29509.975556302401</v>
      </c>
      <c r="H71">
        <v>29494.738977265297</v>
      </c>
      <c r="I71">
        <v>29465.672706830199</v>
      </c>
      <c r="J71">
        <v>29425.737011721303</v>
      </c>
    </row>
    <row r="72" spans="1:10">
      <c r="A72" s="2">
        <v>606</v>
      </c>
      <c r="B72" s="2" t="s">
        <v>73</v>
      </c>
      <c r="C72" s="2">
        <v>33050.969850982001</v>
      </c>
      <c r="D72">
        <v>33398.187405001925</v>
      </c>
      <c r="E72">
        <v>33715.629694663803</v>
      </c>
      <c r="F72">
        <v>34038.693544492795</v>
      </c>
      <c r="G72">
        <v>34380.63407277529</v>
      </c>
      <c r="H72">
        <v>34707.091582657289</v>
      </c>
      <c r="I72">
        <v>35020.2303525475</v>
      </c>
      <c r="J72">
        <v>35323.581884937594</v>
      </c>
    </row>
    <row r="73" spans="1:10">
      <c r="A73" s="2">
        <v>607</v>
      </c>
      <c r="B73" s="2" t="s">
        <v>74</v>
      </c>
      <c r="C73" s="2">
        <v>32039.288694175266</v>
      </c>
      <c r="D73">
        <v>32055.881805403784</v>
      </c>
      <c r="E73">
        <v>32038.24416460286</v>
      </c>
      <c r="F73">
        <v>32024.754160552184</v>
      </c>
      <c r="G73">
        <v>32030.070823443006</v>
      </c>
      <c r="H73">
        <v>32017.867512120571</v>
      </c>
      <c r="I73">
        <v>31989.219610825563</v>
      </c>
      <c r="J73">
        <v>31948.939310606867</v>
      </c>
    </row>
    <row r="74" spans="1:10">
      <c r="A74" s="2">
        <v>608</v>
      </c>
      <c r="B74" s="2" t="s">
        <v>75</v>
      </c>
      <c r="C74" s="2">
        <v>36461.088623227894</v>
      </c>
      <c r="D74">
        <v>36336.848304907893</v>
      </c>
      <c r="E74">
        <v>36184.950095329274</v>
      </c>
      <c r="F74">
        <v>36041.362555985899</v>
      </c>
      <c r="G74">
        <v>35915.209300255723</v>
      </c>
      <c r="H74">
        <v>35761.992411088126</v>
      </c>
      <c r="I74">
        <v>35581.922363362595</v>
      </c>
      <c r="J74">
        <v>35378.97005636117</v>
      </c>
    </row>
    <row r="75" spans="1:10">
      <c r="A75" s="2">
        <v>609</v>
      </c>
      <c r="B75" s="2" t="s">
        <v>76</v>
      </c>
      <c r="C75" s="2">
        <v>20834.340359595444</v>
      </c>
      <c r="D75">
        <v>21118.325291034198</v>
      </c>
      <c r="E75">
        <v>21386.968566151347</v>
      </c>
      <c r="F75">
        <v>21666.538822265844</v>
      </c>
      <c r="G75">
        <v>21961.277701363386</v>
      </c>
      <c r="H75">
        <v>22249.916373978627</v>
      </c>
      <c r="I75">
        <v>22534.501356755576</v>
      </c>
      <c r="J75">
        <v>22817.927866270715</v>
      </c>
    </row>
    <row r="76" spans="1:10">
      <c r="A76" s="2">
        <v>610</v>
      </c>
      <c r="B76" s="2" t="s">
        <v>77</v>
      </c>
      <c r="C76" s="2">
        <v>51926.454889730572</v>
      </c>
      <c r="D76">
        <v>52199.58449814147</v>
      </c>
      <c r="E76">
        <v>52421.173626822027</v>
      </c>
      <c r="F76">
        <v>52655.591317680693</v>
      </c>
      <c r="G76">
        <v>52917.543057532093</v>
      </c>
      <c r="H76">
        <v>53152.883404869281</v>
      </c>
      <c r="I76">
        <v>53364.746085284474</v>
      </c>
      <c r="J76">
        <v>53558.785035334222</v>
      </c>
    </row>
    <row r="77" spans="1:10">
      <c r="A77" s="2">
        <v>611</v>
      </c>
      <c r="B77" s="2" t="s">
        <v>78</v>
      </c>
      <c r="C77" s="2">
        <v>25410.003899916341</v>
      </c>
      <c r="D77">
        <v>25995.27212760433</v>
      </c>
      <c r="E77">
        <v>26563.983432933936</v>
      </c>
      <c r="F77">
        <v>27138.561757265612</v>
      </c>
      <c r="G77">
        <v>27722.698134071688</v>
      </c>
      <c r="H77">
        <v>28298.222841163813</v>
      </c>
      <c r="I77">
        <v>28866.258284091902</v>
      </c>
      <c r="J77">
        <v>29429.547626980395</v>
      </c>
    </row>
    <row r="78" spans="1:10">
      <c r="A78" s="2">
        <v>612</v>
      </c>
      <c r="B78" s="2" t="s">
        <v>79</v>
      </c>
      <c r="C78" s="2">
        <v>4723.7495104457066</v>
      </c>
      <c r="D78">
        <v>4749.5531303392127</v>
      </c>
      <c r="E78">
        <v>4769.2900466248302</v>
      </c>
      <c r="F78">
        <v>4788.0110649153085</v>
      </c>
      <c r="G78">
        <v>4808.7186334205744</v>
      </c>
      <c r="H78">
        <v>4827.3312634058002</v>
      </c>
      <c r="I78">
        <v>4843.7572646564395</v>
      </c>
      <c r="J78">
        <v>4858.5389690698266</v>
      </c>
    </row>
    <row r="79" spans="1:10">
      <c r="A79" s="2">
        <v>613</v>
      </c>
      <c r="B79" s="2" t="s">
        <v>80</v>
      </c>
      <c r="C79" s="2">
        <v>12532.241626081443</v>
      </c>
      <c r="D79">
        <v>12785.831638954771</v>
      </c>
      <c r="E79">
        <v>13026.70706605029</v>
      </c>
      <c r="F79">
        <v>13268.504286378291</v>
      </c>
      <c r="G79">
        <v>13518.082172408282</v>
      </c>
      <c r="H79">
        <v>13765.299521653407</v>
      </c>
      <c r="I79">
        <v>14009.338157462686</v>
      </c>
      <c r="J79">
        <v>14251.666326400835</v>
      </c>
    </row>
    <row r="80" spans="1:10">
      <c r="A80" s="2">
        <v>701</v>
      </c>
      <c r="B80" s="2" t="s">
        <v>81</v>
      </c>
      <c r="C80" s="2">
        <v>93441.203508879888</v>
      </c>
      <c r="D80">
        <v>93260.836669515818</v>
      </c>
      <c r="E80">
        <v>92993.180965096079</v>
      </c>
      <c r="F80">
        <v>92745.867443255062</v>
      </c>
      <c r="G80">
        <v>92558.711317772249</v>
      </c>
      <c r="H80">
        <v>92328.202832339302</v>
      </c>
      <c r="I80">
        <v>92064.490511855663</v>
      </c>
      <c r="J80">
        <v>91782.496374190567</v>
      </c>
    </row>
    <row r="81" spans="1:10">
      <c r="A81" s="2">
        <v>702</v>
      </c>
      <c r="B81" s="2" t="s">
        <v>82</v>
      </c>
      <c r="C81" s="2">
        <v>148901.97962131642</v>
      </c>
      <c r="D81">
        <v>150233.71599701775</v>
      </c>
      <c r="E81">
        <v>151418.55862790885</v>
      </c>
      <c r="F81">
        <v>152626.11389307617</v>
      </c>
      <c r="G81">
        <v>153892.11351639888</v>
      </c>
      <c r="H81">
        <v>155073.82604137395</v>
      </c>
      <c r="I81">
        <v>156180.63704778673</v>
      </c>
      <c r="J81">
        <v>157231.68724453964</v>
      </c>
    </row>
    <row r="82" spans="1:10">
      <c r="A82" s="2">
        <v>703</v>
      </c>
      <c r="B82" s="2" t="s">
        <v>83</v>
      </c>
      <c r="C82" s="2">
        <v>56935.574463207653</v>
      </c>
      <c r="D82">
        <v>56901.64868254523</v>
      </c>
      <c r="E82">
        <v>56874.570231878577</v>
      </c>
      <c r="F82">
        <v>56902.662731546385</v>
      </c>
      <c r="G82">
        <v>56986.093408844419</v>
      </c>
      <c r="H82">
        <v>57058.749044344971</v>
      </c>
      <c r="I82">
        <v>57115.941284613567</v>
      </c>
      <c r="J82">
        <v>57158.03830536145</v>
      </c>
    </row>
    <row r="83" spans="1:10">
      <c r="A83" s="2">
        <v>704</v>
      </c>
      <c r="B83" s="2" t="s">
        <v>84</v>
      </c>
      <c r="C83" s="2">
        <v>42872.750282955603</v>
      </c>
      <c r="D83">
        <v>43442.688018546309</v>
      </c>
      <c r="E83">
        <v>43972.932569263918</v>
      </c>
      <c r="F83">
        <v>44510.532030698756</v>
      </c>
      <c r="G83">
        <v>45061.872726953341</v>
      </c>
      <c r="H83">
        <v>45601.19856147925</v>
      </c>
      <c r="I83">
        <v>46130.249266255123</v>
      </c>
      <c r="J83">
        <v>46657.133347646988</v>
      </c>
    </row>
    <row r="84" spans="1:10">
      <c r="A84" s="2">
        <v>705</v>
      </c>
      <c r="B84" s="2" t="s">
        <v>85</v>
      </c>
      <c r="C84" s="2">
        <v>44129.391173650161</v>
      </c>
      <c r="D84">
        <v>44393.880123102412</v>
      </c>
      <c r="E84">
        <v>44615.106843880349</v>
      </c>
      <c r="F84">
        <v>44841.149898891672</v>
      </c>
      <c r="G84">
        <v>45076.478621960821</v>
      </c>
      <c r="H84">
        <v>45291.400921535038</v>
      </c>
      <c r="I84">
        <v>45488.036684274666</v>
      </c>
      <c r="J84">
        <v>45673.211079207387</v>
      </c>
    </row>
    <row r="85" spans="1:10">
      <c r="A85" s="3">
        <v>706</v>
      </c>
      <c r="B85" s="2" t="s">
        <v>86</v>
      </c>
      <c r="C85" s="2">
        <v>55137.943035120479</v>
      </c>
      <c r="D85">
        <v>55805.177069790196</v>
      </c>
      <c r="E85">
        <v>56410.736435833067</v>
      </c>
      <c r="F85">
        <v>57019.167947271082</v>
      </c>
      <c r="G85">
        <v>57646.345716059077</v>
      </c>
      <c r="H85">
        <v>58247.048755960444</v>
      </c>
      <c r="I85">
        <v>58822.220126410779</v>
      </c>
      <c r="J85">
        <v>59380.094479342159</v>
      </c>
    </row>
    <row r="86" spans="1:10">
      <c r="A86" s="5">
        <v>0</v>
      </c>
      <c r="B86" s="2" t="s">
        <v>93</v>
      </c>
      <c r="C86">
        <f>SUM(C2:C85)</f>
        <v>5020970.0892126299</v>
      </c>
      <c r="D86">
        <f t="shared" ref="D86:J86" si="0">SUM(D2:D85)</f>
        <v>5051379.2310498413</v>
      </c>
      <c r="E86">
        <f t="shared" si="0"/>
        <v>5077666.8598168911</v>
      </c>
      <c r="F86">
        <f t="shared" si="0"/>
        <v>5104906.8366506081</v>
      </c>
      <c r="G86">
        <f t="shared" si="0"/>
        <v>5135911.6221289076</v>
      </c>
      <c r="H86">
        <f t="shared" si="0"/>
        <v>5164859.9393230798</v>
      </c>
      <c r="I86">
        <f t="shared" si="0"/>
        <v>5191823.0799561189</v>
      </c>
      <c r="J86">
        <f t="shared" si="0"/>
        <v>5217294.9784566956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5678-D518-4914-9735-1274804074C4}">
  <dimension ref="A1:E86"/>
  <sheetViews>
    <sheetView tabSelected="1" topLeftCell="A66" workbookViewId="0">
      <selection activeCell="F86" sqref="F86"/>
    </sheetView>
  </sheetViews>
  <sheetFormatPr baseColWidth="10" defaultRowHeight="14.5"/>
  <cols>
    <col min="3" max="4" width="11.81640625" bestFit="1" customWidth="1"/>
  </cols>
  <sheetData>
    <row r="1" spans="1:5">
      <c r="A1" t="s">
        <v>87</v>
      </c>
      <c r="B1" t="s">
        <v>2</v>
      </c>
      <c r="C1" t="s">
        <v>90</v>
      </c>
      <c r="D1" t="s">
        <v>89</v>
      </c>
      <c r="E1" t="s">
        <v>88</v>
      </c>
    </row>
    <row r="2" spans="1:5">
      <c r="A2" s="2">
        <v>101</v>
      </c>
      <c r="B2" s="2" t="s">
        <v>3</v>
      </c>
      <c r="C2">
        <f>((anual!I2-anual!D2)/7)/anual!D2</f>
        <v>1.868100218500498E-3</v>
      </c>
      <c r="D2">
        <f>anual!C2</f>
        <v>347692.45856501424</v>
      </c>
      <c r="E2" s="4">
        <f>5/53</f>
        <v>9.4339622641509441E-2</v>
      </c>
    </row>
    <row r="3" spans="1:5">
      <c r="A3" s="2">
        <v>102</v>
      </c>
      <c r="B3" s="2" t="s">
        <v>4</v>
      </c>
      <c r="C3">
        <f>((anual!I3-anual!D3)/7)/anual!D3</f>
        <v>3.1527798760231261E-3</v>
      </c>
      <c r="D3">
        <f>anual!C3</f>
        <v>69342.771863127593</v>
      </c>
      <c r="E3" s="4">
        <f>5/53</f>
        <v>9.4339622641509441E-2</v>
      </c>
    </row>
    <row r="4" spans="1:5">
      <c r="A4" s="2">
        <v>103</v>
      </c>
      <c r="B4" s="2" t="s">
        <v>5</v>
      </c>
      <c r="C4">
        <f>((anual!I4-anual!D4)/7)/anual!D4</f>
        <v>3.087060729904154E-3</v>
      </c>
      <c r="D4">
        <f>anual!C4</f>
        <v>238762.28232309327</v>
      </c>
      <c r="E4" s="4">
        <f t="shared" ref="E4:E67" si="0">5/53</f>
        <v>9.4339622641509441E-2</v>
      </c>
    </row>
    <row r="5" spans="1:5">
      <c r="A5" s="2">
        <v>104</v>
      </c>
      <c r="B5" s="2" t="s">
        <v>6</v>
      </c>
      <c r="C5">
        <f>((anual!I5-anual!D5)/7)/anual!D5</f>
        <v>2.9674075772079603E-3</v>
      </c>
      <c r="D5">
        <f>anual!C5</f>
        <v>38240.587050800503</v>
      </c>
      <c r="E5" s="4">
        <f t="shared" si="0"/>
        <v>9.4339622641509441E-2</v>
      </c>
    </row>
    <row r="6" spans="1:5">
      <c r="A6" s="2">
        <v>105</v>
      </c>
      <c r="B6" s="2" t="s">
        <v>7</v>
      </c>
      <c r="C6">
        <f>((anual!I6-anual!D6)/7)/anual!D6</f>
        <v>1.0804017806949633E-3</v>
      </c>
      <c r="D6">
        <f>anual!C6</f>
        <v>17842.632764587546</v>
      </c>
      <c r="E6" s="4">
        <f t="shared" si="0"/>
        <v>9.4339622641509441E-2</v>
      </c>
    </row>
    <row r="7" spans="1:5">
      <c r="A7" s="2">
        <v>106</v>
      </c>
      <c r="B7" s="2" t="s">
        <v>8</v>
      </c>
      <c r="C7">
        <f>((anual!I7-anual!D7)/7)/anual!D7</f>
        <v>2.2427367342404908E-3</v>
      </c>
      <c r="D7">
        <f>anual!C7</f>
        <v>61640.79175785082</v>
      </c>
      <c r="E7" s="4">
        <f t="shared" si="0"/>
        <v>9.4339622641509441E-2</v>
      </c>
    </row>
    <row r="8" spans="1:5">
      <c r="A8" s="2">
        <v>107</v>
      </c>
      <c r="B8" s="2" t="s">
        <v>9</v>
      </c>
      <c r="C8">
        <f>((anual!I8-anual!D8)/7)/anual!D8</f>
        <v>2.0638506204688394E-3</v>
      </c>
      <c r="D8">
        <f>anual!C8</f>
        <v>28301.543605497558</v>
      </c>
      <c r="E8" s="4">
        <f t="shared" si="0"/>
        <v>9.4339622641509441E-2</v>
      </c>
    </row>
    <row r="9" spans="1:5">
      <c r="A9" s="2">
        <v>108</v>
      </c>
      <c r="B9" s="2" t="s">
        <v>10</v>
      </c>
      <c r="C9">
        <f>((anual!I9-anual!D9)/7)/anual!D9</f>
        <v>2.5998944003007085E-3</v>
      </c>
      <c r="D9">
        <f>anual!C9</f>
        <v>137108.97722321076</v>
      </c>
      <c r="E9" s="4">
        <f t="shared" si="0"/>
        <v>9.4339622641509441E-2</v>
      </c>
    </row>
    <row r="10" spans="1:5">
      <c r="A10" s="2">
        <v>109</v>
      </c>
      <c r="B10" s="2" t="s">
        <v>11</v>
      </c>
      <c r="C10">
        <f>((anual!I10-anual!D10)/7)/anual!D10</f>
        <v>5.5331855705229279E-3</v>
      </c>
      <c r="D10">
        <f>anual!C10</f>
        <v>59327.717623552853</v>
      </c>
      <c r="E10" s="4">
        <f t="shared" si="0"/>
        <v>9.4339622641509441E-2</v>
      </c>
    </row>
    <row r="11" spans="1:5">
      <c r="A11" s="2">
        <v>110</v>
      </c>
      <c r="B11" s="2" t="s">
        <v>12</v>
      </c>
      <c r="C11">
        <f>((anual!I11-anual!D11)/7)/anual!D11</f>
        <v>6.0189412595965733E-3</v>
      </c>
      <c r="D11">
        <f>anual!C11</f>
        <v>92686.07744882835</v>
      </c>
      <c r="E11" s="4">
        <f t="shared" si="0"/>
        <v>9.4339622641509441E-2</v>
      </c>
    </row>
    <row r="12" spans="1:5">
      <c r="A12" s="2">
        <v>111</v>
      </c>
      <c r="B12" s="2" t="s">
        <v>13</v>
      </c>
      <c r="C12">
        <f>((anual!I12-anual!D12)/7)/anual!D12</f>
        <v>3.7542523553232084E-3</v>
      </c>
      <c r="D12">
        <f>anual!C12</f>
        <v>69754.925417826904</v>
      </c>
      <c r="E12" s="4">
        <f t="shared" si="0"/>
        <v>9.4339622641509441E-2</v>
      </c>
    </row>
    <row r="13" spans="1:5">
      <c r="A13" s="2">
        <v>112</v>
      </c>
      <c r="B13" s="2" t="s">
        <v>14</v>
      </c>
      <c r="C13">
        <f>((anual!I13-anual!D13)/7)/anual!D13</f>
        <v>1.5256857218822817E-3</v>
      </c>
      <c r="D13">
        <f>anual!C13</f>
        <v>21699.266475138473</v>
      </c>
      <c r="E13" s="4">
        <f t="shared" si="0"/>
        <v>9.4339622641509441E-2</v>
      </c>
    </row>
    <row r="14" spans="1:5">
      <c r="A14" s="2">
        <v>113</v>
      </c>
      <c r="B14" s="2" t="s">
        <v>15</v>
      </c>
      <c r="C14">
        <f>((anual!I14-anual!D14)/7)/anual!D14</f>
        <v>2.3705404429928863E-3</v>
      </c>
      <c r="D14">
        <f>anual!C14</f>
        <v>83692.119332512375</v>
      </c>
      <c r="E14" s="4">
        <f t="shared" si="0"/>
        <v>9.4339622641509441E-2</v>
      </c>
    </row>
    <row r="15" spans="1:5">
      <c r="A15" s="2">
        <v>114</v>
      </c>
      <c r="B15" s="2" t="s">
        <v>16</v>
      </c>
      <c r="C15">
        <f>((anual!I15-anual!D15)/7)/anual!D15</f>
        <v>9.4827452934470851E-4</v>
      </c>
      <c r="D15">
        <f>anual!C15</f>
        <v>61121.852323967265</v>
      </c>
      <c r="E15" s="4">
        <f t="shared" si="0"/>
        <v>9.4339622641509441E-2</v>
      </c>
    </row>
    <row r="16" spans="1:5">
      <c r="A16" s="2">
        <v>115</v>
      </c>
      <c r="B16" s="2" t="s">
        <v>17</v>
      </c>
      <c r="C16">
        <f>((anual!I16-anual!D16)/7)/anual!D16</f>
        <v>-5.3284409479437069E-4</v>
      </c>
      <c r="D16">
        <f>anual!C16</f>
        <v>61401.434959428974</v>
      </c>
      <c r="E16" s="4">
        <f t="shared" si="0"/>
        <v>9.4339622641509441E-2</v>
      </c>
    </row>
    <row r="17" spans="1:5">
      <c r="A17" s="2">
        <v>116</v>
      </c>
      <c r="B17" s="2" t="s">
        <v>18</v>
      </c>
      <c r="C17">
        <f>((anual!I17-anual!D17)/7)/anual!D17</f>
        <v>4.5148043493114355E-3</v>
      </c>
      <c r="D17">
        <f>anual!C17</f>
        <v>7122.4202578776185</v>
      </c>
      <c r="E17" s="4">
        <f t="shared" si="0"/>
        <v>9.4339622641509441E-2</v>
      </c>
    </row>
    <row r="18" spans="1:5">
      <c r="A18" s="2">
        <v>117</v>
      </c>
      <c r="B18" s="2" t="s">
        <v>19</v>
      </c>
      <c r="C18">
        <f>((anual!I18-anual!D18)/7)/anual!D18</f>
        <v>5.9882081108790237E-4</v>
      </c>
      <c r="D18">
        <f>anual!C18</f>
        <v>7759.3518669735276</v>
      </c>
      <c r="E18" s="4">
        <f t="shared" si="0"/>
        <v>9.4339622641509441E-2</v>
      </c>
    </row>
    <row r="19" spans="1:5">
      <c r="A19" s="2">
        <v>118</v>
      </c>
      <c r="B19" s="2" t="s">
        <v>20</v>
      </c>
      <c r="C19">
        <f>((anual!I19-anual!D19)/7)/anual!D19</f>
        <v>2.0284040722509987E-3</v>
      </c>
      <c r="D19">
        <f>anual!C19</f>
        <v>78069.636218031286</v>
      </c>
      <c r="E19" s="4">
        <f t="shared" si="0"/>
        <v>9.4339622641509441E-2</v>
      </c>
    </row>
    <row r="20" spans="1:5">
      <c r="A20" s="2">
        <v>119</v>
      </c>
      <c r="B20" s="2" t="s">
        <v>21</v>
      </c>
      <c r="C20">
        <f>((anual!I20-anual!D20)/7)/anual!D20</f>
        <v>-1.8406580355975945E-3</v>
      </c>
      <c r="D20">
        <f>anual!C20</f>
        <v>135629.67197663515</v>
      </c>
      <c r="E20" s="4">
        <f t="shared" si="0"/>
        <v>9.4339622641509441E-2</v>
      </c>
    </row>
    <row r="21" spans="1:5">
      <c r="A21" s="2">
        <v>120</v>
      </c>
      <c r="B21" s="2" t="s">
        <v>22</v>
      </c>
      <c r="C21">
        <f>((anual!I21-anual!D21)/7)/anual!D21</f>
        <v>3.4707894205274446E-3</v>
      </c>
      <c r="D21">
        <f>anual!C21</f>
        <v>13110.005500423718</v>
      </c>
      <c r="E21" s="4">
        <f t="shared" si="0"/>
        <v>9.4339622641509441E-2</v>
      </c>
    </row>
    <row r="22" spans="1:5">
      <c r="A22" s="2">
        <v>201</v>
      </c>
      <c r="B22" s="2" t="s">
        <v>23</v>
      </c>
      <c r="C22">
        <f>((anual!I22-anual!D22)/7)/anual!D22</f>
        <v>5.4598986657930669E-3</v>
      </c>
      <c r="D22">
        <f>anual!C22</f>
        <v>313360.92561695981</v>
      </c>
      <c r="E22" s="4">
        <f t="shared" si="0"/>
        <v>9.4339622641509441E-2</v>
      </c>
    </row>
    <row r="23" spans="1:5">
      <c r="A23" s="2">
        <v>202</v>
      </c>
      <c r="B23" s="2" t="s">
        <v>24</v>
      </c>
      <c r="C23">
        <f>((anual!I23-anual!D23)/7)/anual!D23</f>
        <v>4.3743395004128211E-3</v>
      </c>
      <c r="D23">
        <f>anual!C23</f>
        <v>89238.4691379383</v>
      </c>
      <c r="E23" s="4">
        <f t="shared" si="0"/>
        <v>9.4339622641509441E-2</v>
      </c>
    </row>
    <row r="24" spans="1:5">
      <c r="A24" s="2">
        <v>203</v>
      </c>
      <c r="B24" s="2" t="s">
        <v>25</v>
      </c>
      <c r="C24">
        <f>((anual!I24-anual!D24)/7)/anual!D24</f>
        <v>4.5811336827644303E-3</v>
      </c>
      <c r="D24">
        <f>anual!C24</f>
        <v>77877.077161967609</v>
      </c>
      <c r="E24" s="4">
        <f t="shared" si="0"/>
        <v>9.4339622641509441E-2</v>
      </c>
    </row>
    <row r="25" spans="1:5">
      <c r="A25" s="2">
        <v>204</v>
      </c>
      <c r="B25" s="2" t="s">
        <v>26</v>
      </c>
      <c r="C25">
        <f>((anual!I25-anual!D25)/7)/anual!D25</f>
        <v>3.5509672576142549E-3</v>
      </c>
      <c r="D25">
        <f>anual!C25</f>
        <v>7320.929017146681</v>
      </c>
      <c r="E25" s="4">
        <f t="shared" si="0"/>
        <v>9.4339622641509441E-2</v>
      </c>
    </row>
    <row r="26" spans="1:5">
      <c r="A26" s="2">
        <v>205</v>
      </c>
      <c r="B26" s="2" t="s">
        <v>27</v>
      </c>
      <c r="C26">
        <f>((anual!I26-anual!D26)/7)/anual!D26</f>
        <v>3.9986888451666348E-3</v>
      </c>
      <c r="D26">
        <f>anual!C26</f>
        <v>29541.082982532505</v>
      </c>
      <c r="E26" s="4">
        <f t="shared" si="0"/>
        <v>9.4339622641509441E-2</v>
      </c>
    </row>
    <row r="27" spans="1:5">
      <c r="A27" s="2">
        <v>206</v>
      </c>
      <c r="B27" s="2" t="s">
        <v>28</v>
      </c>
      <c r="C27">
        <f>((anual!I27-anual!D27)/7)/anual!D27</f>
        <v>3.812647734999011E-3</v>
      </c>
      <c r="D27">
        <f>anual!C27</f>
        <v>48765.107980937304</v>
      </c>
      <c r="E27" s="4">
        <f t="shared" si="0"/>
        <v>9.4339622641509441E-2</v>
      </c>
    </row>
    <row r="28" spans="1:5">
      <c r="A28" s="2">
        <v>207</v>
      </c>
      <c r="B28" s="2" t="s">
        <v>29</v>
      </c>
      <c r="C28">
        <f>((anual!I28-anual!D28)/7)/anual!D28</f>
        <v>5.0224082644080353E-3</v>
      </c>
      <c r="D28">
        <f>anual!C28</f>
        <v>40963.256483213729</v>
      </c>
      <c r="E28" s="4">
        <f t="shared" si="0"/>
        <v>9.4339622641509441E-2</v>
      </c>
    </row>
    <row r="29" spans="1:5">
      <c r="A29" s="2">
        <v>208</v>
      </c>
      <c r="B29" s="2" t="s">
        <v>30</v>
      </c>
      <c r="C29">
        <f>((anual!I29-anual!D29)/7)/anual!D29</f>
        <v>5.9951805849104709E-3</v>
      </c>
      <c r="D29">
        <f>anual!C29</f>
        <v>33882.600982043499</v>
      </c>
      <c r="E29" s="4">
        <f t="shared" si="0"/>
        <v>9.4339622641509441E-2</v>
      </c>
    </row>
    <row r="30" spans="1:5">
      <c r="A30" s="2">
        <v>209</v>
      </c>
      <c r="B30" s="2" t="s">
        <v>31</v>
      </c>
      <c r="C30">
        <f>((anual!I30-anual!D30)/7)/anual!D30</f>
        <v>6.5649523334877563E-3</v>
      </c>
      <c r="D30">
        <f>anual!C30</f>
        <v>23883.945695728271</v>
      </c>
      <c r="E30" s="4">
        <f t="shared" si="0"/>
        <v>9.4339622641509441E-2</v>
      </c>
    </row>
    <row r="31" spans="1:5">
      <c r="A31" s="2">
        <v>210</v>
      </c>
      <c r="B31" s="2" t="s">
        <v>32</v>
      </c>
      <c r="C31">
        <f>((anual!I31-anual!D31)/7)/anual!D31</f>
        <v>6.5438608113860194E-3</v>
      </c>
      <c r="D31">
        <f>anual!C31</f>
        <v>200446.33903553456</v>
      </c>
      <c r="E31" s="4">
        <f t="shared" si="0"/>
        <v>9.4339622641509441E-2</v>
      </c>
    </row>
    <row r="32" spans="1:5">
      <c r="A32" s="2">
        <v>211</v>
      </c>
      <c r="B32" s="2" t="s">
        <v>33</v>
      </c>
      <c r="C32">
        <f>((anual!I32-anual!D32)/7)/anual!D32</f>
        <v>3.4531094457913684E-3</v>
      </c>
      <c r="D32">
        <f>anual!C32</f>
        <v>14410.500892204112</v>
      </c>
      <c r="E32" s="4">
        <f t="shared" si="0"/>
        <v>9.4339622641509441E-2</v>
      </c>
    </row>
    <row r="33" spans="1:5">
      <c r="A33" s="2">
        <v>212</v>
      </c>
      <c r="B33" s="2" t="s">
        <v>34</v>
      </c>
      <c r="C33">
        <f>((anual!I33-anual!D33)/7)/anual!D33</f>
        <v>3.5841874694335094E-3</v>
      </c>
      <c r="D33">
        <f>anual!C33</f>
        <v>22165.483844052134</v>
      </c>
      <c r="E33" s="4">
        <f t="shared" si="0"/>
        <v>9.4339622641509441E-2</v>
      </c>
    </row>
    <row r="34" spans="1:5">
      <c r="A34" s="2">
        <v>213</v>
      </c>
      <c r="B34" s="2" t="s">
        <v>35</v>
      </c>
      <c r="C34">
        <f>((anual!I34-anual!D34)/7)/anual!D34</f>
        <v>5.3724116208518939E-3</v>
      </c>
      <c r="D34">
        <f>anual!C34</f>
        <v>54442.633617922635</v>
      </c>
      <c r="E34" s="4">
        <f t="shared" si="0"/>
        <v>9.4339622641509441E-2</v>
      </c>
    </row>
    <row r="35" spans="1:5">
      <c r="A35" s="2">
        <v>214</v>
      </c>
      <c r="B35" s="2" t="s">
        <v>36</v>
      </c>
      <c r="C35">
        <f>((anual!I35-anual!D35)/7)/anual!D35</f>
        <v>1.1409413530946664E-2</v>
      </c>
      <c r="D35">
        <f>anual!C35</f>
        <v>34045.178955669733</v>
      </c>
      <c r="E35" s="4">
        <f t="shared" si="0"/>
        <v>9.4339622641509441E-2</v>
      </c>
    </row>
    <row r="36" spans="1:5">
      <c r="A36" s="2">
        <v>215</v>
      </c>
      <c r="B36" s="2" t="s">
        <v>37</v>
      </c>
      <c r="C36">
        <f>((anual!I36-anual!D36)/7)/anual!D36</f>
        <v>4.9476740207180722E-3</v>
      </c>
      <c r="D36">
        <f>anual!C36</f>
        <v>19166.649236339777</v>
      </c>
      <c r="E36" s="4">
        <f t="shared" si="0"/>
        <v>9.4339622641509441E-2</v>
      </c>
    </row>
    <row r="37" spans="1:5">
      <c r="A37" s="2">
        <v>216</v>
      </c>
      <c r="B37" s="2" t="s">
        <v>38</v>
      </c>
      <c r="C37">
        <f>((anual!I37-anual!D37)/7)/anual!D37</f>
        <v>1.0201788943689527E-2</v>
      </c>
      <c r="D37">
        <f>anual!C37</f>
        <v>16589.593831471066</v>
      </c>
      <c r="E37" s="4">
        <f t="shared" si="0"/>
        <v>9.4339622641509441E-2</v>
      </c>
    </row>
    <row r="38" spans="1:5">
      <c r="A38" s="2">
        <v>301</v>
      </c>
      <c r="B38" s="2" t="s">
        <v>39</v>
      </c>
      <c r="C38">
        <f>((anual!I38-anual!D38)/7)/anual!D38</f>
        <v>1.7631233970079299E-3</v>
      </c>
      <c r="D38">
        <f>anual!C38</f>
        <v>160800.54777507891</v>
      </c>
      <c r="E38" s="4">
        <f t="shared" si="0"/>
        <v>9.4339622641509441E-2</v>
      </c>
    </row>
    <row r="39" spans="1:5">
      <c r="A39" s="2">
        <v>302</v>
      </c>
      <c r="B39" s="2" t="s">
        <v>40</v>
      </c>
      <c r="C39">
        <f>((anual!I39-anual!D39)/7)/anual!D39</f>
        <v>1.9409233851842747E-3</v>
      </c>
      <c r="D39">
        <f>anual!C39</f>
        <v>60503.614472114554</v>
      </c>
      <c r="E39" s="4">
        <f t="shared" si="0"/>
        <v>9.4339622641509441E-2</v>
      </c>
    </row>
    <row r="40" spans="1:5">
      <c r="A40" s="2">
        <v>303</v>
      </c>
      <c r="B40" s="2" t="s">
        <v>41</v>
      </c>
      <c r="C40">
        <f>((anual!I40-anual!D40)/7)/anual!D40</f>
        <v>3.2813645124535793E-3</v>
      </c>
      <c r="D40">
        <f>anual!C40</f>
        <v>111181.99268416413</v>
      </c>
      <c r="E40" s="4">
        <f t="shared" si="0"/>
        <v>9.4339622641509441E-2</v>
      </c>
    </row>
    <row r="41" spans="1:5">
      <c r="A41" s="2">
        <v>304</v>
      </c>
      <c r="B41" s="2" t="s">
        <v>42</v>
      </c>
      <c r="C41">
        <f>((anual!I41-anual!D41)/7)/anual!D41</f>
        <v>-1.875319691834949E-3</v>
      </c>
      <c r="D41">
        <f>anual!C41</f>
        <v>16013.572967355041</v>
      </c>
      <c r="E41" s="4">
        <f t="shared" si="0"/>
        <v>9.4339622641509441E-2</v>
      </c>
    </row>
    <row r="42" spans="1:5">
      <c r="A42" s="2">
        <v>305</v>
      </c>
      <c r="B42" s="2" t="s">
        <v>43</v>
      </c>
      <c r="C42">
        <f>((anual!I42-anual!D42)/7)/anual!D42</f>
        <v>-2.8414147425063594E-3</v>
      </c>
      <c r="D42">
        <f>anual!C42</f>
        <v>70325.525267318735</v>
      </c>
      <c r="E42" s="4">
        <f t="shared" si="0"/>
        <v>9.4339622641509441E-2</v>
      </c>
    </row>
    <row r="43" spans="1:5">
      <c r="A43" s="2">
        <v>306</v>
      </c>
      <c r="B43" s="2" t="s">
        <v>44</v>
      </c>
      <c r="C43">
        <f>((anual!I43-anual!D43)/7)/anual!D43</f>
        <v>1.027499633523098E-3</v>
      </c>
      <c r="D43">
        <f>anual!C43</f>
        <v>15059.088779095084</v>
      </c>
      <c r="E43" s="4">
        <f t="shared" si="0"/>
        <v>9.4339622641509441E-2</v>
      </c>
    </row>
    <row r="44" spans="1:5">
      <c r="A44" s="2">
        <v>307</v>
      </c>
      <c r="B44" s="2" t="s">
        <v>45</v>
      </c>
      <c r="C44">
        <f>((anual!I44-anual!D44)/7)/anual!D44</f>
        <v>1.586539610801402E-3</v>
      </c>
      <c r="D44">
        <f>anual!C44</f>
        <v>48159.580867468983</v>
      </c>
      <c r="E44" s="4">
        <f t="shared" si="0"/>
        <v>9.4339622641509441E-2</v>
      </c>
    </row>
    <row r="45" spans="1:5">
      <c r="A45" s="2">
        <v>308</v>
      </c>
      <c r="B45" s="2" t="s">
        <v>46</v>
      </c>
      <c r="C45">
        <f>((anual!I45-anual!D45)/7)/anual!D45</f>
        <v>1.9796925213435004E-3</v>
      </c>
      <c r="D45">
        <f>anual!C45</f>
        <v>44512.114468701118</v>
      </c>
      <c r="E45" s="4">
        <f t="shared" si="0"/>
        <v>9.4339622641509441E-2</v>
      </c>
    </row>
    <row r="46" spans="1:5">
      <c r="A46" s="2">
        <v>401</v>
      </c>
      <c r="B46" s="2" t="s">
        <v>47</v>
      </c>
      <c r="C46">
        <f>((anual!I46-anual!D46)/7)/anual!D46</f>
        <v>4.417625643832134E-3</v>
      </c>
      <c r="D46">
        <f>anual!C46</f>
        <v>141279.33236905705</v>
      </c>
      <c r="E46" s="4">
        <f t="shared" si="0"/>
        <v>9.4339622641509441E-2</v>
      </c>
    </row>
    <row r="47" spans="1:5">
      <c r="A47" s="2">
        <v>402</v>
      </c>
      <c r="B47" s="2" t="s">
        <v>48</v>
      </c>
      <c r="C47">
        <f>((anual!I47-anual!D47)/7)/anual!D47</f>
        <v>6.1172090172660109E-3</v>
      </c>
      <c r="D47">
        <f>anual!C47</f>
        <v>46412.577574639348</v>
      </c>
      <c r="E47" s="4">
        <f t="shared" si="0"/>
        <v>9.4339622641509441E-2</v>
      </c>
    </row>
    <row r="48" spans="1:5">
      <c r="A48" s="2">
        <v>403</v>
      </c>
      <c r="B48" s="2" t="s">
        <v>49</v>
      </c>
      <c r="C48">
        <f>((anual!I48-anual!D48)/7)/anual!D48</f>
        <v>3.3805719623731241E-3</v>
      </c>
      <c r="D48">
        <f>anual!C48</f>
        <v>48618.467107528188</v>
      </c>
      <c r="E48" s="4">
        <f t="shared" si="0"/>
        <v>9.4339622641509441E-2</v>
      </c>
    </row>
    <row r="49" spans="1:5">
      <c r="A49" s="2">
        <v>404</v>
      </c>
      <c r="B49" s="2" t="s">
        <v>50</v>
      </c>
      <c r="C49">
        <f>((anual!I49-anual!D49)/7)/anual!D49</f>
        <v>5.7772007659230677E-3</v>
      </c>
      <c r="D49">
        <f>anual!C49</f>
        <v>42982.873210465354</v>
      </c>
      <c r="E49" s="4">
        <f t="shared" si="0"/>
        <v>9.4339622641509441E-2</v>
      </c>
    </row>
    <row r="50" spans="1:5">
      <c r="A50" s="2">
        <v>405</v>
      </c>
      <c r="B50" s="2" t="s">
        <v>51</v>
      </c>
      <c r="C50">
        <f>((anual!I50-anual!D50)/7)/anual!D50</f>
        <v>5.2870262626682684E-3</v>
      </c>
      <c r="D50">
        <f>anual!C50</f>
        <v>54313.580033103179</v>
      </c>
      <c r="E50" s="4">
        <f t="shared" si="0"/>
        <v>9.4339622641509441E-2</v>
      </c>
    </row>
    <row r="51" spans="1:5">
      <c r="A51" s="2">
        <v>406</v>
      </c>
      <c r="B51" s="2" t="s">
        <v>52</v>
      </c>
      <c r="C51">
        <f>((anual!I51-anual!D51)/7)/anual!D51</f>
        <v>3.7952413768835049E-3</v>
      </c>
      <c r="D51">
        <f>anual!C51</f>
        <v>22740.240755341045</v>
      </c>
      <c r="E51" s="4">
        <f t="shared" si="0"/>
        <v>9.4339622641509441E-2</v>
      </c>
    </row>
    <row r="52" spans="1:5">
      <c r="A52" s="2">
        <v>407</v>
      </c>
      <c r="B52" s="2" t="s">
        <v>53</v>
      </c>
      <c r="C52">
        <f>((anual!I52-anual!D52)/7)/anual!D52</f>
        <v>3.115418895730318E-3</v>
      </c>
      <c r="D52">
        <f>anual!C52</f>
        <v>25802.988492663877</v>
      </c>
      <c r="E52" s="4">
        <f t="shared" si="0"/>
        <v>9.4339622641509441E-2</v>
      </c>
    </row>
    <row r="53" spans="1:5">
      <c r="A53" s="2">
        <v>408</v>
      </c>
      <c r="B53" s="2" t="s">
        <v>54</v>
      </c>
      <c r="C53">
        <f>((anual!I53-anual!D53)/7)/anual!D53</f>
        <v>5.2621279143333392E-3</v>
      </c>
      <c r="D53">
        <f>anual!C53</f>
        <v>21193.070036267593</v>
      </c>
      <c r="E53" s="4">
        <f t="shared" si="0"/>
        <v>9.4339622641509441E-2</v>
      </c>
    </row>
    <row r="54" spans="1:5">
      <c r="A54" s="2">
        <v>409</v>
      </c>
      <c r="B54" s="2" t="s">
        <v>55</v>
      </c>
      <c r="C54">
        <f>((anual!I54-anual!D54)/7)/anual!D54</f>
        <v>1.2046976212780362E-3</v>
      </c>
      <c r="D54">
        <f>anual!C54</f>
        <v>30125.956695576082</v>
      </c>
      <c r="E54" s="4">
        <f t="shared" si="0"/>
        <v>9.4339622641509441E-2</v>
      </c>
    </row>
    <row r="55" spans="1:5">
      <c r="A55" s="2">
        <v>410</v>
      </c>
      <c r="B55" s="2" t="s">
        <v>56</v>
      </c>
      <c r="C55">
        <f>((anual!I55-anual!D55)/7)/anual!D55</f>
        <v>1.4048524325157918E-2</v>
      </c>
      <c r="D55">
        <f>anual!C55</f>
        <v>86102.105355116975</v>
      </c>
      <c r="E55" s="4">
        <f t="shared" si="0"/>
        <v>9.4339622641509441E-2</v>
      </c>
    </row>
    <row r="56" spans="1:5">
      <c r="A56" s="2">
        <v>501</v>
      </c>
      <c r="B56" s="2" t="s">
        <v>57</v>
      </c>
      <c r="C56">
        <f>((anual!I56-anual!D56)/7)/anual!D56</f>
        <v>8.5168759246700143E-3</v>
      </c>
      <c r="D56">
        <f>anual!C56</f>
        <v>76113.681382974697</v>
      </c>
      <c r="E56" s="4">
        <f t="shared" si="0"/>
        <v>9.4339622641509441E-2</v>
      </c>
    </row>
    <row r="57" spans="1:5">
      <c r="A57" s="2">
        <v>502</v>
      </c>
      <c r="B57" s="2" t="s">
        <v>58</v>
      </c>
      <c r="C57">
        <f>((anual!I57-anual!D57)/7)/anual!D57</f>
        <v>3.6837367636312524E-3</v>
      </c>
      <c r="D57">
        <f>anual!C57</f>
        <v>57161.818517786087</v>
      </c>
      <c r="E57" s="4">
        <f t="shared" si="0"/>
        <v>9.4339622641509441E-2</v>
      </c>
    </row>
    <row r="58" spans="1:5">
      <c r="A58" s="2">
        <v>503</v>
      </c>
      <c r="B58" s="2" t="s">
        <v>59</v>
      </c>
      <c r="C58">
        <f>((anual!I58-anual!D58)/7)/anual!D58</f>
        <v>8.479829388756556E-3</v>
      </c>
      <c r="D58">
        <f>anual!C58</f>
        <v>68302.663687150722</v>
      </c>
      <c r="E58" s="4">
        <f t="shared" si="0"/>
        <v>9.4339622641509441E-2</v>
      </c>
    </row>
    <row r="59" spans="1:5">
      <c r="A59" s="2">
        <v>504</v>
      </c>
      <c r="B59" s="2" t="s">
        <v>60</v>
      </c>
      <c r="C59">
        <f>((anual!I59-anual!D59)/7)/anual!D59</f>
        <v>6.8107718797761913E-3</v>
      </c>
      <c r="D59">
        <f>anual!C59</f>
        <v>24209.971915413378</v>
      </c>
      <c r="E59" s="4">
        <f t="shared" si="0"/>
        <v>9.4339622641509441E-2</v>
      </c>
    </row>
    <row r="60" spans="1:5">
      <c r="A60" s="2">
        <v>505</v>
      </c>
      <c r="B60" s="2" t="s">
        <v>61</v>
      </c>
      <c r="C60">
        <f>((anual!I60-anual!D60)/7)/anual!D60</f>
        <v>9.7360515586771019E-3</v>
      </c>
      <c r="D60">
        <f>anual!C60</f>
        <v>46040.071352808089</v>
      </c>
      <c r="E60" s="4">
        <f t="shared" si="0"/>
        <v>9.4339622641509441E-2</v>
      </c>
    </row>
    <row r="61" spans="1:5">
      <c r="A61" s="2">
        <v>506</v>
      </c>
      <c r="B61" s="2" t="s">
        <v>62</v>
      </c>
      <c r="C61">
        <f>((anual!I61-anual!D61)/7)/anual!D61</f>
        <v>4.2145146332176024E-3</v>
      </c>
      <c r="D61">
        <f>anual!C61</f>
        <v>31572.870195090771</v>
      </c>
      <c r="E61" s="4">
        <f t="shared" si="0"/>
        <v>9.4339622641509441E-2</v>
      </c>
    </row>
    <row r="62" spans="1:5">
      <c r="A62" s="2">
        <v>507</v>
      </c>
      <c r="B62" s="2" t="s">
        <v>63</v>
      </c>
      <c r="C62">
        <f>((anual!I62-anual!D62)/7)/anual!D62</f>
        <v>1.203435200739461E-3</v>
      </c>
      <c r="D62">
        <f>anual!C62</f>
        <v>19885.432570915815</v>
      </c>
      <c r="E62" s="4">
        <f t="shared" si="0"/>
        <v>9.4339622641509441E-2</v>
      </c>
    </row>
    <row r="63" spans="1:5">
      <c r="A63" s="2">
        <v>508</v>
      </c>
      <c r="B63" s="2" t="s">
        <v>64</v>
      </c>
      <c r="C63">
        <f>((anual!I63-anual!D63)/7)/anual!D63</f>
        <v>1.4196822064844467E-3</v>
      </c>
      <c r="D63">
        <f>anual!C63</f>
        <v>24550.259070555054</v>
      </c>
      <c r="E63" s="4">
        <f t="shared" si="0"/>
        <v>9.4339622641509441E-2</v>
      </c>
    </row>
    <row r="64" spans="1:5">
      <c r="A64" s="2">
        <v>509</v>
      </c>
      <c r="B64" s="2" t="s">
        <v>65</v>
      </c>
      <c r="C64">
        <f>((anual!I64-anual!D64)/7)/anual!D64</f>
        <v>-3.4891643205361582E-4</v>
      </c>
      <c r="D64">
        <f>anual!C64</f>
        <v>11475.207717340756</v>
      </c>
      <c r="E64" s="4">
        <f t="shared" si="0"/>
        <v>9.4339622641509441E-2</v>
      </c>
    </row>
    <row r="65" spans="1:5">
      <c r="A65" s="2">
        <v>510</v>
      </c>
      <c r="B65" s="2" t="s">
        <v>66</v>
      </c>
      <c r="C65">
        <f>((anual!I65-anual!D65)/7)/anual!D65</f>
        <v>8.8018004980593024E-3</v>
      </c>
      <c r="D65">
        <f>anual!C65</f>
        <v>26061.852712436965</v>
      </c>
      <c r="E65" s="4">
        <f t="shared" si="0"/>
        <v>9.4339622641509441E-2</v>
      </c>
    </row>
    <row r="66" spans="1:5">
      <c r="A66" s="2">
        <v>511</v>
      </c>
      <c r="B66" s="2" t="s">
        <v>67</v>
      </c>
      <c r="C66">
        <f>((anual!I66-anual!D66)/7)/anual!D66</f>
        <v>1.3066881873625188E-3</v>
      </c>
      <c r="D66">
        <f>anual!C66</f>
        <v>7102.1703459052405</v>
      </c>
      <c r="E66" s="4">
        <f t="shared" si="0"/>
        <v>9.4339622641509441E-2</v>
      </c>
    </row>
    <row r="67" spans="1:5">
      <c r="A67" s="2">
        <v>601</v>
      </c>
      <c r="B67" s="2" t="s">
        <v>68</v>
      </c>
      <c r="C67">
        <f>((anual!I67-anual!D67)/7)/anual!D67</f>
        <v>5.9649057179595906E-3</v>
      </c>
      <c r="D67">
        <f>anual!C67</f>
        <v>137471.87134663673</v>
      </c>
      <c r="E67" s="4">
        <f t="shared" si="0"/>
        <v>9.4339622641509441E-2</v>
      </c>
    </row>
    <row r="68" spans="1:5">
      <c r="A68" s="2">
        <v>602</v>
      </c>
      <c r="B68" s="2" t="s">
        <v>69</v>
      </c>
      <c r="C68">
        <f>((anual!I68-anual!D68)/7)/anual!D68</f>
        <v>7.3618030703158531E-3</v>
      </c>
      <c r="D68">
        <f>anual!C68</f>
        <v>33409.314792378209</v>
      </c>
      <c r="E68" s="4">
        <f t="shared" ref="E68:E86" si="1">5/53</f>
        <v>9.4339622641509441E-2</v>
      </c>
    </row>
    <row r="69" spans="1:5">
      <c r="A69" s="2">
        <v>603</v>
      </c>
      <c r="B69" s="2" t="s">
        <v>70</v>
      </c>
      <c r="C69">
        <f>((anual!I69-anual!D69)/7)/anual!D69</f>
        <v>5.6121829058213852E-3</v>
      </c>
      <c r="D69">
        <f>anual!C69</f>
        <v>52550.463292340683</v>
      </c>
      <c r="E69" s="4">
        <f t="shared" si="1"/>
        <v>9.4339622641509441E-2</v>
      </c>
    </row>
    <row r="70" spans="1:5">
      <c r="A70" s="2">
        <v>604</v>
      </c>
      <c r="B70" s="2" t="s">
        <v>71</v>
      </c>
      <c r="C70">
        <f>((anual!I70-anual!D70)/7)/anual!D70</f>
        <v>3.2025609781807162E-3</v>
      </c>
      <c r="D70">
        <f>anual!C70</f>
        <v>14564.88873797431</v>
      </c>
      <c r="E70" s="4">
        <f t="shared" si="1"/>
        <v>9.4339622641509441E-2</v>
      </c>
    </row>
    <row r="71" spans="1:5">
      <c r="A71" s="2">
        <v>605</v>
      </c>
      <c r="B71" s="2" t="s">
        <v>72</v>
      </c>
      <c r="C71">
        <f>((anual!I71-anual!D71)/7)/anual!D71</f>
        <v>-4.9502219245360244E-4</v>
      </c>
      <c r="D71">
        <f>anual!C71</f>
        <v>29567.044098543542</v>
      </c>
      <c r="E71" s="4">
        <f t="shared" si="1"/>
        <v>9.4339622641509441E-2</v>
      </c>
    </row>
    <row r="72" spans="1:5">
      <c r="A72" s="2">
        <v>606</v>
      </c>
      <c r="B72" s="2" t="s">
        <v>73</v>
      </c>
      <c r="C72">
        <f>((anual!I72-anual!D72)/7)/anual!D72</f>
        <v>6.9381136846736581E-3</v>
      </c>
      <c r="D72">
        <f>anual!C72</f>
        <v>33050.969850982001</v>
      </c>
      <c r="E72" s="4">
        <f t="shared" si="1"/>
        <v>9.4339622641509441E-2</v>
      </c>
    </row>
    <row r="73" spans="1:5">
      <c r="A73" s="2">
        <v>607</v>
      </c>
      <c r="B73" s="2" t="s">
        <v>74</v>
      </c>
      <c r="C73">
        <f>((anual!I73-anual!D73)/7)/anual!D73</f>
        <v>-2.9708028972162562E-4</v>
      </c>
      <c r="D73">
        <f>anual!C73</f>
        <v>32039.288694175266</v>
      </c>
      <c r="E73" s="4">
        <f t="shared" si="1"/>
        <v>9.4339622641509441E-2</v>
      </c>
    </row>
    <row r="74" spans="1:5">
      <c r="A74" s="2">
        <v>608</v>
      </c>
      <c r="B74" s="2" t="s">
        <v>75</v>
      </c>
      <c r="C74">
        <f>((anual!I74-anual!D74)/7)/anual!D74</f>
        <v>-2.9679669016130176E-3</v>
      </c>
      <c r="D74">
        <f>anual!C74</f>
        <v>36461.088623227894</v>
      </c>
      <c r="E74" s="4">
        <f t="shared" si="1"/>
        <v>9.4339622641509441E-2</v>
      </c>
    </row>
    <row r="75" spans="1:5">
      <c r="A75" s="2">
        <v>609</v>
      </c>
      <c r="B75" s="2" t="s">
        <v>76</v>
      </c>
      <c r="C75">
        <f>((anual!I75-anual!D75)/7)/anual!D75</f>
        <v>9.579872634006479E-3</v>
      </c>
      <c r="D75">
        <f>anual!C75</f>
        <v>20834.340359595444</v>
      </c>
      <c r="E75" s="4">
        <f t="shared" si="1"/>
        <v>9.4339622641509441E-2</v>
      </c>
    </row>
    <row r="76" spans="1:5">
      <c r="A76" s="2">
        <v>610</v>
      </c>
      <c r="B76" s="2" t="s">
        <v>77</v>
      </c>
      <c r="C76">
        <f>((anual!I76-anual!D76)/7)/anual!D76</f>
        <v>3.1887544107189175E-3</v>
      </c>
      <c r="D76">
        <f>anual!C76</f>
        <v>51926.454889730572</v>
      </c>
      <c r="E76" s="4">
        <f t="shared" si="1"/>
        <v>9.4339622641509441E-2</v>
      </c>
    </row>
    <row r="77" spans="1:5">
      <c r="A77" s="2">
        <v>611</v>
      </c>
      <c r="B77" s="2" t="s">
        <v>78</v>
      </c>
      <c r="C77">
        <f>((anual!I77-anual!D77)/7)/anual!D77</f>
        <v>1.5777518215040986E-2</v>
      </c>
      <c r="D77">
        <f>anual!C77</f>
        <v>25410.003899916341</v>
      </c>
      <c r="E77" s="4">
        <f t="shared" si="1"/>
        <v>9.4339622641509441E-2</v>
      </c>
    </row>
    <row r="78" spans="1:5">
      <c r="A78" s="2">
        <v>612</v>
      </c>
      <c r="B78" s="2" t="s">
        <v>79</v>
      </c>
      <c r="C78">
        <f>((anual!I78-anual!D78)/7)/anual!D78</f>
        <v>2.8334736141647069E-3</v>
      </c>
      <c r="D78">
        <f>anual!C78</f>
        <v>4723.7495104457066</v>
      </c>
      <c r="E78" s="4">
        <f t="shared" si="1"/>
        <v>9.4339622641509441E-2</v>
      </c>
    </row>
    <row r="79" spans="1:5">
      <c r="A79" s="2">
        <v>613</v>
      </c>
      <c r="B79" s="2" t="s">
        <v>80</v>
      </c>
      <c r="C79">
        <f>((anual!I79-anual!D79)/7)/anual!D79</f>
        <v>1.3670338421210378E-2</v>
      </c>
      <c r="D79">
        <f>anual!C79</f>
        <v>12532.241626081443</v>
      </c>
      <c r="E79" s="4">
        <f t="shared" si="1"/>
        <v>9.4339622641509441E-2</v>
      </c>
    </row>
    <row r="80" spans="1:5">
      <c r="A80" s="2">
        <v>701</v>
      </c>
      <c r="B80" s="2" t="s">
        <v>81</v>
      </c>
      <c r="C80">
        <f>((anual!I80-anual!D80)/7)/anual!D80</f>
        <v>-1.8325655232655121E-3</v>
      </c>
      <c r="D80">
        <f>anual!C80</f>
        <v>93441.203508879888</v>
      </c>
      <c r="E80" s="4">
        <f t="shared" si="1"/>
        <v>9.4339622641509441E-2</v>
      </c>
    </row>
    <row r="81" spans="1:5">
      <c r="A81" s="2">
        <v>702</v>
      </c>
      <c r="B81" s="2" t="s">
        <v>82</v>
      </c>
      <c r="C81">
        <f>((anual!I81-anual!D81)/7)/anual!D81</f>
        <v>5.6549233603908162E-3</v>
      </c>
      <c r="D81">
        <f>anual!C81</f>
        <v>148901.97962131642</v>
      </c>
      <c r="E81" s="4">
        <f t="shared" si="1"/>
        <v>9.4339622641509441E-2</v>
      </c>
    </row>
    <row r="82" spans="1:5">
      <c r="A82" s="2">
        <v>703</v>
      </c>
      <c r="B82" s="2" t="s">
        <v>83</v>
      </c>
      <c r="C82">
        <f>((anual!I82-anual!D82)/7)/anual!D82</f>
        <v>5.3800249334947682E-4</v>
      </c>
      <c r="D82">
        <f>anual!C82</f>
        <v>56935.574463207653</v>
      </c>
      <c r="E82" s="4">
        <f t="shared" si="1"/>
        <v>9.4339622641509441E-2</v>
      </c>
    </row>
    <row r="83" spans="1:5">
      <c r="A83" s="2">
        <v>704</v>
      </c>
      <c r="B83" s="2" t="s">
        <v>84</v>
      </c>
      <c r="C83">
        <f>((anual!I83-anual!D83)/7)/anual!D83</f>
        <v>8.837789248615344E-3</v>
      </c>
      <c r="D83">
        <f>anual!C83</f>
        <v>42872.750282955603</v>
      </c>
      <c r="E83" s="4">
        <f t="shared" si="1"/>
        <v>9.4339622641509441E-2</v>
      </c>
    </row>
    <row r="84" spans="1:5">
      <c r="A84" s="2">
        <v>705</v>
      </c>
      <c r="B84" s="2" t="s">
        <v>85</v>
      </c>
      <c r="C84">
        <f>((anual!I84-anual!D84)/7)/anual!D84</f>
        <v>3.5209375646829922E-3</v>
      </c>
      <c r="D84">
        <f>anual!C84</f>
        <v>44129.391173650161</v>
      </c>
      <c r="E84" s="4">
        <f t="shared" si="1"/>
        <v>9.4339622641509441E-2</v>
      </c>
    </row>
    <row r="85" spans="1:5">
      <c r="A85" s="3">
        <v>706</v>
      </c>
      <c r="B85" s="2" t="s">
        <v>86</v>
      </c>
      <c r="C85">
        <f>((anual!I85-anual!D85)/7)/anual!D85</f>
        <v>7.7234079986302972E-3</v>
      </c>
      <c r="D85">
        <f>anual!C85</f>
        <v>55137.943035120479</v>
      </c>
      <c r="E85" s="4">
        <f t="shared" si="1"/>
        <v>9.4339622641509441E-2</v>
      </c>
    </row>
    <row r="86" spans="1:5">
      <c r="A86" s="5">
        <v>0</v>
      </c>
      <c r="B86" s="2" t="s">
        <v>93</v>
      </c>
      <c r="C86">
        <f>((anual!I86-anual!D86)/7)/anual!D86</f>
        <v>3.9718671018175106E-3</v>
      </c>
      <c r="D86">
        <f>anual!C86</f>
        <v>5020970.0892126299</v>
      </c>
      <c r="E86" s="4">
        <f t="shared" si="1"/>
        <v>9.4339622641509441E-2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5460-D5C0-4B93-9965-6181036A3AC4}">
  <dimension ref="A1:A2"/>
  <sheetViews>
    <sheetView workbookViewId="0">
      <selection sqref="A1:XFD1"/>
    </sheetView>
  </sheetViews>
  <sheetFormatPr baseColWidth="10" defaultRowHeight="14.5"/>
  <sheetData>
    <row r="1" spans="1:1" ht="15.5">
      <c r="A1" s="1" t="s">
        <v>1</v>
      </c>
    </row>
    <row r="2" spans="1:1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anual</vt:lpstr>
      <vt:lpstr>constants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MARIANNE ALESANDRA PEÑA WUST</cp:lastModifiedBy>
  <dcterms:created xsi:type="dcterms:W3CDTF">2015-06-05T18:17:20Z</dcterms:created>
  <dcterms:modified xsi:type="dcterms:W3CDTF">2026-03-01T00:34:29Z</dcterms:modified>
</cp:coreProperties>
</file>