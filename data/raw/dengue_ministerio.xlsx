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C:\Users\nan\OneDrive\Documentos\ucr\practica profesiona\dengue-model\data\raw\"/>
    </mc:Choice>
  </mc:AlternateContent>
  <xr:revisionPtr revIDLastSave="0" documentId="13_ncr:1_{5B481455-FBD0-492B-AE19-6B5F4900370D}" xr6:coauthVersionLast="47" xr6:coauthVersionMax="47" xr10:uidLastSave="{00000000-0000-0000-0000-000000000000}"/>
  <bookViews>
    <workbookView xWindow="-110" yWindow="-110" windowWidth="19420" windowHeight="11020" activeTab="9" xr2:uid="{00000000-000D-0000-FFFF-FFFF00000000}"/>
  </bookViews>
  <sheets>
    <sheet name="2011-2016" sheetId="12" r:id="rId1"/>
    <sheet name="2017" sheetId="1" r:id="rId2"/>
    <sheet name="2018" sheetId="2" r:id="rId3"/>
    <sheet name="2019" sheetId="3" r:id="rId4"/>
    <sheet name="2020" sheetId="4" r:id="rId5"/>
    <sheet name="2021" sheetId="5" r:id="rId6"/>
    <sheet name="2022" sheetId="6" r:id="rId7"/>
    <sheet name="2023" sheetId="7" r:id="rId8"/>
    <sheet name="2024" sheetId="8" r:id="rId9"/>
    <sheet name="2025" sheetId="9" r:id="rId10"/>
  </sheets>
  <externalReferences>
    <externalReference r:id="rId11"/>
    <externalReference r:id="rId12"/>
  </externalReferences>
  <definedNames>
    <definedName name="Tabla9">[1]Dinamica!$EA$39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16" i="9" l="1"/>
  <c r="E116" i="9"/>
  <c r="F116" i="9"/>
  <c r="G116" i="9"/>
  <c r="H116" i="9"/>
  <c r="I116" i="9"/>
  <c r="J116" i="9"/>
  <c r="K116" i="9"/>
  <c r="L116" i="9"/>
  <c r="M116" i="9"/>
  <c r="N116" i="9"/>
  <c r="O116" i="9"/>
  <c r="P116" i="9"/>
  <c r="Q116" i="9"/>
  <c r="R116" i="9"/>
  <c r="S116" i="9"/>
  <c r="T116" i="9"/>
  <c r="U116" i="9"/>
  <c r="V116" i="9"/>
  <c r="W116" i="9"/>
  <c r="X116" i="9"/>
  <c r="Y116" i="9"/>
  <c r="Z116" i="9"/>
  <c r="AA116" i="9"/>
  <c r="AB116" i="9"/>
  <c r="AC116" i="9"/>
  <c r="AD116" i="9"/>
  <c r="AE116" i="9"/>
  <c r="AF116" i="9"/>
  <c r="AG116" i="9"/>
  <c r="AH116" i="9"/>
  <c r="AI116" i="9"/>
  <c r="AJ116" i="9"/>
  <c r="AK116" i="9"/>
  <c r="AL116" i="9"/>
  <c r="AM116" i="9"/>
  <c r="AN116" i="9"/>
  <c r="AO116" i="9"/>
  <c r="AP116" i="9"/>
  <c r="AQ116" i="9"/>
  <c r="AR116" i="9"/>
  <c r="AS116" i="9"/>
  <c r="AT116" i="9"/>
  <c r="AU116" i="9"/>
  <c r="AV116" i="9"/>
  <c r="AW116" i="9"/>
  <c r="AX116" i="9"/>
  <c r="AY116" i="9"/>
  <c r="AZ116" i="9"/>
  <c r="BA116" i="9"/>
  <c r="BB116" i="9"/>
  <c r="BC116" i="9"/>
  <c r="BD116" i="9"/>
  <c r="D115" i="9"/>
  <c r="E115" i="9"/>
  <c r="F115" i="9"/>
  <c r="G115" i="9"/>
  <c r="H115" i="9"/>
  <c r="I115" i="9"/>
  <c r="J115" i="9"/>
  <c r="K115" i="9"/>
  <c r="L115" i="9"/>
  <c r="M115" i="9"/>
  <c r="N115" i="9"/>
  <c r="O115" i="9"/>
  <c r="P115" i="9"/>
  <c r="Q115" i="9"/>
  <c r="R115" i="9"/>
  <c r="S115" i="9"/>
  <c r="T115" i="9"/>
  <c r="U115" i="9"/>
  <c r="V115" i="9"/>
  <c r="W115" i="9"/>
  <c r="X115" i="9"/>
  <c r="Y115" i="9"/>
  <c r="Z115" i="9"/>
  <c r="AA115" i="9"/>
  <c r="AB115" i="9"/>
  <c r="AC115" i="9"/>
  <c r="AD115" i="9"/>
  <c r="AE115" i="9"/>
  <c r="AF115" i="9"/>
  <c r="AG115" i="9"/>
  <c r="AH115" i="9"/>
  <c r="AI115" i="9"/>
  <c r="AJ115" i="9"/>
  <c r="AK115" i="9"/>
  <c r="AL115" i="9"/>
  <c r="AM115" i="9"/>
  <c r="AN115" i="9"/>
  <c r="AO115" i="9"/>
  <c r="AP115" i="9"/>
  <c r="AQ115" i="9"/>
  <c r="AR115" i="9"/>
  <c r="AS115" i="9"/>
  <c r="AT115" i="9"/>
  <c r="AU115" i="9"/>
  <c r="AV115" i="9"/>
  <c r="AW115" i="9"/>
  <c r="AX115" i="9"/>
  <c r="AY115" i="9"/>
  <c r="AZ115" i="9"/>
  <c r="BA115" i="9"/>
  <c r="BB115" i="9"/>
  <c r="BC115" i="9"/>
  <c r="BD115" i="9"/>
  <c r="D117" i="8"/>
  <c r="E117" i="8"/>
  <c r="F117" i="8"/>
  <c r="G117" i="8"/>
  <c r="H117" i="8"/>
  <c r="I117" i="8"/>
  <c r="J117" i="8"/>
  <c r="K117" i="8"/>
  <c r="L117" i="8"/>
  <c r="M117" i="8"/>
  <c r="N117" i="8"/>
  <c r="O117" i="8"/>
  <c r="P117" i="8"/>
  <c r="Q117" i="8"/>
  <c r="R117" i="8"/>
  <c r="S117" i="8"/>
  <c r="T117" i="8"/>
  <c r="U117" i="8"/>
  <c r="V117" i="8"/>
  <c r="W117" i="8"/>
  <c r="X117" i="8"/>
  <c r="Y117" i="8"/>
  <c r="Z117" i="8"/>
  <c r="AA117" i="8"/>
  <c r="AB117" i="8"/>
  <c r="AC117" i="8"/>
  <c r="AD117" i="8"/>
  <c r="AE117" i="8"/>
  <c r="AF117" i="8"/>
  <c r="AG117" i="8"/>
  <c r="AH117" i="8"/>
  <c r="AI117" i="8"/>
  <c r="AJ117" i="8"/>
  <c r="AK117" i="8"/>
  <c r="AL117" i="8"/>
  <c r="AM117" i="8"/>
  <c r="AN117" i="8"/>
  <c r="AO117" i="8"/>
  <c r="AP117" i="8"/>
  <c r="AQ117" i="8"/>
  <c r="AR117" i="8"/>
  <c r="AS117" i="8"/>
  <c r="AT117" i="8"/>
  <c r="AU117" i="8"/>
  <c r="AV117" i="8"/>
  <c r="AW117" i="8"/>
  <c r="AX117" i="8"/>
  <c r="AY117" i="8"/>
  <c r="AZ117" i="8"/>
  <c r="BA117" i="8"/>
  <c r="BB117" i="8"/>
  <c r="BC117" i="8"/>
  <c r="BD117" i="8"/>
  <c r="B117" i="8"/>
  <c r="D116" i="8"/>
  <c r="E116" i="8"/>
  <c r="F116" i="8"/>
  <c r="G116" i="8"/>
  <c r="H116" i="8"/>
  <c r="I116" i="8"/>
  <c r="J116" i="8"/>
  <c r="K116" i="8"/>
  <c r="L116" i="8"/>
  <c r="M116" i="8"/>
  <c r="N116" i="8"/>
  <c r="O116" i="8"/>
  <c r="P116" i="8"/>
  <c r="Q116" i="8"/>
  <c r="R116" i="8"/>
  <c r="S116" i="8"/>
  <c r="T116" i="8"/>
  <c r="U116" i="8"/>
  <c r="V116" i="8"/>
  <c r="W116" i="8"/>
  <c r="X116" i="8"/>
  <c r="Y116" i="8"/>
  <c r="Z116" i="8"/>
  <c r="AA116" i="8"/>
  <c r="AB116" i="8"/>
  <c r="AC116" i="8"/>
  <c r="AD116" i="8"/>
  <c r="AE116" i="8"/>
  <c r="AF116" i="8"/>
  <c r="AG116" i="8"/>
  <c r="AH116" i="8"/>
  <c r="AI116" i="8"/>
  <c r="AJ116" i="8"/>
  <c r="AK116" i="8"/>
  <c r="AL116" i="8"/>
  <c r="AM116" i="8"/>
  <c r="AN116" i="8"/>
  <c r="AO116" i="8"/>
  <c r="AP116" i="8"/>
  <c r="AQ116" i="8"/>
  <c r="AR116" i="8"/>
  <c r="AS116" i="8"/>
  <c r="AT116" i="8"/>
  <c r="AU116" i="8"/>
  <c r="AV116" i="8"/>
  <c r="AW116" i="8"/>
  <c r="AX116" i="8"/>
  <c r="AY116" i="8"/>
  <c r="AZ116" i="8"/>
  <c r="BA116" i="8"/>
  <c r="BB116" i="8"/>
  <c r="BC116" i="8"/>
  <c r="BD116" i="8"/>
  <c r="B116" i="8"/>
  <c r="D115" i="7"/>
  <c r="E115" i="7"/>
  <c r="F115" i="7"/>
  <c r="G115" i="7"/>
  <c r="H115" i="7"/>
  <c r="I115" i="7"/>
  <c r="J115" i="7"/>
  <c r="K115" i="7"/>
  <c r="L115" i="7"/>
  <c r="M115" i="7"/>
  <c r="N115" i="7"/>
  <c r="O115" i="7"/>
  <c r="P115" i="7"/>
  <c r="Q115" i="7"/>
  <c r="R115" i="7"/>
  <c r="S115" i="7"/>
  <c r="T115" i="7"/>
  <c r="U115" i="7"/>
  <c r="V115" i="7"/>
  <c r="W115" i="7"/>
  <c r="X115" i="7"/>
  <c r="Y115" i="7"/>
  <c r="Z115" i="7"/>
  <c r="AA115" i="7"/>
  <c r="AB115" i="7"/>
  <c r="AC115" i="7"/>
  <c r="AD115" i="7"/>
  <c r="AE115" i="7"/>
  <c r="AF115" i="7"/>
  <c r="AG115" i="7"/>
  <c r="AH115" i="7"/>
  <c r="AI115" i="7"/>
  <c r="AJ115" i="7"/>
  <c r="AK115" i="7"/>
  <c r="AL115" i="7"/>
  <c r="AM115" i="7"/>
  <c r="AN115" i="7"/>
  <c r="AO115" i="7"/>
  <c r="AP115" i="7"/>
  <c r="AQ115" i="7"/>
  <c r="AR115" i="7"/>
  <c r="AS115" i="7"/>
  <c r="AT115" i="7"/>
  <c r="AU115" i="7"/>
  <c r="AV115" i="7"/>
  <c r="AW115" i="7"/>
  <c r="AX115" i="7"/>
  <c r="AY115" i="7"/>
  <c r="AZ115" i="7"/>
  <c r="BA115" i="7"/>
  <c r="BB115" i="7"/>
  <c r="BC115" i="7"/>
  <c r="BD115" i="7"/>
  <c r="B115" i="7"/>
  <c r="B115" i="9" l="1"/>
  <c r="B116" i="9" l="1"/>
  <c r="D53" i="9" l="1"/>
  <c r="D52" i="9"/>
  <c r="AS16" i="2"/>
  <c r="AS36" i="2"/>
  <c r="AS35" i="2"/>
  <c r="D98" i="9"/>
  <c r="B98" i="9"/>
  <c r="AI53" i="9"/>
  <c r="AI52" i="9"/>
  <c r="AI13" i="9"/>
  <c r="AI12" i="9"/>
  <c r="AI10" i="9"/>
  <c r="AV16" i="2"/>
  <c r="AV14" i="2"/>
  <c r="AV13" i="2"/>
  <c r="S16" i="2"/>
  <c r="S63" i="2"/>
  <c r="S62" i="2"/>
  <c r="AZ53" i="9"/>
  <c r="AZ52" i="9"/>
  <c r="AZ35" i="9"/>
  <c r="AZ34" i="9"/>
  <c r="F16" i="2"/>
  <c r="F75" i="2"/>
  <c r="F74" i="2"/>
  <c r="AJ16" i="2"/>
  <c r="S88" i="2"/>
  <c r="J53" i="9"/>
  <c r="J52" i="9"/>
  <c r="J60" i="9"/>
  <c r="T16" i="2"/>
  <c r="T88" i="2"/>
  <c r="T87" i="2"/>
  <c r="V16" i="2"/>
  <c r="V75" i="2"/>
  <c r="V74" i="2"/>
  <c r="J23" i="9"/>
  <c r="K16" i="2"/>
  <c r="K88" i="2"/>
  <c r="K87" i="2"/>
  <c r="X16" i="2"/>
  <c r="X53" i="2"/>
  <c r="X52" i="2"/>
  <c r="D16" i="2"/>
  <c r="D92" i="2"/>
  <c r="B92" i="2"/>
  <c r="C92" i="2"/>
  <c r="J37" i="9"/>
  <c r="D30" i="2"/>
  <c r="B30" i="2"/>
  <c r="C30" i="2"/>
  <c r="S55" i="2"/>
  <c r="S75" i="2"/>
  <c r="S106" i="2"/>
  <c r="AS53" i="9"/>
  <c r="AS52" i="9"/>
  <c r="AS35" i="9"/>
  <c r="AS34" i="9"/>
  <c r="S27" i="2"/>
  <c r="S59" i="2"/>
  <c r="G16" i="2"/>
  <c r="AP16" i="2"/>
  <c r="AP27" i="2"/>
  <c r="G41" i="2"/>
  <c r="T58" i="2"/>
  <c r="G82" i="2"/>
  <c r="S26" i="2"/>
  <c r="T20" i="2"/>
  <c r="AN53" i="9"/>
  <c r="AN52" i="9"/>
  <c r="AN18" i="9"/>
  <c r="T93" i="2"/>
  <c r="X103" i="2"/>
  <c r="X37" i="2"/>
  <c r="G67" i="2"/>
  <c r="D63" i="2"/>
  <c r="D62" i="2"/>
  <c r="AJ57" i="2"/>
  <c r="K58" i="2"/>
  <c r="G71" i="2"/>
  <c r="AZ48" i="9"/>
  <c r="AS64" i="9"/>
  <c r="D95" i="2"/>
  <c r="AS79" i="9"/>
  <c r="D98" i="2"/>
  <c r="K90" i="2"/>
  <c r="AI46" i="9"/>
  <c r="J48" i="9"/>
  <c r="X92" i="2"/>
  <c r="K69" i="2"/>
  <c r="T109" i="2"/>
  <c r="AZ81" i="9"/>
  <c r="T32" i="2"/>
  <c r="G17" i="2"/>
  <c r="F30" i="2"/>
  <c r="AS27" i="2"/>
  <c r="K37" i="2"/>
  <c r="D108" i="2"/>
  <c r="AV57" i="2"/>
  <c r="G23" i="2"/>
  <c r="AN32" i="9"/>
  <c r="K28" i="2"/>
  <c r="AI47" i="9"/>
  <c r="AU52" i="9"/>
  <c r="AU53" i="9"/>
  <c r="AU25" i="9"/>
  <c r="G75" i="2"/>
  <c r="AI50" i="9"/>
  <c r="T46" i="2"/>
  <c r="D14" i="2"/>
  <c r="D13" i="2"/>
  <c r="B13" i="2"/>
  <c r="C13" i="2"/>
  <c r="AU24" i="9"/>
  <c r="AU21" i="9"/>
  <c r="AU106" i="9"/>
  <c r="K105" i="2"/>
  <c r="X76" i="2"/>
  <c r="AS96" i="9"/>
  <c r="V64" i="2"/>
  <c r="X17" i="2"/>
  <c r="Z53" i="9"/>
  <c r="Z52" i="9"/>
  <c r="Z63" i="9"/>
  <c r="Z62" i="9"/>
  <c r="AS31" i="9"/>
  <c r="W16" i="2"/>
  <c r="W53" i="2"/>
  <c r="W52" i="2"/>
  <c r="AZ78" i="9"/>
  <c r="AS21" i="2"/>
  <c r="AI48" i="9"/>
  <c r="F37" i="2"/>
  <c r="D40" i="9"/>
  <c r="AV11" i="2"/>
  <c r="AI83" i="9"/>
  <c r="F59" i="2"/>
  <c r="AS59" i="2"/>
  <c r="V98" i="2"/>
  <c r="AV50" i="2"/>
  <c r="AZ67" i="9"/>
  <c r="AI111" i="9"/>
  <c r="D44" i="2"/>
  <c r="AN107" i="9"/>
  <c r="D17" i="2"/>
  <c r="T72" i="2"/>
  <c r="AV85" i="2"/>
  <c r="D50" i="2"/>
  <c r="AJ92" i="2"/>
  <c r="T23" i="2"/>
  <c r="AB53" i="9"/>
  <c r="AB52" i="9"/>
  <c r="AB63" i="9"/>
  <c r="AB62" i="9"/>
  <c r="X69" i="2"/>
  <c r="V109" i="2"/>
  <c r="V76" i="2"/>
  <c r="AS47" i="9"/>
  <c r="F47" i="2"/>
  <c r="S17" i="2"/>
  <c r="AS108" i="2"/>
  <c r="AZ36" i="9"/>
  <c r="G77" i="2"/>
  <c r="K23" i="2"/>
  <c r="AV28" i="2"/>
  <c r="X81" i="2"/>
  <c r="X27" i="2"/>
  <c r="D17" i="9"/>
  <c r="V23" i="2"/>
  <c r="J76" i="9"/>
  <c r="AZ66" i="9"/>
  <c r="F42" i="2"/>
  <c r="D37" i="2"/>
  <c r="AS20" i="9"/>
  <c r="K95" i="2"/>
  <c r="AP21" i="2"/>
  <c r="F15" i="2"/>
  <c r="AJ81" i="2"/>
  <c r="AJ95" i="2"/>
  <c r="V63" i="2"/>
  <c r="V47" i="2"/>
  <c r="AI58" i="9"/>
  <c r="AJ36" i="2"/>
  <c r="D24" i="9"/>
  <c r="V66" i="2"/>
  <c r="D106" i="2"/>
  <c r="S80" i="2"/>
  <c r="AJ94" i="2"/>
  <c r="AP25" i="2"/>
  <c r="AI76" i="9"/>
  <c r="D18" i="9"/>
  <c r="B18" i="9"/>
  <c r="AS78" i="9"/>
  <c r="D104" i="9"/>
  <c r="AM16" i="2"/>
  <c r="AM101" i="2"/>
  <c r="AM100" i="2"/>
  <c r="D32" i="2"/>
  <c r="BB16" i="2"/>
  <c r="BB63" i="2"/>
  <c r="BB62" i="2"/>
  <c r="AS59" i="9"/>
  <c r="J104" i="9"/>
  <c r="X88" i="2"/>
  <c r="AZ110" i="9"/>
  <c r="AZ25" i="9"/>
  <c r="AS22" i="9"/>
  <c r="AN59" i="9"/>
  <c r="V39" i="2"/>
  <c r="X23" i="2"/>
  <c r="AI82" i="9"/>
  <c r="C98" i="9"/>
  <c r="V38" i="2"/>
  <c r="G37" i="2"/>
  <c r="D57" i="9"/>
  <c r="AM14" i="2"/>
  <c r="V31" i="2"/>
  <c r="M53" i="9"/>
  <c r="M52" i="9"/>
  <c r="M36" i="9"/>
  <c r="D94" i="2"/>
  <c r="W78" i="2"/>
  <c r="AS89" i="2"/>
  <c r="AP72" i="2"/>
  <c r="AV21" i="2"/>
  <c r="Z22" i="9"/>
  <c r="AP23" i="2"/>
  <c r="T60" i="2"/>
  <c r="AS55" i="9"/>
  <c r="W88" i="2"/>
  <c r="AJ32" i="2"/>
  <c r="J93" i="9"/>
  <c r="L53" i="9"/>
  <c r="L52" i="9"/>
  <c r="L89" i="9"/>
  <c r="L87" i="9"/>
  <c r="Z111" i="9"/>
  <c r="Z104" i="9"/>
  <c r="AK16" i="2"/>
  <c r="AK63" i="2"/>
  <c r="AK62" i="2"/>
  <c r="W68" i="2"/>
  <c r="Z54" i="9"/>
  <c r="W105" i="2"/>
  <c r="AX16" i="2"/>
  <c r="AX36" i="2"/>
  <c r="AX35" i="2"/>
  <c r="Z65" i="9"/>
  <c r="W104" i="2"/>
  <c r="W87" i="2"/>
  <c r="M91" i="9"/>
  <c r="M48" i="9"/>
  <c r="M68" i="9"/>
  <c r="D31" i="2"/>
  <c r="B31" i="2"/>
  <c r="C31" i="2"/>
  <c r="G89" i="2"/>
  <c r="X19" i="2"/>
  <c r="G25" i="2"/>
  <c r="AJ37" i="2"/>
  <c r="T39" i="2"/>
  <c r="F101" i="2"/>
  <c r="K65" i="2"/>
  <c r="AI29" i="9"/>
  <c r="AV27" i="2"/>
  <c r="AS17" i="9"/>
  <c r="D49" i="2"/>
  <c r="AP47" i="2"/>
  <c r="AS77" i="2"/>
  <c r="K98" i="2"/>
  <c r="X26" i="2"/>
  <c r="V48" i="2"/>
  <c r="AA53" i="9"/>
  <c r="AA52" i="9"/>
  <c r="AA13" i="9"/>
  <c r="AA12" i="9"/>
  <c r="AA10" i="9"/>
  <c r="D92" i="9"/>
  <c r="AZ107" i="9"/>
  <c r="F57" i="2"/>
  <c r="T44" i="2"/>
  <c r="AP20" i="2"/>
  <c r="J43" i="9"/>
  <c r="AJ47" i="2"/>
  <c r="J71" i="9"/>
  <c r="V33" i="2"/>
  <c r="F81" i="2"/>
  <c r="AI77" i="9"/>
  <c r="V68" i="2"/>
  <c r="AS67" i="9"/>
  <c r="T19" i="2"/>
  <c r="AV69" i="2"/>
  <c r="AZ69" i="9"/>
  <c r="K106" i="2"/>
  <c r="K72" i="2"/>
  <c r="AN22" i="9"/>
  <c r="AO53" i="9"/>
  <c r="AO52" i="9"/>
  <c r="AO21" i="9"/>
  <c r="AM65" i="2"/>
  <c r="AJ18" i="2"/>
  <c r="AV81" i="2"/>
  <c r="J22" i="9"/>
  <c r="AN43" i="9"/>
  <c r="AM72" i="2"/>
  <c r="M98" i="9"/>
  <c r="B94" i="2"/>
  <c r="W18" i="2"/>
  <c r="AB16" i="2"/>
  <c r="AB14" i="2"/>
  <c r="AB13" i="2"/>
  <c r="AB11" i="2"/>
  <c r="M39" i="9"/>
  <c r="AM60" i="2"/>
  <c r="M92" i="9"/>
  <c r="D54" i="2"/>
  <c r="AS83" i="9"/>
  <c r="AZ72" i="9"/>
  <c r="AS72" i="9"/>
  <c r="V72" i="2"/>
  <c r="AO20" i="9"/>
  <c r="AR16" i="2"/>
  <c r="AR75" i="2"/>
  <c r="AR74" i="2"/>
  <c r="AS78" i="2"/>
  <c r="AE53" i="9"/>
  <c r="AE52" i="9"/>
  <c r="AE13" i="9"/>
  <c r="AE12" i="9"/>
  <c r="BB53" i="2"/>
  <c r="BB52" i="2"/>
  <c r="AC16" i="2"/>
  <c r="AC101" i="2"/>
  <c r="AC100" i="2"/>
  <c r="AZ16" i="2"/>
  <c r="AZ53" i="2"/>
  <c r="AZ52" i="2"/>
  <c r="W85" i="2"/>
  <c r="X52" i="9"/>
  <c r="X53" i="9"/>
  <c r="X13" i="9"/>
  <c r="X12" i="9"/>
  <c r="X10" i="9"/>
  <c r="D46" i="9"/>
  <c r="B46" i="9"/>
  <c r="C46" i="9"/>
  <c r="AM44" i="2"/>
  <c r="D69" i="9"/>
  <c r="B69" i="9"/>
  <c r="C69" i="9"/>
  <c r="AM31" i="2"/>
  <c r="M40" i="9"/>
  <c r="AM89" i="2"/>
  <c r="AM19" i="2"/>
  <c r="AO45" i="9"/>
  <c r="AO93" i="9"/>
  <c r="D48" i="9"/>
  <c r="B48" i="9"/>
  <c r="C48" i="9"/>
  <c r="AO15" i="9"/>
  <c r="AB103" i="9"/>
  <c r="AB102" i="9"/>
  <c r="AM83" i="2"/>
  <c r="AB75" i="2"/>
  <c r="AB74" i="2"/>
  <c r="AO27" i="9"/>
  <c r="D102" i="2"/>
  <c r="B102" i="2"/>
  <c r="C102" i="2"/>
  <c r="AL16" i="2"/>
  <c r="AL53" i="2"/>
  <c r="AL52" i="2"/>
  <c r="AP92" i="2"/>
  <c r="K66" i="2"/>
  <c r="K14" i="2"/>
  <c r="G98" i="2"/>
  <c r="X102" i="2"/>
  <c r="AN29" i="9"/>
  <c r="F33" i="2"/>
  <c r="J39" i="9"/>
  <c r="AJ103" i="2"/>
  <c r="F64" i="2"/>
  <c r="D106" i="9"/>
  <c r="AI103" i="9"/>
  <c r="AJ17" i="2"/>
  <c r="X68" i="2"/>
  <c r="AP28" i="2"/>
  <c r="D33" i="2"/>
  <c r="D36" i="2"/>
  <c r="B36" i="2"/>
  <c r="C36" i="2"/>
  <c r="F93" i="2"/>
  <c r="X95" i="2"/>
  <c r="AQ52" i="9"/>
  <c r="AQ53" i="9"/>
  <c r="AQ98" i="9"/>
  <c r="G91" i="2"/>
  <c r="T56" i="2"/>
  <c r="AP75" i="2"/>
  <c r="AZ22" i="9"/>
  <c r="AN19" i="9"/>
  <c r="AS66" i="2"/>
  <c r="AV89" i="2"/>
  <c r="AI78" i="9"/>
  <c r="D46" i="2"/>
  <c r="AQ39" i="9"/>
  <c r="AI28" i="9"/>
  <c r="G52" i="9"/>
  <c r="G53" i="9"/>
  <c r="D81" i="9"/>
  <c r="H16" i="2"/>
  <c r="H63" i="2"/>
  <c r="H62" i="2"/>
  <c r="AQ43" i="9"/>
  <c r="AJ96" i="2"/>
  <c r="G35" i="9"/>
  <c r="G46" i="9"/>
  <c r="AL63" i="2"/>
  <c r="AL62" i="2"/>
  <c r="G111" i="9"/>
  <c r="AU97" i="9"/>
  <c r="AU43" i="9"/>
  <c r="W79" i="2"/>
  <c r="G29" i="9"/>
  <c r="AZ111" i="9"/>
  <c r="AI54" i="9"/>
  <c r="S23" i="2"/>
  <c r="AN110" i="9"/>
  <c r="G13" i="9"/>
  <c r="X63" i="9"/>
  <c r="AJ35" i="2"/>
  <c r="Z19" i="9"/>
  <c r="AI23" i="9"/>
  <c r="W84" i="2"/>
  <c r="G59" i="9"/>
  <c r="AM63" i="2"/>
  <c r="U52" i="9"/>
  <c r="U53" i="9"/>
  <c r="U13" i="9"/>
  <c r="U12" i="9"/>
  <c r="AJ76" i="2"/>
  <c r="K75" i="2"/>
  <c r="AN20" i="9"/>
  <c r="AO63" i="9"/>
  <c r="D13" i="9"/>
  <c r="M13" i="9"/>
  <c r="F58" i="2"/>
  <c r="W103" i="2"/>
  <c r="X83" i="9"/>
  <c r="AQ56" i="9"/>
  <c r="AU90" i="9"/>
  <c r="X17" i="9"/>
  <c r="M37" i="9"/>
  <c r="W71" i="2"/>
  <c r="L35" i="9"/>
  <c r="W50" i="2"/>
  <c r="AZ37" i="9"/>
  <c r="AS58" i="9"/>
  <c r="D56" i="9"/>
  <c r="D18" i="2"/>
  <c r="AV42" i="2"/>
  <c r="AV67" i="2"/>
  <c r="X38" i="2"/>
  <c r="AV59" i="2"/>
  <c r="T48" i="2"/>
  <c r="AZ79" i="9"/>
  <c r="AN98" i="9"/>
  <c r="S66" i="2"/>
  <c r="D111" i="9"/>
  <c r="T71" i="2"/>
  <c r="D19" i="9"/>
  <c r="K68" i="2"/>
  <c r="AS80" i="9"/>
  <c r="AV33" i="2"/>
  <c r="AA95" i="9"/>
  <c r="AJ43" i="2"/>
  <c r="T84" i="2"/>
  <c r="AJ98" i="2"/>
  <c r="D48" i="2"/>
  <c r="AS19" i="2"/>
  <c r="J45" i="9"/>
  <c r="AN13" i="9"/>
  <c r="AS93" i="2"/>
  <c r="X14" i="2"/>
  <c r="AS92" i="9"/>
  <c r="AI69" i="9"/>
  <c r="G26" i="2"/>
  <c r="G92" i="2"/>
  <c r="S108" i="2"/>
  <c r="K53" i="9"/>
  <c r="K52" i="9"/>
  <c r="AS31" i="2"/>
  <c r="T95" i="2"/>
  <c r="AS105" i="2"/>
  <c r="AZ103" i="9"/>
  <c r="K36" i="2"/>
  <c r="AI75" i="9"/>
  <c r="AX63" i="2"/>
  <c r="AN104" i="9"/>
  <c r="T76" i="2"/>
  <c r="AP39" i="2"/>
  <c r="AZ44" i="9"/>
  <c r="D49" i="9"/>
  <c r="AA97" i="9"/>
  <c r="AP93" i="2"/>
  <c r="AI27" i="9"/>
  <c r="AV78" i="2"/>
  <c r="AV37" i="2"/>
  <c r="D41" i="9"/>
  <c r="X108" i="2"/>
  <c r="K19" i="9"/>
  <c r="AS32" i="9"/>
  <c r="AD53" i="9"/>
  <c r="AD52" i="9"/>
  <c r="D24" i="2"/>
  <c r="B24" i="2"/>
  <c r="C24" i="2"/>
  <c r="AZ77" i="9"/>
  <c r="AX27" i="2"/>
  <c r="AV54" i="2"/>
  <c r="K82" i="9"/>
  <c r="V88" i="2"/>
  <c r="AV76" i="2"/>
  <c r="AZ105" i="9"/>
  <c r="AJ50" i="2"/>
  <c r="AX71" i="2"/>
  <c r="AS56" i="2"/>
  <c r="AI37" i="9"/>
  <c r="X91" i="2"/>
  <c r="AJ46" i="2"/>
  <c r="AD110" i="9"/>
  <c r="K44" i="9"/>
  <c r="AJ28" i="2"/>
  <c r="AI64" i="9"/>
  <c r="T108" i="2"/>
  <c r="AP41" i="2"/>
  <c r="AD84" i="9"/>
  <c r="AD54" i="9"/>
  <c r="W54" i="2"/>
  <c r="AU81" i="9"/>
  <c r="AC63" i="2"/>
  <c r="AC62" i="2"/>
  <c r="AA103" i="9"/>
  <c r="AA102" i="9"/>
  <c r="Z90" i="9"/>
  <c r="W56" i="2"/>
  <c r="W96" i="2"/>
  <c r="G64" i="2"/>
  <c r="L85" i="9"/>
  <c r="AE40" i="9"/>
  <c r="M58" i="9"/>
  <c r="AM64" i="2"/>
  <c r="L78" i="9"/>
  <c r="M42" i="9"/>
  <c r="L21" i="9"/>
  <c r="L54" i="9"/>
  <c r="AO54" i="9"/>
  <c r="AL106" i="2"/>
  <c r="AL33" i="2"/>
  <c r="Z59" i="9"/>
  <c r="M96" i="9"/>
  <c r="AQ108" i="9"/>
  <c r="AQ105" i="9"/>
  <c r="W42" i="2"/>
  <c r="AE75" i="9"/>
  <c r="AM52" i="9"/>
  <c r="AM53" i="9"/>
  <c r="AM35" i="9"/>
  <c r="AM34" i="9"/>
  <c r="W33" i="2"/>
  <c r="Z84" i="9"/>
  <c r="AI16" i="2"/>
  <c r="AI88" i="2"/>
  <c r="AI87" i="2"/>
  <c r="AZ83" i="2"/>
  <c r="I16" i="2"/>
  <c r="I75" i="2"/>
  <c r="I74" i="2"/>
  <c r="AM90" i="2"/>
  <c r="AL78" i="2"/>
  <c r="AC75" i="2"/>
  <c r="AC74" i="2"/>
  <c r="R16" i="2"/>
  <c r="R101" i="2"/>
  <c r="R100" i="2"/>
  <c r="G28" i="9"/>
  <c r="W95" i="2"/>
  <c r="AE98" i="9"/>
  <c r="X96" i="9"/>
  <c r="AS68" i="9"/>
  <c r="V55" i="2"/>
  <c r="AS71" i="2"/>
  <c r="AS65" i="2"/>
  <c r="G76" i="2"/>
  <c r="AZ39" i="9"/>
  <c r="AO13" i="9"/>
  <c r="T29" i="2"/>
  <c r="J20" i="9"/>
  <c r="AJ54" i="2"/>
  <c r="AS58" i="2"/>
  <c r="AX24" i="2"/>
  <c r="X41" i="2"/>
  <c r="AJ30" i="2"/>
  <c r="D21" i="9"/>
  <c r="S25" i="2"/>
  <c r="X33" i="2"/>
  <c r="AS82" i="2"/>
  <c r="AS49" i="2"/>
  <c r="D16" i="9"/>
  <c r="AS45" i="9"/>
  <c r="K103" i="2"/>
  <c r="T104" i="2"/>
  <c r="AZ75" i="9"/>
  <c r="X42" i="2"/>
  <c r="D41" i="2"/>
  <c r="V42" i="2"/>
  <c r="X28" i="2"/>
  <c r="X39" i="2"/>
  <c r="AX82" i="2"/>
  <c r="T106" i="2"/>
  <c r="X55" i="2"/>
  <c r="AJ19" i="2"/>
  <c r="AX103" i="2"/>
  <c r="T57" i="2"/>
  <c r="AD15" i="9"/>
  <c r="AS81" i="9"/>
  <c r="K108" i="9"/>
  <c r="D21" i="2"/>
  <c r="M47" i="9"/>
  <c r="X80" i="9"/>
  <c r="AE42" i="9"/>
  <c r="AM104" i="2"/>
  <c r="AO66" i="9"/>
  <c r="AI60" i="9"/>
  <c r="K14" i="9"/>
  <c r="K83" i="2"/>
  <c r="K13" i="2"/>
  <c r="AO40" i="9"/>
  <c r="AE44" i="9"/>
  <c r="AZ85" i="2"/>
  <c r="L69" i="9"/>
  <c r="L20" i="9"/>
  <c r="L14" i="9"/>
  <c r="AI14" i="2"/>
  <c r="F54" i="2"/>
  <c r="AX77" i="2"/>
  <c r="K82" i="2"/>
  <c r="AZ74" i="9"/>
  <c r="AN108" i="9"/>
  <c r="AP89" i="2"/>
  <c r="AS96" i="2"/>
  <c r="D47" i="2"/>
  <c r="AR23" i="2"/>
  <c r="AQ23" i="9"/>
  <c r="X13" i="2"/>
  <c r="AE21" i="9"/>
  <c r="Z93" i="9"/>
  <c r="AC56" i="2"/>
  <c r="AA41" i="9"/>
  <c r="X64" i="2"/>
  <c r="AM81" i="2"/>
  <c r="AN105" i="9"/>
  <c r="G80" i="9"/>
  <c r="F14" i="2"/>
  <c r="AB76" i="2"/>
  <c r="AE96" i="9"/>
  <c r="AL45" i="2"/>
  <c r="L59" i="9"/>
  <c r="R23" i="2"/>
  <c r="J69" i="9"/>
  <c r="V29" i="2"/>
  <c r="X72" i="9"/>
  <c r="X18" i="9"/>
  <c r="R56" i="2"/>
  <c r="K79" i="9"/>
  <c r="M24" i="9"/>
  <c r="T82" i="2"/>
  <c r="B32" i="2"/>
  <c r="V45" i="2"/>
  <c r="I30" i="2"/>
  <c r="L19" i="9"/>
  <c r="AC65" i="2"/>
  <c r="AD46" i="9"/>
  <c r="I31" i="2"/>
  <c r="AZ24" i="2"/>
  <c r="L64" i="9"/>
  <c r="AZ91" i="2"/>
  <c r="AM50" i="2"/>
  <c r="AM78" i="2"/>
  <c r="G16" i="9"/>
  <c r="AO49" i="9"/>
  <c r="AM42" i="2"/>
  <c r="AZ80" i="2"/>
  <c r="B41" i="2"/>
  <c r="BB36" i="2"/>
  <c r="F66" i="2"/>
  <c r="AB101" i="2"/>
  <c r="AP65" i="2"/>
  <c r="S24" i="2"/>
  <c r="AV48" i="2"/>
  <c r="J90" i="9"/>
  <c r="S45" i="2"/>
  <c r="AZ102" i="9"/>
  <c r="AS30" i="9"/>
  <c r="AD35" i="9"/>
  <c r="AB43" i="9"/>
  <c r="AB57" i="9"/>
  <c r="AP36" i="2"/>
  <c r="R15" i="2"/>
  <c r="AA57" i="9"/>
  <c r="AB17" i="9"/>
  <c r="R102" i="2"/>
  <c r="K85" i="9"/>
  <c r="AB23" i="2"/>
  <c r="AI68" i="2"/>
  <c r="AX106" i="2"/>
  <c r="AB93" i="9"/>
  <c r="K77" i="9"/>
  <c r="AA72" i="9"/>
  <c r="AB91" i="2"/>
  <c r="AR40" i="2"/>
  <c r="AR29" i="2"/>
  <c r="AR55" i="2"/>
  <c r="AI19" i="2"/>
  <c r="AI58" i="2"/>
  <c r="AB58" i="9"/>
  <c r="AX30" i="2"/>
  <c r="AX79" i="2"/>
  <c r="AI96" i="2"/>
  <c r="AB97" i="9"/>
  <c r="AD77" i="9"/>
  <c r="AC83" i="2"/>
  <c r="AX94" i="2"/>
  <c r="AI26" i="2"/>
  <c r="K111" i="9"/>
  <c r="AD16" i="9"/>
  <c r="AR42" i="2"/>
  <c r="AX55" i="2"/>
  <c r="R98" i="2"/>
  <c r="AM13" i="9"/>
  <c r="AB103" i="2"/>
  <c r="AB78" i="2"/>
  <c r="AC98" i="2"/>
  <c r="AB25" i="2"/>
  <c r="AC49" i="2"/>
  <c r="AC77" i="2"/>
  <c r="AB97" i="2"/>
  <c r="R80" i="2"/>
  <c r="AB48" i="9"/>
  <c r="AB37" i="2"/>
  <c r="AB81" i="2"/>
  <c r="AB24" i="2"/>
  <c r="AB77" i="9"/>
  <c r="AB28" i="9"/>
  <c r="AI103" i="2"/>
  <c r="AI22" i="2"/>
  <c r="AB59" i="9"/>
  <c r="S102" i="2"/>
  <c r="X82" i="2"/>
  <c r="AN68" i="9"/>
  <c r="AP68" i="2"/>
  <c r="D83" i="9"/>
  <c r="AN82" i="9"/>
  <c r="G43" i="2"/>
  <c r="S87" i="2"/>
  <c r="AN48" i="9"/>
  <c r="D25" i="2"/>
  <c r="AV15" i="2"/>
  <c r="S57" i="2"/>
  <c r="AM85" i="9"/>
  <c r="J84" i="9"/>
  <c r="AS76" i="9"/>
  <c r="AV65" i="2"/>
  <c r="K85" i="2"/>
  <c r="AP63" i="2"/>
  <c r="F71" i="2"/>
  <c r="AS103" i="2"/>
  <c r="AM55" i="9"/>
  <c r="AZ85" i="9"/>
  <c r="AJ109" i="2"/>
  <c r="AI40" i="9"/>
  <c r="S19" i="2"/>
  <c r="K76" i="2"/>
  <c r="F50" i="2"/>
  <c r="U30" i="9"/>
  <c r="G66" i="2"/>
  <c r="J31" i="9"/>
  <c r="G97" i="2"/>
  <c r="S94" i="2"/>
  <c r="I29" i="2"/>
  <c r="H21" i="2"/>
  <c r="AK44" i="2"/>
  <c r="I33" i="2"/>
  <c r="BB90" i="2"/>
  <c r="U36" i="9"/>
  <c r="AK90" i="2"/>
  <c r="U60" i="9"/>
  <c r="I91" i="2"/>
  <c r="BB19" i="2"/>
  <c r="BB94" i="2"/>
  <c r="V52" i="9"/>
  <c r="V53" i="9"/>
  <c r="AK37" i="2"/>
  <c r="E16" i="2"/>
  <c r="E88" i="2"/>
  <c r="E87" i="2"/>
  <c r="AK25" i="2"/>
  <c r="AK109" i="2"/>
  <c r="H22" i="2"/>
  <c r="H81" i="2"/>
  <c r="H40" i="2"/>
  <c r="BB98" i="2"/>
  <c r="H45" i="2"/>
  <c r="AK18" i="2"/>
  <c r="BB103" i="2"/>
  <c r="H94" i="2"/>
  <c r="H57" i="2"/>
  <c r="H29" i="2"/>
  <c r="H68" i="2"/>
  <c r="AM96" i="9"/>
  <c r="BB50" i="2"/>
  <c r="BB41" i="2"/>
  <c r="BB42" i="2"/>
  <c r="U96" i="9"/>
  <c r="U19" i="9"/>
  <c r="AK58" i="2"/>
  <c r="AK39" i="2"/>
  <c r="AK89" i="2"/>
  <c r="U29" i="9"/>
  <c r="U24" i="9"/>
  <c r="BB46" i="2"/>
  <c r="AM98" i="9"/>
  <c r="BB37" i="2"/>
  <c r="I53" i="9"/>
  <c r="I52" i="9"/>
  <c r="I75" i="9"/>
  <c r="AE32" i="9"/>
  <c r="M16" i="2"/>
  <c r="AA16" i="2"/>
  <c r="AS75" i="9"/>
  <c r="AI92" i="9"/>
  <c r="AG16" i="2"/>
  <c r="AI90" i="9"/>
  <c r="AI56" i="9"/>
  <c r="AS90" i="9"/>
  <c r="K39" i="2"/>
  <c r="AP49" i="2"/>
  <c r="D97" i="2"/>
  <c r="K89" i="2"/>
  <c r="AP38" i="2"/>
  <c r="F27" i="2"/>
  <c r="AP15" i="2"/>
  <c r="AA35" i="9"/>
  <c r="AS38" i="2"/>
  <c r="T78" i="2"/>
  <c r="K46" i="9"/>
  <c r="V60" i="2"/>
  <c r="AD90" i="9"/>
  <c r="AD42" i="9"/>
  <c r="F96" i="2"/>
  <c r="K77" i="2"/>
  <c r="N53" i="9"/>
  <c r="N52" i="9"/>
  <c r="N13" i="9"/>
  <c r="F88" i="2"/>
  <c r="AI110" i="9"/>
  <c r="B95" i="2"/>
  <c r="AA42" i="9"/>
  <c r="T67" i="2"/>
  <c r="AV41" i="2"/>
  <c r="AB13" i="9"/>
  <c r="J82" i="9"/>
  <c r="V77" i="2"/>
  <c r="M23" i="2"/>
  <c r="AZ60" i="9"/>
  <c r="AL68" i="2"/>
  <c r="AL98" i="2"/>
  <c r="AA84" i="9"/>
  <c r="AO77" i="9"/>
  <c r="AI91" i="9"/>
  <c r="AN80" i="9"/>
  <c r="AX53" i="2"/>
  <c r="G48" i="9"/>
  <c r="B54" i="2"/>
  <c r="AA42" i="2"/>
  <c r="Z82" i="9"/>
  <c r="AO25" i="9"/>
  <c r="X65" i="9"/>
  <c r="D11" i="2"/>
  <c r="AR14" i="2"/>
  <c r="AS89" i="9"/>
  <c r="AI95" i="9"/>
  <c r="AI106" i="9"/>
  <c r="L60" i="9"/>
  <c r="X38" i="9"/>
  <c r="D81" i="2"/>
  <c r="D68" i="9"/>
  <c r="J56" i="9"/>
  <c r="AV30" i="2"/>
  <c r="Z89" i="9"/>
  <c r="AA75" i="9"/>
  <c r="F39" i="2"/>
  <c r="C32" i="2"/>
  <c r="AM23" i="9"/>
  <c r="G20" i="2"/>
  <c r="AD59" i="9"/>
  <c r="AO41" i="9"/>
  <c r="F77" i="2"/>
  <c r="AQ82" i="9"/>
  <c r="AR25" i="2"/>
  <c r="AE37" i="9"/>
  <c r="D26" i="9"/>
  <c r="F91" i="2"/>
  <c r="AS74" i="9"/>
  <c r="AA96" i="9"/>
  <c r="AR78" i="2"/>
  <c r="AB54" i="9"/>
  <c r="X67" i="2"/>
  <c r="AV79" i="2"/>
  <c r="BB92" i="2"/>
  <c r="AB48" i="2"/>
  <c r="N59" i="9"/>
  <c r="AB76" i="9"/>
  <c r="AJ80" i="2"/>
  <c r="BB21" i="2"/>
  <c r="AM105" i="9"/>
  <c r="N67" i="9"/>
  <c r="M39" i="2"/>
  <c r="AG48" i="2"/>
  <c r="G77" i="9"/>
  <c r="AJ24" i="2"/>
  <c r="AU46" i="9"/>
  <c r="AA19" i="2"/>
  <c r="AC30" i="2"/>
  <c r="R33" i="2"/>
  <c r="AJ66" i="2"/>
  <c r="W45" i="2"/>
  <c r="AO62" i="9"/>
  <c r="AC79" i="2"/>
  <c r="L15" i="9"/>
  <c r="T50" i="2"/>
  <c r="AS16" i="9"/>
  <c r="K80" i="2"/>
  <c r="AI91" i="2"/>
  <c r="AR18" i="2"/>
  <c r="V95" i="2"/>
  <c r="T75" i="2"/>
  <c r="I31" i="9"/>
  <c r="M55" i="9"/>
  <c r="AV19" i="2"/>
  <c r="G33" i="2"/>
  <c r="G96" i="9"/>
  <c r="K91" i="9"/>
  <c r="K58" i="9"/>
  <c r="X65" i="2"/>
  <c r="AE84" i="9"/>
  <c r="X70" i="9"/>
  <c r="AU41" i="9"/>
  <c r="AB35" i="9"/>
  <c r="W59" i="2"/>
  <c r="AE50" i="9"/>
  <c r="AL94" i="2"/>
  <c r="AU20" i="9"/>
  <c r="L46" i="9"/>
  <c r="AZ56" i="2"/>
  <c r="AU30" i="9"/>
  <c r="AS46" i="9"/>
  <c r="V21" i="2"/>
  <c r="T63" i="2"/>
  <c r="G31" i="2"/>
  <c r="X43" i="2"/>
  <c r="AN65" i="9"/>
  <c r="X54" i="9"/>
  <c r="AL37" i="2"/>
  <c r="AL15" i="2"/>
  <c r="M83" i="2"/>
  <c r="B81" i="9"/>
  <c r="AQ72" i="9"/>
  <c r="AG30" i="2"/>
  <c r="AK46" i="2"/>
  <c r="X22" i="2"/>
  <c r="AG70" i="2"/>
  <c r="AS25" i="9"/>
  <c r="K84" i="2"/>
  <c r="T83" i="2"/>
  <c r="AN58" i="9"/>
  <c r="V105" i="2"/>
  <c r="G56" i="2"/>
  <c r="AZ38" i="9"/>
  <c r="M45" i="9"/>
  <c r="R82" i="2"/>
  <c r="W43" i="2"/>
  <c r="AU75" i="9"/>
  <c r="AL88" i="2"/>
  <c r="AU23" i="9"/>
  <c r="AO98" i="9"/>
  <c r="Z71" i="9"/>
  <c r="AO76" i="9"/>
  <c r="M77" i="2"/>
  <c r="AK101" i="2"/>
  <c r="AX54" i="2"/>
  <c r="M67" i="2"/>
  <c r="AI60" i="2"/>
  <c r="G106" i="9"/>
  <c r="AS44" i="2"/>
  <c r="D65" i="2"/>
  <c r="X103" i="9"/>
  <c r="S96" i="2"/>
  <c r="V97" i="9"/>
  <c r="AM15" i="2"/>
  <c r="G58" i="9"/>
  <c r="B11" i="2"/>
  <c r="AC22" i="2"/>
  <c r="G63" i="9"/>
  <c r="AK36" i="2"/>
  <c r="M27" i="9"/>
  <c r="AQ45" i="9"/>
  <c r="AB43" i="2"/>
  <c r="AG50" i="2"/>
  <c r="N64" i="9"/>
  <c r="E17" i="2"/>
  <c r="AC24" i="2"/>
  <c r="AJ22" i="2"/>
  <c r="AM108" i="9"/>
  <c r="AB32" i="2"/>
  <c r="AE19" i="9"/>
  <c r="L90" i="9"/>
  <c r="AM62" i="2"/>
  <c r="AS110" i="9"/>
  <c r="D101" i="2"/>
  <c r="X24" i="2"/>
  <c r="K55" i="2"/>
  <c r="AO81" i="9"/>
  <c r="AQ30" i="9"/>
  <c r="M21" i="2"/>
  <c r="AO56" i="9"/>
  <c r="W20" i="2"/>
  <c r="D42" i="2"/>
  <c r="K22" i="9"/>
  <c r="G81" i="2"/>
  <c r="M14" i="9"/>
  <c r="AL80" i="2"/>
  <c r="AD76" i="9"/>
  <c r="F56" i="2"/>
  <c r="Z77" i="9"/>
  <c r="I66" i="2"/>
  <c r="X46" i="2"/>
  <c r="X77" i="2"/>
  <c r="AN71" i="9"/>
  <c r="AZ64" i="9"/>
  <c r="AS104" i="2"/>
  <c r="AK102" i="2"/>
  <c r="BB17" i="2"/>
  <c r="U46" i="9"/>
  <c r="AP56" i="2"/>
  <c r="M24" i="2"/>
  <c r="J107" i="9"/>
  <c r="X55" i="9"/>
  <c r="AS29" i="9"/>
  <c r="AM40" i="2"/>
  <c r="AZ65" i="2"/>
  <c r="AA22" i="2"/>
  <c r="AI14" i="9"/>
  <c r="AZ55" i="9"/>
  <c r="AA72" i="2"/>
  <c r="AI89" i="9"/>
  <c r="AA102" i="2"/>
  <c r="M63" i="9"/>
  <c r="G97" i="9"/>
  <c r="AR57" i="2"/>
  <c r="AA24" i="2"/>
  <c r="Z18" i="9"/>
  <c r="AK53" i="2"/>
  <c r="AQ103" i="9"/>
  <c r="F22" i="2"/>
  <c r="K21" i="9"/>
  <c r="U105" i="9"/>
  <c r="AS41" i="2"/>
  <c r="AX78" i="2"/>
  <c r="AR27" i="2"/>
  <c r="AG101" i="2"/>
  <c r="AL42" i="2"/>
  <c r="N81" i="9"/>
  <c r="AK71" i="2"/>
  <c r="AD79" i="9"/>
  <c r="AO18" i="9"/>
  <c r="AG52" i="9"/>
  <c r="AG53" i="9"/>
  <c r="AG15" i="9"/>
  <c r="R94" i="2"/>
  <c r="AM47" i="9"/>
  <c r="U55" i="9"/>
  <c r="AP19" i="2"/>
  <c r="AR63" i="2"/>
  <c r="Z39" i="9"/>
  <c r="S104" i="2"/>
  <c r="E68" i="2"/>
  <c r="E20" i="2"/>
  <c r="AA93" i="9"/>
  <c r="X57" i="2"/>
  <c r="R81" i="2"/>
  <c r="V60" i="9"/>
  <c r="AI25" i="9"/>
  <c r="AP76" i="2"/>
  <c r="E80" i="2"/>
  <c r="D45" i="2"/>
  <c r="E69" i="2"/>
  <c r="E67" i="2"/>
  <c r="AA89" i="9"/>
  <c r="AG23" i="9"/>
  <c r="AG67" i="9"/>
  <c r="AK52" i="2"/>
  <c r="AB111" i="9"/>
  <c r="AA105" i="2"/>
  <c r="AD50" i="9"/>
  <c r="AA98" i="9"/>
  <c r="AC42" i="2"/>
  <c r="AG29" i="2"/>
  <c r="AB106" i="2"/>
  <c r="AB108" i="9"/>
  <c r="AI23" i="2"/>
  <c r="T102" i="2"/>
  <c r="T14" i="2"/>
  <c r="AJ56" i="2"/>
  <c r="AZ56" i="9"/>
  <c r="AV77" i="2"/>
  <c r="T65" i="2"/>
  <c r="AB84" i="9"/>
  <c r="AB18" i="9"/>
  <c r="AI56" i="2"/>
  <c r="T26" i="2"/>
  <c r="I106" i="9"/>
  <c r="AG49" i="2"/>
  <c r="V39" i="9"/>
  <c r="AI48" i="2"/>
  <c r="AN96" i="9"/>
  <c r="AK65" i="2"/>
  <c r="T80" i="2"/>
  <c r="X70" i="2"/>
  <c r="AI93" i="9"/>
  <c r="M71" i="2"/>
  <c r="AK30" i="2"/>
  <c r="AO32" i="9"/>
  <c r="H17" i="2"/>
  <c r="AB98" i="9"/>
  <c r="AO14" i="9"/>
  <c r="AK35" i="2"/>
  <c r="E85" i="2"/>
  <c r="AB60" i="2"/>
  <c r="AZ88" i="2"/>
  <c r="AS40" i="2"/>
  <c r="W44" i="2"/>
  <c r="AA18" i="9"/>
  <c r="BB22" i="2"/>
  <c r="AI37" i="2"/>
  <c r="X104" i="9"/>
  <c r="J67" i="9"/>
  <c r="U57" i="9"/>
  <c r="AK77" i="2"/>
  <c r="N69" i="9"/>
  <c r="I93" i="9"/>
  <c r="L93" i="9"/>
  <c r="AD29" i="9"/>
  <c r="AU83" i="9"/>
  <c r="I32" i="2"/>
  <c r="X62" i="9"/>
  <c r="I71" i="2"/>
  <c r="I21" i="2"/>
  <c r="G30" i="2"/>
  <c r="AL92" i="2"/>
  <c r="Z91" i="9"/>
  <c r="AR15" i="2"/>
  <c r="AJ67" i="2"/>
  <c r="S33" i="2"/>
  <c r="AL17" i="2"/>
  <c r="AG25" i="9"/>
  <c r="AX108" i="2"/>
  <c r="AS94" i="2"/>
  <c r="I74" i="9"/>
  <c r="AG65" i="9"/>
  <c r="AV52" i="9"/>
  <c r="AV53" i="9"/>
  <c r="AV24" i="9"/>
  <c r="V15" i="2"/>
  <c r="T33" i="2"/>
  <c r="AG92" i="2"/>
  <c r="W106" i="2"/>
  <c r="AU22" i="9"/>
  <c r="I84" i="2"/>
  <c r="AK79" i="2"/>
  <c r="AV44" i="2"/>
  <c r="AX92" i="2"/>
  <c r="I79" i="2"/>
  <c r="L105" i="9"/>
  <c r="AG30" i="9"/>
  <c r="BB59" i="2"/>
  <c r="AA32" i="2"/>
  <c r="AC20" i="2"/>
  <c r="BB57" i="2"/>
  <c r="AX23" i="2"/>
  <c r="N84" i="9"/>
  <c r="I57" i="9"/>
  <c r="I27" i="9"/>
  <c r="U48" i="9"/>
  <c r="AM25" i="9"/>
  <c r="I56" i="9"/>
  <c r="H95" i="2"/>
  <c r="H103" i="2"/>
  <c r="BB79" i="2"/>
  <c r="D75" i="2"/>
  <c r="BB95" i="2"/>
  <c r="AX91" i="2"/>
  <c r="AG28" i="2"/>
  <c r="R38" i="2"/>
  <c r="AR49" i="2"/>
  <c r="M92" i="2"/>
  <c r="AG59" i="2"/>
  <c r="T13" i="2"/>
  <c r="AS88" i="2"/>
  <c r="K53" i="2"/>
  <c r="I89" i="9"/>
  <c r="AV102" i="2"/>
  <c r="AM104" i="9"/>
  <c r="AK76" i="2"/>
  <c r="AK55" i="2"/>
  <c r="AK19" i="2"/>
  <c r="AM71" i="9"/>
  <c r="AG54" i="2"/>
  <c r="T92" i="2"/>
  <c r="AV39" i="2"/>
  <c r="AM66" i="2"/>
  <c r="G14" i="2"/>
  <c r="AM95" i="2"/>
  <c r="L84" i="9"/>
  <c r="W32" i="2"/>
  <c r="AL84" i="2"/>
  <c r="AQ15" i="9"/>
  <c r="AA48" i="9"/>
  <c r="AG19" i="2"/>
  <c r="M37" i="2"/>
  <c r="BB33" i="2"/>
  <c r="AG33" i="2"/>
  <c r="AJ90" i="2"/>
  <c r="S32" i="2"/>
  <c r="AQ26" i="9"/>
  <c r="AA98" i="2"/>
  <c r="W63" i="2"/>
  <c r="AR79" i="2"/>
  <c r="Z20" i="9"/>
  <c r="AD69" i="9"/>
  <c r="Z69" i="9"/>
  <c r="AM105" i="2"/>
  <c r="K20" i="9"/>
  <c r="AR48" i="2"/>
  <c r="G41" i="9"/>
  <c r="F68" i="2"/>
  <c r="K15" i="2"/>
  <c r="K22" i="2"/>
  <c r="C18" i="9"/>
  <c r="K50" i="9"/>
  <c r="AZ65" i="9"/>
  <c r="J66" i="9"/>
  <c r="AC39" i="2"/>
  <c r="AQ41" i="9"/>
  <c r="AO104" i="9"/>
  <c r="V57" i="2"/>
  <c r="AA78" i="9"/>
  <c r="S21" i="2"/>
  <c r="AD17" i="9"/>
  <c r="BB69" i="2"/>
  <c r="AA28" i="9"/>
  <c r="AZ82" i="2"/>
  <c r="AC26" i="2"/>
  <c r="AO105" i="9"/>
  <c r="X54" i="2"/>
  <c r="S42" i="2"/>
  <c r="AX40" i="2"/>
  <c r="AZ94" i="2"/>
  <c r="AO107" i="9"/>
  <c r="AE79" i="9"/>
  <c r="AU40" i="9"/>
  <c r="V37" i="9"/>
  <c r="N37" i="9"/>
  <c r="AC55" i="2"/>
  <c r="AN24" i="9"/>
  <c r="AL65" i="2"/>
  <c r="F29" i="2"/>
  <c r="AJ27" i="2"/>
  <c r="G64" i="9"/>
  <c r="AQ25" i="9"/>
  <c r="M56" i="9"/>
  <c r="J59" i="9"/>
  <c r="AM33" i="2"/>
  <c r="AV23" i="2"/>
  <c r="I81" i="2"/>
  <c r="G102" i="2"/>
  <c r="I55" i="9"/>
  <c r="G85" i="2"/>
  <c r="H83" i="2"/>
  <c r="H96" i="2"/>
  <c r="U111" i="9"/>
  <c r="AI42" i="9"/>
  <c r="I65" i="2"/>
  <c r="AO71" i="9"/>
  <c r="I35" i="9"/>
  <c r="AX72" i="2"/>
  <c r="AS69" i="9"/>
  <c r="V58" i="2"/>
  <c r="X58" i="9"/>
  <c r="Z28" i="9"/>
  <c r="M101" i="2"/>
  <c r="AS93" i="9"/>
  <c r="V36" i="2"/>
  <c r="AN78" i="9"/>
  <c r="F97" i="2"/>
  <c r="AB64" i="9"/>
  <c r="AS18" i="2"/>
  <c r="S37" i="2"/>
  <c r="K41" i="9"/>
  <c r="AG55" i="9"/>
  <c r="G96" i="2"/>
  <c r="V20" i="2"/>
  <c r="K11" i="2"/>
  <c r="AE55" i="9"/>
  <c r="AR67" i="2"/>
  <c r="R55" i="2"/>
  <c r="M30" i="9"/>
  <c r="AM29" i="9"/>
  <c r="W98" i="2"/>
  <c r="AG82" i="9"/>
  <c r="AD96" i="9"/>
  <c r="I38" i="9"/>
  <c r="Z27" i="9"/>
  <c r="AQ97" i="9"/>
  <c r="AR90" i="2"/>
  <c r="G36" i="2"/>
  <c r="AS95" i="9"/>
  <c r="N27" i="9"/>
  <c r="AV55" i="2"/>
  <c r="F102" i="2"/>
  <c r="AN90" i="9"/>
  <c r="AM44" i="9"/>
  <c r="R42" i="2"/>
  <c r="R108" i="2"/>
  <c r="X105" i="2"/>
  <c r="AR70" i="2"/>
  <c r="AK96" i="2"/>
  <c r="V108" i="2"/>
  <c r="AB60" i="9"/>
  <c r="M70" i="9"/>
  <c r="AM91" i="2"/>
  <c r="I14" i="9"/>
  <c r="I108" i="9"/>
  <c r="R64" i="2"/>
  <c r="G56" i="9"/>
  <c r="AZ27" i="2"/>
  <c r="G40" i="9"/>
  <c r="AO75" i="9"/>
  <c r="AC88" i="2"/>
  <c r="AJ105" i="2"/>
  <c r="I50" i="2"/>
  <c r="AD93" i="9"/>
  <c r="AZ40" i="2"/>
  <c r="AG76" i="9"/>
  <c r="AD38" i="9"/>
  <c r="AM46" i="2"/>
  <c r="AP42" i="2"/>
  <c r="AE25" i="9"/>
  <c r="AV83" i="2"/>
  <c r="AV26" i="2"/>
  <c r="B63" i="2"/>
  <c r="K23" i="9"/>
  <c r="W66" i="2"/>
  <c r="E76" i="2"/>
  <c r="AI22" i="9"/>
  <c r="AV63" i="9"/>
  <c r="W25" i="2"/>
  <c r="AP46" i="2"/>
  <c r="I46" i="2"/>
  <c r="AV104" i="2"/>
  <c r="F78" i="2"/>
  <c r="J103" i="9"/>
  <c r="AA81" i="9"/>
  <c r="AA38" i="9"/>
  <c r="AZ82" i="9"/>
  <c r="V63" i="9"/>
  <c r="AG24" i="9"/>
  <c r="BB56" i="2"/>
  <c r="R59" i="2"/>
  <c r="M18" i="2"/>
  <c r="AA47" i="2"/>
  <c r="AB90" i="9"/>
  <c r="AJ68" i="2"/>
  <c r="G15" i="2"/>
  <c r="AK81" i="2"/>
  <c r="U16" i="2"/>
  <c r="U101" i="2"/>
  <c r="U100" i="2"/>
  <c r="H104" i="2"/>
  <c r="M62" i="9"/>
  <c r="AA65" i="2"/>
  <c r="I81" i="9"/>
  <c r="I98" i="9"/>
  <c r="K89" i="9"/>
  <c r="AI16" i="9"/>
  <c r="AR88" i="2"/>
  <c r="M105" i="9"/>
  <c r="AZ81" i="2"/>
  <c r="AV70" i="2"/>
  <c r="AS46" i="2"/>
  <c r="L18" i="9"/>
  <c r="D80" i="2"/>
  <c r="AB42" i="9"/>
  <c r="AM77" i="2"/>
  <c r="AB65" i="9"/>
  <c r="AC37" i="2"/>
  <c r="AU105" i="9"/>
  <c r="M81" i="2"/>
  <c r="AB90" i="2"/>
  <c r="AG75" i="9"/>
  <c r="AG45" i="2"/>
  <c r="K95" i="9"/>
  <c r="E19" i="2"/>
  <c r="AB71" i="2"/>
  <c r="AX42" i="2"/>
  <c r="AA55" i="9"/>
  <c r="AM76" i="9"/>
  <c r="AZ47" i="2"/>
  <c r="I103" i="2"/>
  <c r="AG39" i="9"/>
  <c r="X107" i="9"/>
  <c r="X23" i="9"/>
  <c r="M33" i="2"/>
  <c r="K57" i="9"/>
  <c r="U22" i="9"/>
  <c r="AQ57" i="9"/>
  <c r="I87" i="9"/>
  <c r="AB102" i="2"/>
  <c r="U16" i="9"/>
  <c r="AS79" i="2"/>
  <c r="D80" i="9"/>
  <c r="R84" i="2"/>
  <c r="AC104" i="2"/>
  <c r="AB58" i="2"/>
  <c r="AI72" i="2"/>
  <c r="F28" i="2"/>
  <c r="I106" i="2"/>
  <c r="T62" i="2"/>
  <c r="AZ33" i="2"/>
  <c r="H50" i="2"/>
  <c r="AE108" i="9"/>
  <c r="AC40" i="2"/>
  <c r="F80" i="2"/>
  <c r="AN14" i="9"/>
  <c r="R37" i="2"/>
  <c r="S98" i="2"/>
  <c r="E96" i="2"/>
  <c r="AM58" i="2"/>
  <c r="AM29" i="2"/>
  <c r="AP82" i="2"/>
  <c r="AU45" i="9"/>
  <c r="AL43" i="2"/>
  <c r="I82" i="2"/>
  <c r="AJ104" i="2"/>
  <c r="K27" i="2"/>
  <c r="M31" i="9"/>
  <c r="AB83" i="2"/>
  <c r="L44" i="9"/>
  <c r="G105" i="2"/>
  <c r="G103" i="2"/>
  <c r="AN16" i="2"/>
  <c r="F20" i="2"/>
  <c r="AU82" i="9"/>
  <c r="V81" i="9"/>
  <c r="AD34" i="9"/>
  <c r="AO43" i="9"/>
  <c r="AG21" i="9"/>
  <c r="AV47" i="9"/>
  <c r="AX32" i="2"/>
  <c r="L83" i="9"/>
  <c r="AB68" i="9"/>
  <c r="AR62" i="2"/>
  <c r="AV69" i="9"/>
  <c r="AV14" i="9"/>
  <c r="AL87" i="2"/>
  <c r="D96" i="2"/>
  <c r="AC87" i="2"/>
  <c r="B106" i="2"/>
  <c r="AZ40" i="9"/>
  <c r="AA14" i="2"/>
  <c r="D60" i="9"/>
  <c r="AZ84" i="2"/>
  <c r="B25" i="2"/>
  <c r="AE103" i="9"/>
  <c r="B49" i="9"/>
  <c r="S38" i="2"/>
  <c r="M80" i="2"/>
  <c r="I91" i="9"/>
  <c r="X28" i="9"/>
  <c r="U93" i="9"/>
  <c r="V18" i="9"/>
  <c r="AI46" i="2"/>
  <c r="L95" i="9"/>
  <c r="AV93" i="2"/>
  <c r="S92" i="2"/>
  <c r="AK95" i="2"/>
  <c r="AV36" i="9"/>
  <c r="D93" i="9"/>
  <c r="K54" i="2"/>
  <c r="AE107" i="9"/>
  <c r="AS103" i="9"/>
  <c r="AD64" i="9"/>
  <c r="M25" i="9"/>
  <c r="G27" i="9"/>
  <c r="X60" i="9"/>
  <c r="B108" i="2"/>
  <c r="AM28" i="2"/>
  <c r="K25" i="2"/>
  <c r="AM41" i="2"/>
  <c r="W28" i="2"/>
  <c r="AG60" i="2"/>
  <c r="T66" i="2"/>
  <c r="B16" i="2"/>
  <c r="AG54" i="9"/>
  <c r="F79" i="2"/>
  <c r="AX45" i="2"/>
  <c r="M72" i="2"/>
  <c r="AM59" i="2"/>
  <c r="AC105" i="2"/>
  <c r="AZ29" i="9"/>
  <c r="G14" i="9"/>
  <c r="AA33" i="2"/>
  <c r="AX41" i="2"/>
  <c r="N25" i="9"/>
  <c r="BB66" i="2"/>
  <c r="AJ55" i="2"/>
  <c r="AI89" i="2"/>
  <c r="AI108" i="9"/>
  <c r="AO24" i="9"/>
  <c r="AC36" i="2"/>
  <c r="AG94" i="2"/>
  <c r="AX76" i="2"/>
  <c r="AX29" i="2"/>
  <c r="AM28" i="9"/>
  <c r="AI53" i="2"/>
  <c r="AA68" i="9"/>
  <c r="K102" i="2"/>
  <c r="AB38" i="9"/>
  <c r="AD47" i="9"/>
  <c r="H59" i="2"/>
  <c r="N49" i="9"/>
  <c r="AR58" i="2"/>
  <c r="AG91" i="2"/>
  <c r="I103" i="9"/>
  <c r="W93" i="2"/>
  <c r="AK103" i="2"/>
  <c r="D55" i="9"/>
  <c r="E78" i="2"/>
  <c r="E102" i="2"/>
  <c r="L39" i="9"/>
  <c r="K50" i="2"/>
  <c r="D39" i="2"/>
  <c r="H78" i="2"/>
  <c r="AG24" i="2"/>
  <c r="AJ15" i="2"/>
  <c r="AV83" i="9"/>
  <c r="X48" i="9"/>
  <c r="K38" i="2"/>
  <c r="AD45" i="9"/>
  <c r="AP26" i="2"/>
  <c r="AS44" i="9"/>
  <c r="G95" i="2"/>
  <c r="U110" i="9"/>
  <c r="AG59" i="9"/>
  <c r="AO60" i="9"/>
  <c r="AZ31" i="9"/>
  <c r="Z55" i="9"/>
  <c r="T77" i="2"/>
  <c r="AE20" i="9"/>
  <c r="J46" i="9"/>
  <c r="AA40" i="2"/>
  <c r="AA85" i="9"/>
  <c r="AD43" i="9"/>
  <c r="X59" i="2"/>
  <c r="AC69" i="2"/>
  <c r="AN64" i="9"/>
  <c r="AZ104" i="2"/>
  <c r="AS56" i="9"/>
  <c r="AA105" i="9"/>
  <c r="AS98" i="2"/>
  <c r="U79" i="9"/>
  <c r="AK56" i="2"/>
  <c r="AM49" i="9"/>
  <c r="I68" i="9"/>
  <c r="K29" i="9"/>
  <c r="AG96" i="2"/>
  <c r="AI41" i="2"/>
  <c r="AZ95" i="9"/>
  <c r="AB79" i="2"/>
  <c r="AX50" i="2"/>
  <c r="H79" i="2"/>
  <c r="AK72" i="2"/>
  <c r="AA39" i="2"/>
  <c r="K96" i="9"/>
  <c r="AS47" i="2"/>
  <c r="B19" i="9"/>
  <c r="R19" i="2"/>
  <c r="U106" i="9"/>
  <c r="U76" i="9"/>
  <c r="X87" i="2"/>
  <c r="AV37" i="9"/>
  <c r="G47" i="2"/>
  <c r="B68" i="9"/>
  <c r="I23" i="9"/>
  <c r="AM40" i="9"/>
  <c r="M63" i="2"/>
  <c r="AS28" i="2"/>
  <c r="AG36" i="9"/>
  <c r="M107" i="9"/>
  <c r="F24" i="2"/>
  <c r="AS92" i="2"/>
  <c r="AQ67" i="9"/>
  <c r="AN28" i="2"/>
  <c r="AN25" i="2"/>
  <c r="AN59" i="2"/>
  <c r="AN31" i="2"/>
  <c r="AN27" i="2"/>
  <c r="AD97" i="9"/>
  <c r="G25" i="9"/>
  <c r="G22" i="9"/>
  <c r="AQ17" i="9"/>
  <c r="AJ58" i="2"/>
  <c r="AS80" i="2"/>
  <c r="AI70" i="9"/>
  <c r="G39" i="2"/>
  <c r="X49" i="9"/>
  <c r="J65" i="9"/>
  <c r="K68" i="9"/>
  <c r="AG68" i="9"/>
  <c r="AB28" i="2"/>
  <c r="AA103" i="2"/>
  <c r="B33" i="2"/>
  <c r="X93" i="9"/>
  <c r="AG16" i="9"/>
  <c r="J40" i="9"/>
  <c r="BB88" i="2"/>
  <c r="AZ20" i="2"/>
  <c r="AG45" i="9"/>
  <c r="AM57" i="9"/>
  <c r="G75" i="9"/>
  <c r="X68" i="9"/>
  <c r="AS54" i="2"/>
  <c r="AE68" i="9"/>
  <c r="N75" i="9"/>
  <c r="D91" i="2"/>
  <c r="N108" i="9"/>
  <c r="U90" i="9"/>
  <c r="AZ96" i="9"/>
  <c r="E23" i="2"/>
  <c r="V28" i="9"/>
  <c r="W14" i="2"/>
  <c r="V32" i="9"/>
  <c r="G47" i="9"/>
  <c r="X56" i="2"/>
  <c r="E101" i="2"/>
  <c r="T49" i="2"/>
  <c r="AC72" i="2"/>
  <c r="G70" i="9"/>
  <c r="M23" i="9"/>
  <c r="Z23" i="9"/>
  <c r="I24" i="2"/>
  <c r="AE54" i="9"/>
  <c r="N76" i="9"/>
  <c r="V92" i="2"/>
  <c r="M30" i="2"/>
  <c r="AB39" i="2"/>
  <c r="I37" i="9"/>
  <c r="AS15" i="2"/>
  <c r="G13" i="2"/>
  <c r="H109" i="2"/>
  <c r="AA106" i="2"/>
  <c r="U17" i="9"/>
  <c r="AR38" i="2"/>
  <c r="AC45" i="2"/>
  <c r="AG38" i="2"/>
  <c r="AN83" i="9"/>
  <c r="AZ28" i="9"/>
  <c r="I22" i="2"/>
  <c r="AK26" i="2"/>
  <c r="AC47" i="2"/>
  <c r="AU47" i="9"/>
  <c r="K60" i="2"/>
  <c r="AC53" i="2"/>
  <c r="AG26" i="9"/>
  <c r="V93" i="9"/>
  <c r="G45" i="9"/>
  <c r="AE97" i="9"/>
  <c r="AK50" i="2"/>
  <c r="AE72" i="9"/>
  <c r="L104" i="9"/>
  <c r="V31" i="9"/>
  <c r="AL25" i="2"/>
  <c r="AI96" i="9"/>
  <c r="W30" i="2"/>
  <c r="W55" i="2"/>
  <c r="AI71" i="9"/>
  <c r="AN21" i="9"/>
  <c r="AL41" i="2"/>
  <c r="AQ83" i="9"/>
  <c r="G54" i="9"/>
  <c r="I36" i="9"/>
  <c r="AG93" i="2"/>
  <c r="M69" i="9"/>
  <c r="AA77" i="9"/>
  <c r="AK38" i="2"/>
  <c r="Z92" i="9"/>
  <c r="AV66" i="9"/>
  <c r="AV64" i="9"/>
  <c r="M59" i="9"/>
  <c r="H80" i="2"/>
  <c r="N18" i="9"/>
  <c r="AJ26" i="2"/>
  <c r="AG105" i="9"/>
  <c r="AO85" i="9"/>
  <c r="G42" i="9"/>
  <c r="L68" i="9"/>
  <c r="L97" i="9"/>
  <c r="AM37" i="2"/>
  <c r="AL81" i="2"/>
  <c r="L81" i="9"/>
  <c r="D82" i="9"/>
  <c r="L26" i="9"/>
  <c r="AM25" i="2"/>
  <c r="G38" i="9"/>
  <c r="AR32" i="2"/>
  <c r="X40" i="2"/>
  <c r="G18" i="2"/>
  <c r="N71" i="9"/>
  <c r="V35" i="9"/>
  <c r="AL85" i="2"/>
  <c r="D103" i="9"/>
  <c r="AX43" i="2"/>
  <c r="AG69" i="2"/>
  <c r="Z47" i="9"/>
  <c r="D76" i="9"/>
  <c r="AB33" i="2"/>
  <c r="AE35" i="9"/>
  <c r="AE85" i="9"/>
  <c r="AV111" i="9"/>
  <c r="BB68" i="2"/>
  <c r="AL23" i="2"/>
  <c r="N89" i="9"/>
  <c r="BB108" i="2"/>
  <c r="H43" i="2"/>
  <c r="AS91" i="2"/>
  <c r="X83" i="2"/>
  <c r="AK59" i="2"/>
  <c r="AA104" i="9"/>
  <c r="K59" i="2"/>
  <c r="E30" i="2"/>
  <c r="E56" i="2"/>
  <c r="N79" i="9"/>
  <c r="AN55" i="9"/>
  <c r="AA80" i="9"/>
  <c r="AZ32" i="2"/>
  <c r="AE80" i="9"/>
  <c r="AX33" i="2"/>
  <c r="AP53" i="9"/>
  <c r="AP52" i="9"/>
  <c r="AP24" i="9"/>
  <c r="BB67" i="2"/>
  <c r="AL96" i="2"/>
  <c r="AZ47" i="9"/>
  <c r="AX98" i="2"/>
  <c r="AR65" i="2"/>
  <c r="AC25" i="2"/>
  <c r="N111" i="9"/>
  <c r="U70" i="9"/>
  <c r="AS107" i="9"/>
  <c r="I71" i="9"/>
  <c r="Z58" i="9"/>
  <c r="AV17" i="2"/>
  <c r="AE67" i="9"/>
  <c r="AK54" i="2"/>
  <c r="AU110" i="9"/>
  <c r="F25" i="2"/>
  <c r="Z42" i="9"/>
  <c r="AB104" i="9"/>
  <c r="G83" i="2"/>
  <c r="J68" i="9"/>
  <c r="X106" i="9"/>
  <c r="AK88" i="2"/>
  <c r="V14" i="9"/>
  <c r="AV96" i="2"/>
  <c r="AR36" i="2"/>
  <c r="K42" i="9"/>
  <c r="V25" i="9"/>
  <c r="AP83" i="9"/>
  <c r="E95" i="2"/>
  <c r="AV81" i="9"/>
  <c r="AV93" i="9"/>
  <c r="AZ14" i="2"/>
  <c r="AZ13" i="2"/>
  <c r="AZ11" i="2"/>
  <c r="D45" i="9"/>
  <c r="AK87" i="2"/>
  <c r="AV68" i="9"/>
  <c r="AV16" i="9"/>
  <c r="AV21" i="9"/>
  <c r="AV39" i="9"/>
  <c r="D58" i="2"/>
  <c r="M12" i="9"/>
  <c r="AV40" i="2"/>
  <c r="Z30" i="9"/>
  <c r="M90" i="9"/>
  <c r="F53" i="2"/>
  <c r="AX101" i="2"/>
  <c r="AP30" i="2"/>
  <c r="I78" i="2"/>
  <c r="T74" i="2"/>
  <c r="K107" i="9"/>
  <c r="AV63" i="2"/>
  <c r="AM75" i="9"/>
  <c r="AU64" i="9"/>
  <c r="Z97" i="9"/>
  <c r="AQ42" i="9"/>
  <c r="I94" i="2"/>
  <c r="L45" i="9"/>
  <c r="J16" i="9"/>
  <c r="N83" i="9"/>
  <c r="AS24" i="9"/>
  <c r="R58" i="2"/>
  <c r="I40" i="2"/>
  <c r="AL55" i="2"/>
  <c r="K60" i="9"/>
  <c r="H77" i="2"/>
  <c r="AU65" i="9"/>
  <c r="AM48" i="2"/>
  <c r="AS14" i="9"/>
  <c r="K20" i="2"/>
  <c r="AB78" i="9"/>
  <c r="AC89" i="2"/>
  <c r="H49" i="2"/>
  <c r="AQ81" i="9"/>
  <c r="V47" i="9"/>
  <c r="E83" i="2"/>
  <c r="AA58" i="9"/>
  <c r="AS95" i="2"/>
  <c r="AE105" i="9"/>
  <c r="AD95" i="9"/>
  <c r="BB70" i="2"/>
  <c r="AP67" i="9"/>
  <c r="AU18" i="9"/>
  <c r="AN41" i="9"/>
  <c r="AC23" i="2"/>
  <c r="X37" i="9"/>
  <c r="G63" i="2"/>
  <c r="AH16" i="2"/>
  <c r="E27" i="2"/>
  <c r="AW16" i="2"/>
  <c r="D55" i="2"/>
  <c r="AV96" i="9"/>
  <c r="F19" i="2"/>
  <c r="V49" i="2"/>
  <c r="J96" i="9"/>
  <c r="W101" i="2"/>
  <c r="K104" i="2"/>
  <c r="AV42" i="9"/>
  <c r="E48" i="2"/>
  <c r="D59" i="2"/>
  <c r="AE29" i="9"/>
  <c r="M43" i="2"/>
  <c r="V104" i="2"/>
  <c r="AR64" i="2"/>
  <c r="AZ24" i="9"/>
  <c r="I67" i="2"/>
  <c r="G72" i="2"/>
  <c r="AQ35" i="9"/>
  <c r="AL69" i="2"/>
  <c r="M15" i="2"/>
  <c r="K91" i="2"/>
  <c r="AS50" i="9"/>
  <c r="U15" i="9"/>
  <c r="M97" i="2"/>
  <c r="AI21" i="9"/>
  <c r="V54" i="2"/>
  <c r="C81" i="9"/>
  <c r="AC15" i="2"/>
  <c r="AD82" i="9"/>
  <c r="AV109" i="2"/>
  <c r="AM37" i="9"/>
  <c r="AI76" i="2"/>
  <c r="AU84" i="9"/>
  <c r="M27" i="2"/>
  <c r="AA85" i="2"/>
  <c r="G24" i="2"/>
  <c r="AK22" i="2"/>
  <c r="K29" i="2"/>
  <c r="AM81" i="9"/>
  <c r="C95" i="2"/>
  <c r="AR82" i="2"/>
  <c r="L16" i="9"/>
  <c r="R53" i="9"/>
  <c r="R52" i="9"/>
  <c r="R89" i="9"/>
  <c r="I78" i="9"/>
  <c r="AZ46" i="9"/>
  <c r="V26" i="9"/>
  <c r="AC68" i="2"/>
  <c r="AD89" i="9"/>
  <c r="AA64" i="2"/>
  <c r="J14" i="9"/>
  <c r="AQ13" i="9"/>
  <c r="AE78" i="9"/>
  <c r="AZ13" i="9"/>
  <c r="D104" i="2"/>
  <c r="AS72" i="2"/>
  <c r="AI66" i="9"/>
  <c r="AN49" i="9"/>
  <c r="G32" i="9"/>
  <c r="AO29" i="9"/>
  <c r="AA49" i="2"/>
  <c r="X59" i="9"/>
  <c r="K31" i="2"/>
  <c r="AX67" i="2"/>
  <c r="AB80" i="9"/>
  <c r="D29" i="2"/>
  <c r="AX21" i="2"/>
  <c r="V62" i="2"/>
  <c r="M89" i="9"/>
  <c r="AL102" i="2"/>
  <c r="W97" i="2"/>
  <c r="X29" i="9"/>
  <c r="T68" i="2"/>
  <c r="AB63" i="2"/>
  <c r="AL38" i="2"/>
  <c r="V82" i="9"/>
  <c r="AB82" i="2"/>
  <c r="K54" i="9"/>
  <c r="AZ64" i="2"/>
  <c r="AE31" i="9"/>
  <c r="AA109" i="2"/>
  <c r="X89" i="9"/>
  <c r="N28" i="9"/>
  <c r="AM22" i="9"/>
  <c r="M111" i="9"/>
  <c r="AL58" i="2"/>
  <c r="AU71" i="9"/>
  <c r="U25" i="9"/>
  <c r="I25" i="9"/>
  <c r="AV66" i="2"/>
  <c r="AP85" i="2"/>
  <c r="X81" i="9"/>
  <c r="K96" i="2"/>
  <c r="G46" i="2"/>
  <c r="E14" i="2"/>
  <c r="V21" i="9"/>
  <c r="AC57" i="2"/>
  <c r="AI40" i="2"/>
  <c r="G38" i="2"/>
  <c r="AZ21" i="9"/>
  <c r="AI20" i="9"/>
  <c r="H69" i="2"/>
  <c r="H27" i="2"/>
  <c r="U21" i="9"/>
  <c r="AA107" i="9"/>
  <c r="AS42" i="2"/>
  <c r="AI105" i="9"/>
  <c r="W92" i="2"/>
  <c r="AA25" i="9"/>
  <c r="AM106" i="2"/>
  <c r="L96" i="9"/>
  <c r="W58" i="2"/>
  <c r="N38" i="9"/>
  <c r="X30" i="9"/>
  <c r="AP108" i="2"/>
  <c r="H23" i="2"/>
  <c r="H25" i="2"/>
  <c r="U107" i="9"/>
  <c r="T27" i="2"/>
  <c r="M75" i="9"/>
  <c r="AL76" i="2"/>
  <c r="I63" i="2"/>
  <c r="AJ23" i="2"/>
  <c r="E43" i="2"/>
  <c r="AG104" i="2"/>
  <c r="AU42" i="9"/>
  <c r="AU19" i="9"/>
  <c r="N32" i="9"/>
  <c r="E94" i="2"/>
  <c r="R35" i="9"/>
  <c r="E15" i="2"/>
  <c r="D38" i="2"/>
  <c r="E54" i="2"/>
  <c r="E45" i="2"/>
  <c r="AF16" i="2"/>
  <c r="AF75" i="2"/>
  <c r="AF74" i="2"/>
  <c r="K97" i="2"/>
  <c r="X57" i="9"/>
  <c r="W15" i="2"/>
  <c r="J36" i="9"/>
  <c r="V59" i="9"/>
  <c r="AL52" i="9"/>
  <c r="AL53" i="9"/>
  <c r="E24" i="2"/>
  <c r="W53" i="9"/>
  <c r="W52" i="9"/>
  <c r="W103" i="9"/>
  <c r="AM59" i="9"/>
  <c r="I48" i="9"/>
  <c r="AN30" i="9"/>
  <c r="I19" i="2"/>
  <c r="BB55" i="2"/>
  <c r="I19" i="9"/>
  <c r="AM83" i="9"/>
  <c r="BB14" i="2"/>
  <c r="H106" i="2"/>
  <c r="AI55" i="9"/>
  <c r="AN54" i="9"/>
  <c r="AN57" i="9"/>
  <c r="AQ80" i="9"/>
  <c r="G30" i="9"/>
  <c r="AM103" i="2"/>
  <c r="AL32" i="2"/>
  <c r="AZ108" i="2"/>
  <c r="BA16" i="2"/>
  <c r="S78" i="2"/>
  <c r="G91" i="9"/>
  <c r="AO89" i="9"/>
  <c r="B40" i="9"/>
  <c r="AL64" i="2"/>
  <c r="G74" i="2"/>
  <c r="AS50" i="2"/>
  <c r="G109" i="2"/>
  <c r="F84" i="2"/>
  <c r="AZ78" i="2"/>
  <c r="W38" i="2"/>
  <c r="G60" i="9"/>
  <c r="I64" i="2"/>
  <c r="AA25" i="2"/>
  <c r="AI45" i="9"/>
  <c r="AX96" i="2"/>
  <c r="R39" i="2"/>
  <c r="AB67" i="2"/>
  <c r="AA44" i="2"/>
  <c r="AR60" i="2"/>
  <c r="AI50" i="2"/>
  <c r="AX48" i="2"/>
  <c r="AA24" i="9"/>
  <c r="AA66" i="9"/>
  <c r="AW52" i="9"/>
  <c r="AW53" i="9"/>
  <c r="AX59" i="2"/>
  <c r="AG15" i="2"/>
  <c r="AB49" i="9"/>
  <c r="R21" i="2"/>
  <c r="AC60" i="2"/>
  <c r="AI15" i="2"/>
  <c r="AB92" i="2"/>
  <c r="AW77" i="9"/>
  <c r="AB41" i="9"/>
  <c r="AC28" i="2"/>
  <c r="AR46" i="2"/>
  <c r="AB65" i="2"/>
  <c r="AB42" i="2"/>
  <c r="AB21" i="2"/>
  <c r="AG98" i="2"/>
  <c r="AC109" i="2"/>
  <c r="AW60" i="9"/>
  <c r="AW82" i="9"/>
  <c r="AI71" i="2"/>
  <c r="AS14" i="2"/>
  <c r="AB81" i="9"/>
  <c r="AI82" i="2"/>
  <c r="AW98" i="9"/>
  <c r="AP29" i="2"/>
  <c r="U35" i="9"/>
  <c r="X106" i="2"/>
  <c r="D71" i="9"/>
  <c r="AS40" i="9"/>
  <c r="I58" i="9"/>
  <c r="AZ106" i="9"/>
  <c r="AK14" i="2"/>
  <c r="H46" i="2"/>
  <c r="I69" i="9"/>
  <c r="I104" i="9"/>
  <c r="X75" i="9"/>
  <c r="T38" i="2"/>
  <c r="J27" i="9"/>
  <c r="AM17" i="2"/>
  <c r="K28" i="9"/>
  <c r="AC14" i="2"/>
  <c r="Z38" i="9"/>
  <c r="X94" i="2"/>
  <c r="G66" i="9"/>
  <c r="AC41" i="2"/>
  <c r="AR44" i="2"/>
  <c r="AS104" i="9"/>
  <c r="Z80" i="9"/>
  <c r="G65" i="2"/>
  <c r="G36" i="9"/>
  <c r="I36" i="2"/>
  <c r="V14" i="2"/>
  <c r="AZ72" i="2"/>
  <c r="D22" i="2"/>
  <c r="AX68" i="2"/>
  <c r="M96" i="2"/>
  <c r="AC43" i="2"/>
  <c r="X60" i="2"/>
  <c r="AV53" i="2"/>
  <c r="AM26" i="9"/>
  <c r="AK32" i="2"/>
  <c r="AM54" i="9"/>
  <c r="AK47" i="2"/>
  <c r="N106" i="9"/>
  <c r="R75" i="2"/>
  <c r="X58" i="2"/>
  <c r="AB36" i="9"/>
  <c r="AB46" i="9"/>
  <c r="AM84" i="9"/>
  <c r="BB49" i="2"/>
  <c r="AW81" i="2"/>
  <c r="M14" i="2"/>
  <c r="AM36" i="2"/>
  <c r="S97" i="2"/>
  <c r="AP94" i="2"/>
  <c r="K45" i="9"/>
  <c r="G37" i="9"/>
  <c r="L31" i="9"/>
  <c r="AQ85" i="9"/>
  <c r="B17" i="2"/>
  <c r="AS106" i="9"/>
  <c r="AB19" i="2"/>
  <c r="BB109" i="2"/>
  <c r="AS106" i="2"/>
  <c r="M32" i="9"/>
  <c r="J17" i="9"/>
  <c r="V108" i="9"/>
  <c r="AK83" i="2"/>
  <c r="U43" i="9"/>
  <c r="AK43" i="2"/>
  <c r="H102" i="2"/>
  <c r="N16" i="9"/>
  <c r="AR98" i="2"/>
  <c r="AG82" i="2"/>
  <c r="AA97" i="2"/>
  <c r="AW104" i="2"/>
  <c r="AM19" i="9"/>
  <c r="AK40" i="2"/>
  <c r="U75" i="9"/>
  <c r="AG23" i="2"/>
  <c r="D88" i="2"/>
  <c r="AW69" i="2"/>
  <c r="AE89" i="9"/>
  <c r="L71" i="9"/>
  <c r="L29" i="9"/>
  <c r="V59" i="2"/>
  <c r="AV84" i="2"/>
  <c r="K38" i="9"/>
  <c r="AW13" i="9"/>
  <c r="J28" i="9"/>
  <c r="BB20" i="2"/>
  <c r="AQ18" i="9"/>
  <c r="AZ76" i="9"/>
  <c r="BB15" i="2"/>
  <c r="AZ108" i="9"/>
  <c r="X27" i="9"/>
  <c r="AZ80" i="9"/>
  <c r="AW44" i="9"/>
  <c r="V69" i="9"/>
  <c r="AI35" i="9"/>
  <c r="V48" i="9"/>
  <c r="AL26" i="2"/>
  <c r="F26" i="2"/>
  <c r="M106" i="2"/>
  <c r="M58" i="2"/>
  <c r="H37" i="2"/>
  <c r="AD67" i="9"/>
  <c r="BA39" i="2"/>
  <c r="BA56" i="2"/>
  <c r="AY16" i="2"/>
  <c r="AI39" i="9"/>
  <c r="I98" i="2"/>
  <c r="J19" i="9"/>
  <c r="AZ98" i="2"/>
  <c r="W29" i="2"/>
  <c r="AO22" i="9"/>
  <c r="S14" i="2"/>
  <c r="I102" i="2"/>
  <c r="D30" i="9"/>
  <c r="AJ48" i="2"/>
  <c r="J85" i="9"/>
  <c r="D63" i="9"/>
  <c r="T28" i="2"/>
  <c r="AL70" i="2"/>
  <c r="L92" i="9"/>
  <c r="U10" i="9"/>
  <c r="AS63" i="2"/>
  <c r="X105" i="9"/>
  <c r="AE64" i="9"/>
  <c r="AU85" i="9"/>
  <c r="AP81" i="2"/>
  <c r="I97" i="9"/>
  <c r="Z67" i="9"/>
  <c r="AG29" i="9"/>
  <c r="AM15" i="9"/>
  <c r="AA55" i="2"/>
  <c r="V40" i="2"/>
  <c r="AB59" i="2"/>
  <c r="V90" i="9"/>
  <c r="AB50" i="2"/>
  <c r="AJ65" i="2"/>
  <c r="AA37" i="9"/>
  <c r="AS105" i="9"/>
  <c r="BA53" i="9"/>
  <c r="BA52" i="9"/>
  <c r="BA44" i="9"/>
  <c r="R40" i="2"/>
  <c r="AL37" i="9"/>
  <c r="AL39" i="9"/>
  <c r="W89" i="9"/>
  <c r="AB70" i="2"/>
  <c r="AA21" i="9"/>
  <c r="AR104" i="2"/>
  <c r="AB49" i="2"/>
  <c r="AG68" i="2"/>
  <c r="I18" i="9"/>
  <c r="AP13" i="9"/>
  <c r="AS97" i="2"/>
  <c r="AR97" i="2"/>
  <c r="T15" i="2"/>
  <c r="J35" i="9"/>
  <c r="D93" i="2"/>
  <c r="AK106" i="2"/>
  <c r="V83" i="2"/>
  <c r="AK98" i="2"/>
  <c r="AL36" i="9"/>
  <c r="M82" i="9"/>
  <c r="M53" i="2"/>
  <c r="AC103" i="2"/>
  <c r="AO91" i="9"/>
  <c r="S85" i="2"/>
  <c r="R104" i="9"/>
  <c r="AM32" i="9"/>
  <c r="M38" i="2"/>
  <c r="K21" i="2"/>
  <c r="T91" i="2"/>
  <c r="I56" i="2"/>
  <c r="X32" i="2"/>
  <c r="B18" i="2"/>
  <c r="F23" i="2"/>
  <c r="R48" i="2"/>
  <c r="F100" i="2"/>
  <c r="BA42" i="2"/>
  <c r="AH46" i="2"/>
  <c r="AV95" i="9"/>
  <c r="Q16" i="2"/>
  <c r="R93" i="9"/>
  <c r="AQ14" i="9"/>
  <c r="J26" i="9"/>
  <c r="AX39" i="2"/>
  <c r="AM18" i="2"/>
  <c r="AI18" i="2"/>
  <c r="J111" i="9"/>
  <c r="I72" i="2"/>
  <c r="BB65" i="2"/>
  <c r="U18" i="9"/>
  <c r="M26" i="2"/>
  <c r="AR31" i="2"/>
  <c r="AN97" i="9"/>
  <c r="AS63" i="9"/>
  <c r="U103" i="2"/>
  <c r="AA34" i="9"/>
  <c r="D29" i="9"/>
  <c r="AJ70" i="2"/>
  <c r="G55" i="2"/>
  <c r="AD21" i="9"/>
  <c r="AI94" i="2"/>
  <c r="BA59" i="9"/>
  <c r="AU69" i="9"/>
  <c r="AG84" i="9"/>
  <c r="AZ26" i="9"/>
  <c r="Z57" i="9"/>
  <c r="D84" i="2"/>
  <c r="AL17" i="9"/>
  <c r="AU50" i="9"/>
  <c r="AM31" i="9"/>
  <c r="R44" i="9"/>
  <c r="I43" i="2"/>
  <c r="AU16" i="9"/>
  <c r="D71" i="2"/>
  <c r="AQ70" i="9"/>
  <c r="AZ89" i="2"/>
  <c r="V102" i="2"/>
  <c r="BB26" i="2"/>
  <c r="AR20" i="2"/>
  <c r="AO65" i="9"/>
  <c r="AM89" i="9"/>
  <c r="AB27" i="9"/>
  <c r="AP42" i="9"/>
  <c r="AX44" i="2"/>
  <c r="AV75" i="2"/>
  <c r="AQ40" i="9"/>
  <c r="I66" i="9"/>
  <c r="AQ47" i="9"/>
  <c r="AM43" i="9"/>
  <c r="AK17" i="2"/>
  <c r="V72" i="9"/>
  <c r="B42" i="2"/>
  <c r="AA66" i="2"/>
  <c r="BA14" i="2"/>
  <c r="AL57" i="9"/>
  <c r="X46" i="9"/>
  <c r="B71" i="2"/>
  <c r="AO55" i="9"/>
  <c r="AZ37" i="2"/>
  <c r="X19" i="9"/>
  <c r="AB79" i="9"/>
  <c r="AY31" i="2"/>
  <c r="AH45" i="2"/>
  <c r="AL18" i="9"/>
  <c r="AP98" i="9"/>
  <c r="U106" i="2"/>
  <c r="AD22" i="9"/>
  <c r="E93" i="2"/>
  <c r="M103" i="2"/>
  <c r="D78" i="2"/>
  <c r="BA49" i="2"/>
  <c r="AY108" i="2"/>
  <c r="AH23" i="2"/>
  <c r="AB89" i="2"/>
  <c r="G27" i="2"/>
  <c r="M103" i="9"/>
  <c r="N15" i="9"/>
  <c r="O53" i="9"/>
  <c r="O52" i="9"/>
  <c r="B59" i="2"/>
  <c r="E82" i="2"/>
  <c r="AZ104" i="9"/>
  <c r="AG37" i="2"/>
  <c r="BA92" i="2"/>
  <c r="AC44" i="2"/>
  <c r="AG108" i="9"/>
  <c r="AW88" i="2"/>
  <c r="BA79" i="9"/>
  <c r="AL40" i="2"/>
  <c r="G32" i="2"/>
  <c r="X80" i="2"/>
  <c r="F60" i="2"/>
  <c r="G20" i="9"/>
  <c r="R32" i="2"/>
  <c r="O110" i="9"/>
  <c r="AO26" i="9"/>
  <c r="AM30" i="2"/>
  <c r="AM26" i="2"/>
  <c r="AD65" i="9"/>
  <c r="X40" i="9"/>
  <c r="M29" i="9"/>
  <c r="W83" i="2"/>
  <c r="G83" i="9"/>
  <c r="AU14" i="9"/>
  <c r="AQ93" i="9"/>
  <c r="G78" i="9"/>
  <c r="AN111" i="9"/>
  <c r="W46" i="2"/>
  <c r="G34" i="9"/>
  <c r="AO84" i="9"/>
  <c r="AL66" i="2"/>
  <c r="AV82" i="2"/>
  <c r="X109" i="2"/>
  <c r="AU58" i="9"/>
  <c r="V37" i="2"/>
  <c r="AO83" i="9"/>
  <c r="AI18" i="9"/>
  <c r="AB110" i="9"/>
  <c r="AA69" i="2"/>
  <c r="AO36" i="9"/>
  <c r="M41" i="9"/>
  <c r="M64" i="9"/>
  <c r="AP77" i="2"/>
  <c r="AK48" i="2"/>
  <c r="BA81" i="9"/>
  <c r="AK82" i="2"/>
  <c r="AB37" i="9"/>
  <c r="AM92" i="2"/>
  <c r="O38" i="9"/>
  <c r="AI97" i="9"/>
  <c r="O104" i="9"/>
  <c r="AU54" i="9"/>
  <c r="T17" i="2"/>
  <c r="AH56" i="2"/>
  <c r="AA21" i="2"/>
  <c r="V18" i="2"/>
  <c r="K104" i="9"/>
  <c r="AM24" i="9"/>
  <c r="N47" i="9"/>
  <c r="N107" i="9"/>
  <c r="BA48" i="2"/>
  <c r="AH18" i="2"/>
  <c r="BA31" i="9"/>
  <c r="W90" i="9"/>
  <c r="BA92" i="9"/>
  <c r="AW109" i="2"/>
  <c r="O26" i="9"/>
  <c r="AH105" i="2"/>
  <c r="AJ45" i="2"/>
  <c r="B17" i="9"/>
  <c r="H101" i="2"/>
  <c r="Z83" i="9"/>
  <c r="T101" i="2"/>
  <c r="S49" i="2"/>
  <c r="AQ71" i="9"/>
  <c r="W69" i="2"/>
  <c r="V94" i="2"/>
  <c r="AI17" i="9"/>
  <c r="V103" i="2"/>
  <c r="W27" i="2"/>
  <c r="D76" i="2"/>
  <c r="D82" i="2"/>
  <c r="AX104" i="2"/>
  <c r="AB44" i="2"/>
  <c r="R29" i="2"/>
  <c r="M25" i="2"/>
  <c r="J78" i="9"/>
  <c r="I25" i="2"/>
  <c r="U56" i="9"/>
  <c r="I84" i="9"/>
  <c r="BB23" i="2"/>
  <c r="AK97" i="2"/>
  <c r="AA26" i="2"/>
  <c r="S29" i="2"/>
  <c r="M50" i="9"/>
  <c r="AR93" i="2"/>
  <c r="AM64" i="9"/>
  <c r="H85" i="2"/>
  <c r="X108" i="9"/>
  <c r="AS57" i="2"/>
  <c r="L65" i="9"/>
  <c r="X98" i="9"/>
  <c r="AZ29" i="2"/>
  <c r="AD13" i="9"/>
  <c r="Z95" i="9"/>
  <c r="AZ15" i="9"/>
  <c r="C17" i="9"/>
  <c r="V105" i="9"/>
  <c r="T22" i="2"/>
  <c r="AI70" i="2"/>
  <c r="AZ19" i="9"/>
  <c r="AE92" i="9"/>
  <c r="AX20" i="2"/>
  <c r="N96" i="9"/>
  <c r="AM97" i="9"/>
  <c r="H42" i="2"/>
  <c r="R68" i="2"/>
  <c r="AG77" i="2"/>
  <c r="AP71" i="2"/>
  <c r="G70" i="2"/>
  <c r="I77" i="2"/>
  <c r="AM14" i="9"/>
  <c r="H20" i="2"/>
  <c r="AM80" i="9"/>
  <c r="K39" i="9"/>
  <c r="AX102" i="2"/>
  <c r="L37" i="9"/>
  <c r="AQ22" i="9"/>
  <c r="AL36" i="2"/>
  <c r="D66" i="9"/>
  <c r="Z76" i="9"/>
  <c r="AI15" i="9"/>
  <c r="U77" i="9"/>
  <c r="N78" i="9"/>
  <c r="AM82" i="9"/>
  <c r="AA83" i="2"/>
  <c r="I28" i="9"/>
  <c r="L75" i="9"/>
  <c r="AQ111" i="9"/>
  <c r="AE91" i="9"/>
  <c r="AN47" i="9"/>
  <c r="AG44" i="2"/>
  <c r="AG63" i="9"/>
  <c r="N56" i="9"/>
  <c r="D97" i="9"/>
  <c r="B97" i="9"/>
  <c r="V22" i="9"/>
  <c r="V95" i="9"/>
  <c r="AX38" i="2"/>
  <c r="AB39" i="9"/>
  <c r="AO35" i="9"/>
  <c r="AR50" i="2"/>
  <c r="L98" i="9"/>
  <c r="L108" i="9"/>
  <c r="AL54" i="2"/>
  <c r="L103" i="9"/>
  <c r="AZ46" i="2"/>
  <c r="R50" i="2"/>
  <c r="AO38" i="9"/>
  <c r="AE56" i="9"/>
  <c r="AM79" i="2"/>
  <c r="AG39" i="2"/>
  <c r="R25" i="2"/>
  <c r="AN17" i="9"/>
  <c r="N54" i="9"/>
  <c r="I41" i="2"/>
  <c r="AG35" i="9"/>
  <c r="AX28" i="2"/>
  <c r="AS39" i="2"/>
  <c r="J58" i="9"/>
  <c r="V56" i="2"/>
  <c r="AM12" i="9"/>
  <c r="AB27" i="2"/>
  <c r="AQ60" i="9"/>
  <c r="B22" i="2"/>
  <c r="Z21" i="9"/>
  <c r="AP29" i="9"/>
  <c r="BB105" i="2"/>
  <c r="I14" i="2"/>
  <c r="L34" i="9"/>
  <c r="AG83" i="9"/>
  <c r="V69" i="2"/>
  <c r="AS55" i="2"/>
  <c r="AU48" i="9"/>
  <c r="BA17" i="9"/>
  <c r="K63" i="9"/>
  <c r="M20" i="2"/>
  <c r="AW42" i="2"/>
  <c r="AN44" i="9"/>
  <c r="AG110" i="9"/>
  <c r="AQ50" i="9"/>
  <c r="D32" i="9"/>
  <c r="AW84" i="9"/>
  <c r="AW28" i="9"/>
  <c r="E40" i="2"/>
  <c r="W30" i="9"/>
  <c r="AL103" i="9"/>
  <c r="W22" i="9"/>
  <c r="D67" i="9"/>
  <c r="AH101" i="2"/>
  <c r="L25" i="9"/>
  <c r="D107" i="9"/>
  <c r="L76" i="9"/>
  <c r="AI66" i="2"/>
  <c r="I68" i="2"/>
  <c r="D42" i="9"/>
  <c r="AV22" i="2"/>
  <c r="AM22" i="2"/>
  <c r="AA91" i="9"/>
  <c r="H84" i="2"/>
  <c r="F65" i="2"/>
  <c r="U27" i="9"/>
  <c r="AD72" i="9"/>
  <c r="D102" i="9"/>
  <c r="AB29" i="2"/>
  <c r="V106" i="2"/>
  <c r="M17" i="9"/>
  <c r="AS71" i="9"/>
  <c r="AW43" i="9"/>
  <c r="AA40" i="9"/>
  <c r="AP65" i="9"/>
  <c r="M77" i="9"/>
  <c r="W63" i="9"/>
  <c r="AV65" i="9"/>
  <c r="AX70" i="2"/>
  <c r="D70" i="9"/>
  <c r="AC53" i="9"/>
  <c r="AC52" i="9"/>
  <c r="AC35" i="9"/>
  <c r="AL27" i="9"/>
  <c r="AV59" i="9"/>
  <c r="BA39" i="9"/>
  <c r="D23" i="9"/>
  <c r="R17" i="9"/>
  <c r="AW26" i="2"/>
  <c r="AV92" i="9"/>
  <c r="AV76" i="9"/>
  <c r="AV32" i="9"/>
  <c r="AV105" i="9"/>
  <c r="Z16" i="2"/>
  <c r="Z14" i="2"/>
  <c r="Z13" i="2"/>
  <c r="B82" i="2"/>
  <c r="AV56" i="9"/>
  <c r="R105" i="9"/>
  <c r="D90" i="9"/>
  <c r="AL82" i="2"/>
  <c r="X30" i="2"/>
  <c r="AA94" i="2"/>
  <c r="S22" i="2"/>
  <c r="AG81" i="2"/>
  <c r="BB106" i="2"/>
  <c r="V68" i="9"/>
  <c r="Z98" i="9"/>
  <c r="AQ63" i="9"/>
  <c r="AI43" i="9"/>
  <c r="AO58" i="9"/>
  <c r="K90" i="9"/>
  <c r="D15" i="9"/>
  <c r="J89" i="9"/>
  <c r="AN63" i="9"/>
  <c r="S50" i="2"/>
  <c r="S95" i="2"/>
  <c r="B57" i="9"/>
  <c r="AO44" i="9"/>
  <c r="AS60" i="9"/>
  <c r="AE69" i="9"/>
  <c r="R90" i="2"/>
  <c r="AM38" i="9"/>
  <c r="BA84" i="9"/>
  <c r="AJ77" i="2"/>
  <c r="S90" i="2"/>
  <c r="BA23" i="9"/>
  <c r="AW45" i="9"/>
  <c r="AW66" i="2"/>
  <c r="G80" i="2"/>
  <c r="E63" i="2"/>
  <c r="AB31" i="9"/>
  <c r="BA24" i="2"/>
  <c r="AW57" i="9"/>
  <c r="AW93" i="2"/>
  <c r="AP45" i="9"/>
  <c r="AX100" i="2"/>
  <c r="AQ62" i="9"/>
  <c r="AC63" i="9"/>
  <c r="AN62" i="9"/>
  <c r="X20" i="9"/>
  <c r="AZ44" i="2"/>
  <c r="AO17" i="9"/>
  <c r="AS91" i="9"/>
  <c r="D43" i="2"/>
  <c r="M89" i="2"/>
  <c r="L57" i="9"/>
  <c r="K16" i="9"/>
  <c r="AM102" i="2"/>
  <c r="AO31" i="9"/>
  <c r="AI104" i="9"/>
  <c r="AM91" i="9"/>
  <c r="H71" i="2"/>
  <c r="BB38" i="2"/>
  <c r="AL56" i="2"/>
  <c r="X31" i="9"/>
  <c r="X95" i="9"/>
  <c r="AZ41" i="9"/>
  <c r="AC59" i="2"/>
  <c r="AV56" i="2"/>
  <c r="AO80" i="9"/>
  <c r="AZ92" i="2"/>
  <c r="AJ69" i="2"/>
  <c r="H92" i="2"/>
  <c r="W17" i="2"/>
  <c r="AG71" i="9"/>
  <c r="F82" i="2"/>
  <c r="D65" i="9"/>
  <c r="K66" i="9"/>
  <c r="BA50" i="2"/>
  <c r="AI102" i="9"/>
  <c r="N41" i="9"/>
  <c r="E36" i="2"/>
  <c r="E103" i="2"/>
  <c r="Z43" i="9"/>
  <c r="AY24" i="2"/>
  <c r="AG49" i="9"/>
  <c r="AI65" i="2"/>
  <c r="AG43" i="2"/>
  <c r="AS87" i="9"/>
  <c r="AS45" i="2"/>
  <c r="J41" i="9"/>
  <c r="K106" i="9"/>
  <c r="AG65" i="2"/>
  <c r="AD91" i="9"/>
  <c r="F49" i="2"/>
  <c r="AB62" i="2"/>
  <c r="AA76" i="2"/>
  <c r="H26" i="2"/>
  <c r="H18" i="2"/>
  <c r="V79" i="2"/>
  <c r="V58" i="9"/>
  <c r="AL71" i="9"/>
  <c r="E92" i="2"/>
  <c r="T105" i="2"/>
  <c r="I104" i="2"/>
  <c r="W93" i="9"/>
  <c r="AY90" i="2"/>
  <c r="AZ103" i="2"/>
  <c r="S56" i="2"/>
  <c r="W41" i="9"/>
  <c r="AQ20" i="9"/>
  <c r="L110" i="9"/>
  <c r="M87" i="9"/>
  <c r="W92" i="9"/>
  <c r="Y53" i="9"/>
  <c r="Y52" i="9"/>
  <c r="Y28" i="9"/>
  <c r="AV104" i="9"/>
  <c r="AX58" i="2"/>
  <c r="G21" i="2"/>
  <c r="I82" i="9"/>
  <c r="Y63" i="9"/>
  <c r="AR71" i="2"/>
  <c r="BA77" i="9"/>
  <c r="BA21" i="9"/>
  <c r="X97" i="2"/>
  <c r="AL110" i="9"/>
  <c r="W71" i="9"/>
  <c r="I27" i="2"/>
  <c r="U90" i="2"/>
  <c r="AM79" i="9"/>
  <c r="AI57" i="2"/>
  <c r="AB15" i="9"/>
  <c r="U41" i="2"/>
  <c r="X75" i="2"/>
  <c r="AK67" i="2"/>
  <c r="AG66" i="2"/>
  <c r="S44" i="2"/>
  <c r="AZ75" i="2"/>
  <c r="AD26" i="9"/>
  <c r="I44" i="2"/>
  <c r="S58" i="2"/>
  <c r="AW78" i="2"/>
  <c r="AQ95" i="9"/>
  <c r="BB35" i="2"/>
  <c r="X22" i="9"/>
  <c r="BA98" i="9"/>
  <c r="W40" i="9"/>
  <c r="AN79" i="9"/>
  <c r="AW48" i="9"/>
  <c r="B92" i="9"/>
  <c r="C94" i="2"/>
  <c r="K35" i="2"/>
  <c r="K30" i="2"/>
  <c r="AR101" i="2"/>
  <c r="AZ14" i="9"/>
  <c r="AR89" i="2"/>
  <c r="W65" i="2"/>
  <c r="F53" i="9"/>
  <c r="F52" i="9"/>
  <c r="F27" i="9"/>
  <c r="AW38" i="9"/>
  <c r="M81" i="9"/>
  <c r="AM103" i="9"/>
  <c r="K94" i="2"/>
  <c r="AS33" i="2"/>
  <c r="I40" i="9"/>
  <c r="X29" i="2"/>
  <c r="BA88" i="2"/>
  <c r="AN106" i="9"/>
  <c r="AQ27" i="9"/>
  <c r="J32" i="9"/>
  <c r="Z36" i="2"/>
  <c r="Z35" i="2"/>
  <c r="AA90" i="2"/>
  <c r="W39" i="9"/>
  <c r="Y48" i="9"/>
  <c r="AG107" i="9"/>
  <c r="W48" i="9"/>
  <c r="Y57" i="9"/>
  <c r="AV46" i="9"/>
  <c r="AC28" i="9"/>
  <c r="AQ49" i="9"/>
  <c r="O77" i="9"/>
  <c r="F90" i="9"/>
  <c r="AG76" i="2"/>
  <c r="AM109" i="2"/>
  <c r="G50" i="2"/>
  <c r="AR102" i="2"/>
  <c r="BA45" i="2"/>
  <c r="V66" i="9"/>
  <c r="G57" i="2"/>
  <c r="K56" i="9"/>
  <c r="V17" i="9"/>
  <c r="M90" i="2"/>
  <c r="AL63" i="9"/>
  <c r="AV46" i="2"/>
  <c r="J81" i="9"/>
  <c r="AP78" i="9"/>
  <c r="AU17" i="9"/>
  <c r="V111" i="9"/>
  <c r="AL49" i="9"/>
  <c r="G17" i="9"/>
  <c r="AM71" i="2"/>
  <c r="AP37" i="2"/>
  <c r="AZ41" i="2"/>
  <c r="AS60" i="2"/>
  <c r="AC64" i="2"/>
  <c r="BB89" i="2"/>
  <c r="AA48" i="2"/>
  <c r="AI102" i="2"/>
  <c r="AM13" i="2"/>
  <c r="U40" i="2"/>
  <c r="AQ65" i="9"/>
  <c r="AV13" i="9"/>
  <c r="AG78" i="9"/>
  <c r="R64" i="9"/>
  <c r="I62" i="2"/>
  <c r="E77" i="2"/>
  <c r="AP95" i="2"/>
  <c r="AI97" i="2"/>
  <c r="U68" i="2"/>
  <c r="AV43" i="9"/>
  <c r="X98" i="2"/>
  <c r="M108" i="2"/>
  <c r="BB85" i="2"/>
  <c r="AZ49" i="9"/>
  <c r="AJ72" i="2"/>
  <c r="AS17" i="2"/>
  <c r="N21" i="9"/>
  <c r="AB83" i="9"/>
  <c r="AG43" i="9"/>
  <c r="K63" i="2"/>
  <c r="AC103" i="9"/>
  <c r="W17" i="9"/>
  <c r="AZ69" i="2"/>
  <c r="AV80" i="9"/>
  <c r="X74" i="9"/>
  <c r="AJ20" i="2"/>
  <c r="AS97" i="9"/>
  <c r="AB70" i="9"/>
  <c r="K76" i="9"/>
  <c r="AW30" i="2"/>
  <c r="AP44" i="2"/>
  <c r="AO108" i="9"/>
  <c r="F17" i="2"/>
  <c r="BA105" i="2"/>
  <c r="AY23" i="2"/>
  <c r="G85" i="9"/>
  <c r="G103" i="9"/>
  <c r="L58" i="9"/>
  <c r="AL15" i="9"/>
  <c r="AU28" i="9"/>
  <c r="AM108" i="2"/>
  <c r="X26" i="9"/>
  <c r="D57" i="2"/>
  <c r="AM93" i="2"/>
  <c r="AS29" i="2"/>
  <c r="W23" i="2"/>
  <c r="AU35" i="9"/>
  <c r="R14" i="2"/>
  <c r="Z79" i="9"/>
  <c r="AG84" i="2"/>
  <c r="D77" i="2"/>
  <c r="AA59" i="9"/>
  <c r="AR92" i="2"/>
  <c r="AW105" i="9"/>
  <c r="BB58" i="2"/>
  <c r="W59" i="9"/>
  <c r="U82" i="9"/>
  <c r="AG106" i="9"/>
  <c r="I13" i="2"/>
  <c r="K17" i="2"/>
  <c r="AQ107" i="9"/>
  <c r="R97" i="2"/>
  <c r="AR13" i="2"/>
  <c r="AK70" i="2"/>
  <c r="AG80" i="9"/>
  <c r="U46" i="2"/>
  <c r="V79" i="9"/>
  <c r="D58" i="9"/>
  <c r="AL70" i="9"/>
  <c r="V49" i="9"/>
  <c r="BA63" i="9"/>
  <c r="AX85" i="2"/>
  <c r="X97" i="9"/>
  <c r="W31" i="2"/>
  <c r="H36" i="2"/>
  <c r="J30" i="9"/>
  <c r="R31" i="2"/>
  <c r="N39" i="9"/>
  <c r="H32" i="2"/>
  <c r="AZ28" i="2"/>
  <c r="AD68" i="9"/>
  <c r="D26" i="2"/>
  <c r="S93" i="2"/>
  <c r="X14" i="9"/>
  <c r="G68" i="9"/>
  <c r="S82" i="2"/>
  <c r="AO68" i="9"/>
  <c r="V44" i="2"/>
  <c r="AI98" i="2"/>
  <c r="AD56" i="9"/>
  <c r="AM27" i="9"/>
  <c r="AI64" i="2"/>
  <c r="X89" i="2"/>
  <c r="AB64" i="2"/>
  <c r="V29" i="9"/>
  <c r="AZ109" i="2"/>
  <c r="X110" i="9"/>
  <c r="I17" i="2"/>
  <c r="AA63" i="9"/>
  <c r="AS37" i="9"/>
  <c r="AS42" i="9"/>
  <c r="V54" i="9"/>
  <c r="AG36" i="2"/>
  <c r="AA68" i="2"/>
  <c r="G68" i="2"/>
  <c r="AW96" i="2"/>
  <c r="B56" i="9"/>
  <c r="Z68" i="9"/>
  <c r="AJ91" i="2"/>
  <c r="AG79" i="2"/>
  <c r="G105" i="9"/>
  <c r="AL19" i="2"/>
  <c r="K80" i="9"/>
  <c r="AI44" i="2"/>
  <c r="R89" i="2"/>
  <c r="S60" i="2"/>
  <c r="BA91" i="2"/>
  <c r="AD44" i="9"/>
  <c r="AW28" i="2"/>
  <c r="BA18" i="9"/>
  <c r="BA22" i="2"/>
  <c r="AE24" i="9"/>
  <c r="AN26" i="9"/>
  <c r="AS101" i="2"/>
  <c r="K17" i="9"/>
  <c r="Z25" i="9"/>
  <c r="AA49" i="9"/>
  <c r="AQ104" i="9"/>
  <c r="R65" i="9"/>
  <c r="N74" i="9"/>
  <c r="F35" i="9"/>
  <c r="R79" i="2"/>
  <c r="X76" i="9"/>
  <c r="V65" i="9"/>
  <c r="AA101" i="2"/>
  <c r="AH37" i="2"/>
  <c r="AC79" i="9"/>
  <c r="BA32" i="9"/>
  <c r="AW19" i="9"/>
  <c r="AF36" i="2"/>
  <c r="AF35" i="2"/>
  <c r="BA83" i="9"/>
  <c r="AY63" i="2"/>
  <c r="AY62" i="2"/>
  <c r="AW105" i="2"/>
  <c r="AL38" i="9"/>
  <c r="D40" i="2"/>
  <c r="B40" i="2"/>
  <c r="C40" i="2"/>
  <c r="AW26" i="9"/>
  <c r="AP17" i="9"/>
  <c r="AL80" i="9"/>
  <c r="U25" i="2"/>
  <c r="U98" i="2"/>
  <c r="BA18" i="2"/>
  <c r="AP70" i="9"/>
  <c r="AC27" i="9"/>
  <c r="AW92" i="2"/>
  <c r="W26" i="9"/>
  <c r="AY97" i="2"/>
  <c r="AY85" i="2"/>
  <c r="BB76" i="2"/>
  <c r="AZ105" i="2"/>
  <c r="U72" i="2"/>
  <c r="V25" i="2"/>
  <c r="Q101" i="2"/>
  <c r="J44" i="9"/>
  <c r="AK31" i="2"/>
  <c r="T103" i="2"/>
  <c r="U33" i="2"/>
  <c r="K15" i="9"/>
  <c r="AV89" i="9"/>
  <c r="AU57" i="9"/>
  <c r="AV70" i="9"/>
  <c r="AO16" i="9"/>
  <c r="L106" i="9"/>
  <c r="AI38" i="2"/>
  <c r="U47" i="2"/>
  <c r="AZ77" i="2"/>
  <c r="AU39" i="9"/>
  <c r="X45" i="9"/>
  <c r="AS19" i="9"/>
  <c r="AQ16" i="9"/>
  <c r="AG18" i="9"/>
  <c r="AK27" i="2"/>
  <c r="V77" i="9"/>
  <c r="AV72" i="9"/>
  <c r="AV30" i="9"/>
  <c r="G104" i="9"/>
  <c r="BB91" i="2"/>
  <c r="Z16" i="9"/>
  <c r="W39" i="2"/>
  <c r="M72" i="9"/>
  <c r="AP40" i="2"/>
  <c r="AB95" i="9"/>
  <c r="G18" i="9"/>
  <c r="H24" i="2"/>
  <c r="AP22" i="2"/>
  <c r="BB104" i="2"/>
  <c r="AQ79" i="9"/>
  <c r="AP90" i="2"/>
  <c r="U37" i="9"/>
  <c r="B53" i="9"/>
  <c r="AV32" i="2"/>
  <c r="AG62" i="9"/>
  <c r="C97" i="9"/>
  <c r="R91" i="2"/>
  <c r="G93" i="2"/>
  <c r="AG63" i="2"/>
  <c r="Z88" i="2"/>
  <c r="D59" i="9"/>
  <c r="S31" i="2"/>
  <c r="AG50" i="9"/>
  <c r="R47" i="2"/>
  <c r="AL50" i="9"/>
  <c r="AK108" i="2"/>
  <c r="K43" i="2"/>
  <c r="M109" i="2"/>
  <c r="V23" i="9"/>
  <c r="BA106" i="2"/>
  <c r="W108" i="2"/>
  <c r="AZ95" i="2"/>
  <c r="M105" i="2"/>
  <c r="AN36" i="9"/>
  <c r="I77" i="9"/>
  <c r="T94" i="2"/>
  <c r="AD14" i="9"/>
  <c r="AC34" i="9"/>
  <c r="AP79" i="9"/>
  <c r="R15" i="9"/>
  <c r="D89" i="9"/>
  <c r="D87" i="9"/>
  <c r="B87" i="9"/>
  <c r="B76" i="2"/>
  <c r="R107" i="9"/>
  <c r="R82" i="9"/>
  <c r="AA41" i="2"/>
  <c r="AV103" i="2"/>
  <c r="AA69" i="9"/>
  <c r="V92" i="9"/>
  <c r="AE48" i="9"/>
  <c r="M48" i="2"/>
  <c r="AW98" i="2"/>
  <c r="BA37" i="2"/>
  <c r="BA68" i="9"/>
  <c r="W91" i="9"/>
  <c r="BA69" i="9"/>
  <c r="AZ79" i="2"/>
  <c r="AE111" i="9"/>
  <c r="J15" i="9"/>
  <c r="AZ43" i="9"/>
  <c r="S69" i="2"/>
  <c r="AW92" i="9"/>
  <c r="X79" i="2"/>
  <c r="AB56" i="9"/>
  <c r="AY81" i="2"/>
  <c r="AI59" i="2"/>
  <c r="J29" i="9"/>
  <c r="AW77" i="2"/>
  <c r="AI39" i="2"/>
  <c r="Y104" i="9"/>
  <c r="X43" i="9"/>
  <c r="U24" i="2"/>
  <c r="BA71" i="2"/>
  <c r="AV20" i="9"/>
  <c r="AI106" i="2"/>
  <c r="E81" i="2"/>
  <c r="U32" i="2"/>
  <c r="BB64" i="2"/>
  <c r="AA92" i="9"/>
  <c r="AA38" i="2"/>
  <c r="L79" i="9"/>
  <c r="AD105" i="9"/>
  <c r="AL21" i="9"/>
  <c r="G24" i="9"/>
  <c r="AW36" i="9"/>
  <c r="AW25" i="9"/>
  <c r="AC13" i="9"/>
  <c r="AI67" i="2"/>
  <c r="AW63" i="9"/>
  <c r="G57" i="9"/>
  <c r="U84" i="2"/>
  <c r="Z53" i="2"/>
  <c r="Z52" i="2"/>
  <c r="V34" i="9"/>
  <c r="F59" i="9"/>
  <c r="AB95" i="2"/>
  <c r="AQ89" i="9"/>
  <c r="N50" i="9"/>
  <c r="AI68" i="9"/>
  <c r="M67" i="9"/>
  <c r="AZ39" i="2"/>
  <c r="AP14" i="2"/>
  <c r="AP17" i="2"/>
  <c r="AA60" i="2"/>
  <c r="BA54" i="9"/>
  <c r="AY76" i="2"/>
  <c r="BA16" i="9"/>
  <c r="U18" i="2"/>
  <c r="H47" i="2"/>
  <c r="AW67" i="9"/>
  <c r="D25" i="9"/>
  <c r="R18" i="9"/>
  <c r="AN69" i="9"/>
  <c r="V32" i="2"/>
  <c r="AL35" i="2"/>
  <c r="F48" i="2"/>
  <c r="AM69" i="2"/>
  <c r="X111" i="9"/>
  <c r="AL31" i="2"/>
  <c r="AD58" i="9"/>
  <c r="BA54" i="2"/>
  <c r="Y96" i="9"/>
  <c r="AY65" i="2"/>
  <c r="AW55" i="2"/>
  <c r="W54" i="9"/>
  <c r="AW68" i="9"/>
  <c r="O90" i="9"/>
  <c r="O45" i="9"/>
  <c r="Q59" i="2"/>
  <c r="F108" i="9"/>
  <c r="Y107" i="9"/>
  <c r="AL91" i="9"/>
  <c r="AT16" i="2"/>
  <c r="AT75" i="2"/>
  <c r="AT74" i="2"/>
  <c r="AR100" i="2"/>
  <c r="AN14" i="2"/>
  <c r="AP106" i="9"/>
  <c r="BC16" i="2"/>
  <c r="BC53" i="2"/>
  <c r="BC52" i="2"/>
  <c r="F54" i="9"/>
  <c r="AC20" i="9"/>
  <c r="W37" i="9"/>
  <c r="C106" i="2"/>
  <c r="AY47" i="2"/>
  <c r="Q85" i="2"/>
  <c r="Q44" i="2"/>
  <c r="AY101" i="2"/>
  <c r="AY100" i="2"/>
  <c r="Z25" i="2"/>
  <c r="Z46" i="2"/>
  <c r="AF93" i="2"/>
  <c r="AF98" i="2"/>
  <c r="AF32" i="2"/>
  <c r="AN55" i="2"/>
  <c r="AN30" i="2"/>
  <c r="AN45" i="2"/>
  <c r="Z58" i="2"/>
  <c r="C53" i="9"/>
  <c r="AF83" i="2"/>
  <c r="Z15" i="2"/>
  <c r="AF27" i="2"/>
  <c r="AF71" i="2"/>
  <c r="AF78" i="2"/>
  <c r="AN68" i="2"/>
  <c r="Z41" i="2"/>
  <c r="AN32" i="2"/>
  <c r="AN92" i="2"/>
  <c r="Z31" i="2"/>
  <c r="Z102" i="2"/>
  <c r="BA22" i="9"/>
  <c r="D91" i="9"/>
  <c r="AW78" i="9"/>
  <c r="E53" i="2"/>
  <c r="BA47" i="9"/>
  <c r="E98" i="2"/>
  <c r="G50" i="9"/>
  <c r="AL47" i="9"/>
  <c r="AG44" i="9"/>
  <c r="AD87" i="9"/>
  <c r="AE46" i="9"/>
  <c r="AZ67" i="2"/>
  <c r="AL77" i="9"/>
  <c r="AC29" i="2"/>
  <c r="I39" i="9"/>
  <c r="N63" i="9"/>
  <c r="AO42" i="9"/>
  <c r="AR21" i="2"/>
  <c r="AU96" i="9"/>
  <c r="AI32" i="2"/>
  <c r="AS53" i="2"/>
  <c r="M78" i="9"/>
  <c r="AO111" i="9"/>
  <c r="AO110" i="9"/>
  <c r="AC38" i="2"/>
  <c r="AP28" i="9"/>
  <c r="O20" i="9"/>
  <c r="M29" i="2"/>
  <c r="V44" i="9"/>
  <c r="H19" i="2"/>
  <c r="AP70" i="2"/>
  <c r="AB22" i="2"/>
  <c r="AS27" i="9"/>
  <c r="AW103" i="2"/>
  <c r="E29" i="2"/>
  <c r="AN85" i="9"/>
  <c r="AM70" i="9"/>
  <c r="S40" i="2"/>
  <c r="I67" i="9"/>
  <c r="AV58" i="2"/>
  <c r="AV45" i="9"/>
  <c r="AP41" i="9"/>
  <c r="F111" i="9"/>
  <c r="AW70" i="2"/>
  <c r="R56" i="9"/>
  <c r="AY60" i="2"/>
  <c r="AH109" i="2"/>
  <c r="W25" i="9"/>
  <c r="W23" i="9"/>
  <c r="O78" i="9"/>
  <c r="B15" i="9"/>
  <c r="F38" i="9"/>
  <c r="F25" i="9"/>
  <c r="AC90" i="9"/>
  <c r="AH53" i="9"/>
  <c r="AH52" i="9"/>
  <c r="AH103" i="9"/>
  <c r="AH102" i="9"/>
  <c r="D79" i="2"/>
  <c r="B79" i="2"/>
  <c r="C79" i="2"/>
  <c r="G62" i="2"/>
  <c r="O42" i="9"/>
  <c r="BA60" i="9"/>
  <c r="O82" i="9"/>
  <c r="AL43" i="9"/>
  <c r="B32" i="9"/>
  <c r="C32" i="9"/>
  <c r="BA108" i="9"/>
  <c r="BA15" i="9"/>
  <c r="AY68" i="2"/>
  <c r="U50" i="2"/>
  <c r="U79" i="2"/>
  <c r="Y70" i="9"/>
  <c r="U19" i="2"/>
  <c r="AH44" i="2"/>
  <c r="F40" i="9"/>
  <c r="O41" i="9"/>
  <c r="F47" i="9"/>
  <c r="O97" i="9"/>
  <c r="AH91" i="2"/>
  <c r="F28" i="9"/>
  <c r="AC66" i="9"/>
  <c r="AY75" i="2"/>
  <c r="AY74" i="2"/>
  <c r="BC63" i="2"/>
  <c r="BC62" i="2"/>
  <c r="AH93" i="2"/>
  <c r="B97" i="2"/>
  <c r="AU55" i="9"/>
  <c r="Z26" i="9"/>
  <c r="AZ26" i="2"/>
  <c r="H75" i="2"/>
  <c r="AR26" i="2"/>
  <c r="G54" i="2"/>
  <c r="BA66" i="9"/>
  <c r="AG58" i="9"/>
  <c r="AV29" i="9"/>
  <c r="AV110" i="9"/>
  <c r="AN35" i="9"/>
  <c r="BB44" i="2"/>
  <c r="W46" i="9"/>
  <c r="W32" i="9"/>
  <c r="K46" i="2"/>
  <c r="AA29" i="2"/>
  <c r="AA65" i="9"/>
  <c r="AK91" i="2"/>
  <c r="AI69" i="2"/>
  <c r="AD36" i="9"/>
  <c r="AP43" i="2"/>
  <c r="AX46" i="2"/>
  <c r="AS22" i="2"/>
  <c r="D53" i="2"/>
  <c r="V104" i="9"/>
  <c r="F98" i="2"/>
  <c r="AW75" i="2"/>
  <c r="BA80" i="2"/>
  <c r="AP107" i="9"/>
  <c r="U108" i="9"/>
  <c r="H44" i="2"/>
  <c r="U44" i="9"/>
  <c r="AI90" i="2"/>
  <c r="AB47" i="2"/>
  <c r="U42" i="2"/>
  <c r="BB27" i="2"/>
  <c r="U104" i="2"/>
  <c r="N103" i="9"/>
  <c r="M110" i="9"/>
  <c r="B37" i="2"/>
  <c r="AX31" i="2"/>
  <c r="AE28" i="9"/>
  <c r="AU77" i="9"/>
  <c r="R55" i="9"/>
  <c r="BA46" i="2"/>
  <c r="BA49" i="9"/>
  <c r="V13" i="9"/>
  <c r="U39" i="9"/>
  <c r="AI92" i="2"/>
  <c r="H33" i="2"/>
  <c r="AW39" i="2"/>
  <c r="AI26" i="9"/>
  <c r="U108" i="2"/>
  <c r="BA50" i="9"/>
  <c r="BA70" i="9"/>
  <c r="AV49" i="9"/>
  <c r="W16" i="9"/>
  <c r="AB40" i="2"/>
  <c r="AI49" i="2"/>
  <c r="K67" i="2"/>
  <c r="AM111" i="9"/>
  <c r="AZ17" i="9"/>
  <c r="W80" i="2"/>
  <c r="BB30" i="2"/>
  <c r="Z107" i="9"/>
  <c r="AL14" i="9"/>
  <c r="AX62" i="2"/>
  <c r="AL107" i="9"/>
  <c r="R74" i="2"/>
  <c r="BA57" i="2"/>
  <c r="M84" i="9"/>
  <c r="AN81" i="9"/>
  <c r="V80" i="9"/>
  <c r="BA65" i="2"/>
  <c r="U74" i="9"/>
  <c r="E58" i="2"/>
  <c r="BA82" i="9"/>
  <c r="AW22" i="2"/>
  <c r="AW40" i="2"/>
  <c r="AV101" i="2"/>
  <c r="AR30" i="2"/>
  <c r="T90" i="2"/>
  <c r="AS111" i="9"/>
  <c r="R104" i="2"/>
  <c r="AW65" i="9"/>
  <c r="N57" i="9"/>
  <c r="X87" i="9"/>
  <c r="AG69" i="9"/>
  <c r="AV23" i="9"/>
  <c r="B53" i="2"/>
  <c r="BA32" i="2"/>
  <c r="BD52" i="9"/>
  <c r="BD53" i="9"/>
  <c r="BD13" i="9"/>
  <c r="BD12" i="9"/>
  <c r="BD10" i="9"/>
  <c r="M104" i="9"/>
  <c r="AV49" i="2"/>
  <c r="F106" i="2"/>
  <c r="AP64" i="2"/>
  <c r="I42" i="9"/>
  <c r="I49" i="9"/>
  <c r="I44" i="9"/>
  <c r="H55" i="2"/>
  <c r="I50" i="9"/>
  <c r="K109" i="2"/>
  <c r="K81" i="2"/>
  <c r="W36" i="2"/>
  <c r="I69" i="2"/>
  <c r="AC50" i="2"/>
  <c r="AM23" i="2"/>
  <c r="AE27" i="9"/>
  <c r="AU36" i="9"/>
  <c r="M47" i="2"/>
  <c r="AX14" i="2"/>
  <c r="F90" i="2"/>
  <c r="G42" i="2"/>
  <c r="AD27" i="9"/>
  <c r="AJ39" i="2"/>
  <c r="AC90" i="2"/>
  <c r="AC21" i="2"/>
  <c r="AR56" i="2"/>
  <c r="AB55" i="2"/>
  <c r="AS37" i="2"/>
  <c r="M32" i="2"/>
  <c r="AC19" i="2"/>
  <c r="G60" i="2"/>
  <c r="L40" i="9"/>
  <c r="AB29" i="9"/>
  <c r="AE30" i="9"/>
  <c r="AE63" i="9"/>
  <c r="AJ31" i="2"/>
  <c r="BA71" i="9"/>
  <c r="N43" i="9"/>
  <c r="V43" i="9"/>
  <c r="AL92" i="9"/>
  <c r="J97" i="9"/>
  <c r="V106" i="9"/>
  <c r="AW58" i="2"/>
  <c r="I43" i="9"/>
  <c r="L48" i="9"/>
  <c r="F70" i="2"/>
  <c r="U54" i="2"/>
  <c r="AZ92" i="9"/>
  <c r="BA81" i="2"/>
  <c r="K24" i="9"/>
  <c r="X85" i="2"/>
  <c r="F36" i="2"/>
  <c r="U50" i="9"/>
  <c r="J21" i="9"/>
  <c r="AM68" i="2"/>
  <c r="S48" i="2"/>
  <c r="AM57" i="2"/>
  <c r="R24" i="2"/>
  <c r="BB102" i="2"/>
  <c r="M64" i="2"/>
  <c r="AE83" i="9"/>
  <c r="C54" i="2"/>
  <c r="AY48" i="2"/>
  <c r="AG96" i="9"/>
  <c r="AL41" i="9"/>
  <c r="E31" i="2"/>
  <c r="L30" i="9"/>
  <c r="AV43" i="2"/>
  <c r="AG41" i="9"/>
  <c r="BA78" i="9"/>
  <c r="Y13" i="9"/>
  <c r="AL76" i="9"/>
  <c r="AW111" i="9"/>
  <c r="AW64" i="2"/>
  <c r="AW57" i="2"/>
  <c r="E65" i="2"/>
  <c r="E60" i="2"/>
  <c r="S53" i="9"/>
  <c r="S52" i="9"/>
  <c r="S75" i="9"/>
  <c r="S74" i="9"/>
  <c r="U64" i="2"/>
  <c r="Z35" i="9"/>
  <c r="AN95" i="9"/>
  <c r="AA50" i="9"/>
  <c r="W109" i="2"/>
  <c r="AC67" i="2"/>
  <c r="BC88" i="2"/>
  <c r="AG92" i="9"/>
  <c r="AG28" i="9"/>
  <c r="AG85" i="9"/>
  <c r="K92" i="9"/>
  <c r="M40" i="2"/>
  <c r="AG103" i="2"/>
  <c r="AC82" i="2"/>
  <c r="R70" i="2"/>
  <c r="AR95" i="2"/>
  <c r="AI54" i="2"/>
  <c r="AG109" i="2"/>
  <c r="R72" i="2"/>
  <c r="X48" i="2"/>
  <c r="D103" i="2"/>
  <c r="AJ97" i="2"/>
  <c r="G48" i="2"/>
  <c r="AP102" i="2"/>
  <c r="D77" i="9"/>
  <c r="U41" i="9"/>
  <c r="BC26" i="2"/>
  <c r="J16" i="2"/>
  <c r="J14" i="2"/>
  <c r="J13" i="2"/>
  <c r="I16" i="9"/>
  <c r="Z106" i="9"/>
  <c r="AW64" i="9"/>
  <c r="AC75" i="9"/>
  <c r="AP105" i="9"/>
  <c r="AL28" i="2"/>
  <c r="AL98" i="9"/>
  <c r="U23" i="2"/>
  <c r="AZ60" i="2"/>
  <c r="K71" i="2"/>
  <c r="T81" i="2"/>
  <c r="U68" i="9"/>
  <c r="W77" i="2"/>
  <c r="M49" i="2"/>
  <c r="T45" i="2"/>
  <c r="AC102" i="9"/>
  <c r="D52" i="2"/>
  <c r="B52" i="2"/>
  <c r="AG79" i="9"/>
  <c r="AZ15" i="2"/>
  <c r="AP21" i="9"/>
  <c r="AV35" i="9"/>
  <c r="E75" i="2"/>
  <c r="B83" i="9"/>
  <c r="AP18" i="2"/>
  <c r="V20" i="9"/>
  <c r="AW38" i="2"/>
  <c r="AN60" i="9"/>
  <c r="K30" i="9"/>
  <c r="M45" i="2"/>
  <c r="AU108" i="9"/>
  <c r="X56" i="9"/>
  <c r="AL77" i="2"/>
  <c r="AD108" i="9"/>
  <c r="AL104" i="2"/>
  <c r="AP54" i="2"/>
  <c r="AB12" i="9"/>
  <c r="S84" i="2"/>
  <c r="AQ37" i="9"/>
  <c r="K98" i="9"/>
  <c r="AI75" i="2"/>
  <c r="AE59" i="9"/>
  <c r="R13" i="2"/>
  <c r="G71" i="9"/>
  <c r="BC75" i="2"/>
  <c r="R67" i="2"/>
  <c r="AN37" i="9"/>
  <c r="F67" i="2"/>
  <c r="B67" i="9"/>
  <c r="AY14" i="2"/>
  <c r="AY19" i="2"/>
  <c r="AL95" i="9"/>
  <c r="AG60" i="9"/>
  <c r="E62" i="2"/>
  <c r="U65" i="2"/>
  <c r="Y82" i="9"/>
  <c r="AH17" i="2"/>
  <c r="F41" i="9"/>
  <c r="AH90" i="2"/>
  <c r="AV12" i="9"/>
  <c r="AY54" i="2"/>
  <c r="AP25" i="9"/>
  <c r="O103" i="9"/>
  <c r="BA76" i="9"/>
  <c r="R92" i="9"/>
  <c r="AK100" i="2"/>
  <c r="J13" i="9"/>
  <c r="V12" i="9"/>
  <c r="AW79" i="9"/>
  <c r="U80" i="2"/>
  <c r="AY91" i="2"/>
  <c r="Y110" i="9"/>
  <c r="Y77" i="9"/>
  <c r="AV55" i="9"/>
  <c r="BC46" i="2"/>
  <c r="AV106" i="9"/>
  <c r="BC105" i="2"/>
  <c r="R28" i="9"/>
  <c r="AV57" i="9"/>
  <c r="R30" i="9"/>
  <c r="D70" i="2"/>
  <c r="AX66" i="2"/>
  <c r="G44" i="9"/>
  <c r="AK29" i="2"/>
  <c r="V24" i="9"/>
  <c r="M42" i="2"/>
  <c r="AP103" i="2"/>
  <c r="AD66" i="9"/>
  <c r="BC36" i="2"/>
  <c r="L24" i="9"/>
  <c r="AB23" i="9"/>
  <c r="K47" i="2"/>
  <c r="AB56" i="2"/>
  <c r="AM53" i="2"/>
  <c r="Z32" i="9"/>
  <c r="H58" i="2"/>
  <c r="D89" i="2"/>
  <c r="AL89" i="9"/>
  <c r="AM74" i="9"/>
  <c r="BC79" i="2"/>
  <c r="BA104" i="2"/>
  <c r="AG97" i="9"/>
  <c r="Q36" i="2"/>
  <c r="Q35" i="2"/>
  <c r="N16" i="2"/>
  <c r="N75" i="2"/>
  <c r="N74" i="2"/>
  <c r="I109" i="2"/>
  <c r="U54" i="9"/>
  <c r="AK64" i="2"/>
  <c r="BB81" i="2"/>
  <c r="AM18" i="9"/>
  <c r="I60" i="9"/>
  <c r="AK24" i="2"/>
  <c r="AP90" i="9"/>
  <c r="AM66" i="9"/>
  <c r="R66" i="2"/>
  <c r="AA46" i="9"/>
  <c r="AA59" i="2"/>
  <c r="AR84" i="2"/>
  <c r="AB92" i="9"/>
  <c r="X45" i="2"/>
  <c r="T98" i="2"/>
  <c r="AJ40" i="2"/>
  <c r="T43" i="2"/>
  <c r="V84" i="2"/>
  <c r="BB29" i="2"/>
  <c r="I96" i="2"/>
  <c r="BB32" i="2"/>
  <c r="AK49" i="2"/>
  <c r="AK41" i="2"/>
  <c r="BB28" i="2"/>
  <c r="BB83" i="2"/>
  <c r="AA28" i="2"/>
  <c r="AG22" i="2"/>
  <c r="AA23" i="2"/>
  <c r="AS87" i="2"/>
  <c r="AO103" i="9"/>
  <c r="AN92" i="9"/>
  <c r="F103" i="2"/>
  <c r="M15" i="9"/>
  <c r="AM43" i="2"/>
  <c r="AE45" i="9"/>
  <c r="AU15" i="9"/>
  <c r="AX81" i="2"/>
  <c r="AS43" i="2"/>
  <c r="AA29" i="9"/>
  <c r="AM84" i="2"/>
  <c r="AQ76" i="9"/>
  <c r="G76" i="9"/>
  <c r="H30" i="2"/>
  <c r="AH38" i="9"/>
  <c r="S28" i="2"/>
  <c r="AZ57" i="2"/>
  <c r="D84" i="9"/>
  <c r="V91" i="9"/>
  <c r="U56" i="2"/>
  <c r="K52" i="2"/>
  <c r="G82" i="9"/>
  <c r="AO67" i="9"/>
  <c r="AI59" i="9"/>
  <c r="AS84" i="2"/>
  <c r="M59" i="2"/>
  <c r="AC97" i="2"/>
  <c r="AG78" i="2"/>
  <c r="AC92" i="2"/>
  <c r="U29" i="2"/>
  <c r="Y111" i="9"/>
  <c r="G84" i="2"/>
  <c r="AO82" i="9"/>
  <c r="V15" i="9"/>
  <c r="F83" i="9"/>
  <c r="AW91" i="9"/>
  <c r="AN28" i="9"/>
  <c r="AD25" i="9"/>
  <c r="F13" i="9"/>
  <c r="Y26" i="9"/>
  <c r="N72" i="9"/>
  <c r="AL58" i="9"/>
  <c r="U76" i="2"/>
  <c r="AZ45" i="9"/>
  <c r="AE36" i="9"/>
  <c r="T96" i="2"/>
  <c r="BA90" i="2"/>
  <c r="U103" i="9"/>
  <c r="AZ48" i="2"/>
  <c r="M65" i="2"/>
  <c r="AO95" i="9"/>
  <c r="AD92" i="9"/>
  <c r="M71" i="9"/>
  <c r="AQ75" i="9"/>
  <c r="J106" i="9"/>
  <c r="AI81" i="9"/>
  <c r="AU98" i="9"/>
  <c r="R27" i="2"/>
  <c r="J92" i="9"/>
  <c r="AR53" i="2"/>
  <c r="K26" i="2"/>
  <c r="N98" i="9"/>
  <c r="AE60" i="9"/>
  <c r="AI49" i="9"/>
  <c r="AG31" i="9"/>
  <c r="BA30" i="9"/>
  <c r="AE18" i="9"/>
  <c r="W18" i="9"/>
  <c r="AY18" i="2"/>
  <c r="AM110" i="9"/>
  <c r="M43" i="9"/>
  <c r="AT53" i="9"/>
  <c r="AT52" i="9"/>
  <c r="AT44" i="9"/>
  <c r="AV62" i="2"/>
  <c r="AT93" i="9"/>
  <c r="AW32" i="2"/>
  <c r="AL60" i="9"/>
  <c r="AY28" i="2"/>
  <c r="AT97" i="9"/>
  <c r="F82" i="9"/>
  <c r="AC95" i="9"/>
  <c r="AB109" i="2"/>
  <c r="R69" i="2"/>
  <c r="AR66" i="2"/>
  <c r="AC17" i="2"/>
  <c r="R41" i="2"/>
  <c r="AW95" i="9"/>
  <c r="B62" i="2"/>
  <c r="G88" i="2"/>
  <c r="AP69" i="2"/>
  <c r="N97" i="9"/>
  <c r="AZ91" i="9"/>
  <c r="G59" i="2"/>
  <c r="M76" i="2"/>
  <c r="B13" i="9"/>
  <c r="AW93" i="9"/>
  <c r="AP55" i="9"/>
  <c r="X20" i="2"/>
  <c r="AN67" i="9"/>
  <c r="U43" i="2"/>
  <c r="Z24" i="9"/>
  <c r="Z49" i="9"/>
  <c r="AP58" i="2"/>
  <c r="U59" i="9"/>
  <c r="AX19" i="2"/>
  <c r="BB54" i="2"/>
  <c r="AW31" i="9"/>
  <c r="AU49" i="9"/>
  <c r="U66" i="9"/>
  <c r="B104" i="9"/>
  <c r="AO92" i="9"/>
  <c r="AM36" i="9"/>
  <c r="AW66" i="9"/>
  <c r="N92" i="9"/>
  <c r="AG14" i="9"/>
  <c r="D85" i="9"/>
  <c r="B85" i="9"/>
  <c r="C85" i="9"/>
  <c r="AE66" i="9"/>
  <c r="AD81" i="9"/>
  <c r="R96" i="2"/>
  <c r="AZ30" i="9"/>
  <c r="AS70" i="9"/>
  <c r="AD70" i="9"/>
  <c r="AZ42" i="9"/>
  <c r="N104" i="9"/>
  <c r="V27" i="9"/>
  <c r="AE16" i="2"/>
  <c r="AE88" i="2"/>
  <c r="AE87" i="2"/>
  <c r="V17" i="2"/>
  <c r="AZ76" i="2"/>
  <c r="I60" i="2"/>
  <c r="AY57" i="2"/>
  <c r="AM67" i="2"/>
  <c r="AO28" i="9"/>
  <c r="M44" i="2"/>
  <c r="AZ50" i="9"/>
  <c r="T42" i="2"/>
  <c r="AW71" i="9"/>
  <c r="AL44" i="2"/>
  <c r="AQ68" i="9"/>
  <c r="H97" i="2"/>
  <c r="S46" i="2"/>
  <c r="AY39" i="2"/>
  <c r="AH35" i="9"/>
  <c r="AH63" i="9"/>
  <c r="G108" i="9"/>
  <c r="M98" i="2"/>
  <c r="AU72" i="9"/>
  <c r="X71" i="2"/>
  <c r="AP35" i="2"/>
  <c r="G12" i="9"/>
  <c r="AW70" i="9"/>
  <c r="AT67" i="9"/>
  <c r="W45" i="9"/>
  <c r="C22" i="2"/>
  <c r="AW27" i="2"/>
  <c r="AP63" i="9"/>
  <c r="AP62" i="9"/>
  <c r="AT91" i="9"/>
  <c r="AH15" i="2"/>
  <c r="F24" i="9"/>
  <c r="N23" i="9"/>
  <c r="N14" i="9"/>
  <c r="D20" i="2"/>
  <c r="AZ36" i="2"/>
  <c r="X25" i="2"/>
  <c r="AG19" i="9"/>
  <c r="AA82" i="9"/>
  <c r="AL39" i="2"/>
  <c r="AH37" i="9"/>
  <c r="AH81" i="2"/>
  <c r="BB60" i="2"/>
  <c r="X69" i="9"/>
  <c r="AA20" i="9"/>
  <c r="U85" i="2"/>
  <c r="AV88" i="2"/>
  <c r="AW40" i="9"/>
  <c r="BA95" i="2"/>
  <c r="BA28" i="9"/>
  <c r="AL72" i="9"/>
  <c r="BA84" i="2"/>
  <c r="J12" i="9"/>
  <c r="J53" i="2"/>
  <c r="J52" i="2"/>
  <c r="AW45" i="2"/>
  <c r="AL68" i="9"/>
  <c r="AT103" i="9"/>
  <c r="Y35" i="9"/>
  <c r="BA19" i="9"/>
  <c r="AP64" i="9"/>
  <c r="AH43" i="9"/>
  <c r="AV28" i="9"/>
  <c r="M102" i="9"/>
  <c r="F32" i="9"/>
  <c r="R13" i="9"/>
  <c r="R12" i="9"/>
  <c r="BC31" i="2"/>
  <c r="AW87" i="2"/>
  <c r="O24" i="9"/>
  <c r="Y56" i="9"/>
  <c r="AC17" i="9"/>
  <c r="AH70" i="2"/>
  <c r="T53" i="9"/>
  <c r="T52" i="9"/>
  <c r="T13" i="9"/>
  <c r="T12" i="9"/>
  <c r="T10" i="9"/>
  <c r="Y106" i="9"/>
  <c r="Y103" i="9"/>
  <c r="AC83" i="9"/>
  <c r="R77" i="9"/>
  <c r="P53" i="9"/>
  <c r="P52" i="9"/>
  <c r="P35" i="9"/>
  <c r="P34" i="9"/>
  <c r="AE16" i="9"/>
  <c r="M26" i="9"/>
  <c r="AQ21" i="9"/>
  <c r="AV94" i="2"/>
  <c r="U58" i="9"/>
  <c r="BB77" i="2"/>
  <c r="R43" i="2"/>
  <c r="AS30" i="2"/>
  <c r="I26" i="9"/>
  <c r="AU104" i="9"/>
  <c r="AP72" i="9"/>
  <c r="AZ74" i="2"/>
  <c r="F78" i="9"/>
  <c r="O28" i="9"/>
  <c r="AH69" i="2"/>
  <c r="BA77" i="2"/>
  <c r="AM35" i="2"/>
  <c r="AH17" i="9"/>
  <c r="AT15" i="9"/>
  <c r="AH41" i="9"/>
  <c r="AT102" i="9"/>
  <c r="AU34" i="9"/>
  <c r="F66" i="9"/>
  <c r="AH83" i="2"/>
  <c r="BA101" i="2"/>
  <c r="BA100" i="2"/>
  <c r="N101" i="2"/>
  <c r="N100" i="2"/>
  <c r="AH38" i="2"/>
  <c r="AY17" i="2"/>
  <c r="R21" i="9"/>
  <c r="Y18" i="9"/>
  <c r="AV10" i="9"/>
  <c r="Z13" i="9"/>
  <c r="Z12" i="9"/>
  <c r="Z10" i="9"/>
  <c r="W15" i="9"/>
  <c r="AY40" i="2"/>
  <c r="BA79" i="2"/>
  <c r="BA15" i="2"/>
  <c r="R110" i="9"/>
  <c r="AC110" i="9"/>
  <c r="N102" i="9"/>
  <c r="W85" i="9"/>
  <c r="K13" i="9"/>
  <c r="K12" i="9"/>
  <c r="K10" i="9"/>
  <c r="AY44" i="2"/>
  <c r="AG22" i="9"/>
  <c r="AC29" i="9"/>
  <c r="AW46" i="9"/>
  <c r="AW29" i="2"/>
  <c r="BA26" i="9"/>
  <c r="AC44" i="9"/>
  <c r="O57" i="9"/>
  <c r="Y78" i="9"/>
  <c r="B77" i="2"/>
  <c r="C77" i="2"/>
  <c r="Y41" i="9"/>
  <c r="O60" i="9"/>
  <c r="AH22" i="9"/>
  <c r="F29" i="9"/>
  <c r="AG48" i="9"/>
  <c r="W72" i="9"/>
  <c r="AC111" i="9"/>
  <c r="U71" i="2"/>
  <c r="BA96" i="2"/>
  <c r="AL56" i="9"/>
  <c r="BC50" i="2"/>
  <c r="AC69" i="9"/>
  <c r="BD35" i="9"/>
  <c r="BD34" i="9"/>
  <c r="G74" i="9"/>
  <c r="O25" i="9"/>
  <c r="AC23" i="9"/>
  <c r="F105" i="9"/>
  <c r="F96" i="9"/>
  <c r="AK53" i="9"/>
  <c r="AK52" i="9"/>
  <c r="AK75" i="9"/>
  <c r="AK74" i="9"/>
  <c r="U91" i="2"/>
  <c r="Y27" i="9"/>
  <c r="AW47" i="2"/>
  <c r="BA27" i="2"/>
  <c r="W19" i="9"/>
  <c r="O17" i="9"/>
  <c r="O72" i="9"/>
  <c r="AL97" i="9"/>
  <c r="AH27" i="2"/>
  <c r="AG100" i="2"/>
  <c r="R66" i="9"/>
  <c r="Y68" i="9"/>
  <c r="AH92" i="9"/>
  <c r="AH22" i="2"/>
  <c r="AG34" i="9"/>
  <c r="W24" i="9"/>
  <c r="W83" i="9"/>
  <c r="E52" i="9"/>
  <c r="E53" i="9"/>
  <c r="E75" i="9"/>
  <c r="E74" i="9"/>
  <c r="AD16" i="2"/>
  <c r="AD36" i="2"/>
  <c r="AD35" i="2"/>
  <c r="W76" i="9"/>
  <c r="F50" i="9"/>
  <c r="BC97" i="2"/>
  <c r="D72" i="2"/>
  <c r="B72" i="2"/>
  <c r="C72" i="2"/>
  <c r="E13" i="9"/>
  <c r="E12" i="9"/>
  <c r="E10" i="9"/>
  <c r="O49" i="9"/>
  <c r="BC21" i="2"/>
  <c r="P16" i="2"/>
  <c r="P63" i="2"/>
  <c r="P62" i="2"/>
  <c r="AN34" i="9"/>
  <c r="BD75" i="9"/>
  <c r="BD74" i="9"/>
  <c r="F31" i="9"/>
  <c r="O80" i="9"/>
  <c r="AC55" i="9"/>
  <c r="BC98" i="2"/>
  <c r="BC59" i="2"/>
  <c r="D105" i="2"/>
  <c r="B105" i="2"/>
  <c r="C105" i="2"/>
  <c r="F70" i="9"/>
  <c r="R10" i="9"/>
  <c r="AH103" i="2"/>
  <c r="Q63" i="2"/>
  <c r="Q62" i="2"/>
  <c r="AF53" i="9"/>
  <c r="AF52" i="9"/>
  <c r="AF35" i="9"/>
  <c r="AF34" i="9"/>
  <c r="AH19" i="9"/>
  <c r="AC104" i="9"/>
  <c r="O48" i="9"/>
  <c r="AV74" i="2"/>
  <c r="O75" i="9"/>
  <c r="O74" i="9"/>
  <c r="R24" i="9"/>
  <c r="C82" i="2"/>
  <c r="AC65" i="9"/>
  <c r="AH62" i="9"/>
  <c r="R14" i="9"/>
  <c r="AC80" i="9"/>
  <c r="AC91" i="9"/>
  <c r="R48" i="9"/>
  <c r="AH96" i="2"/>
  <c r="E63" i="9"/>
  <c r="E62" i="9"/>
  <c r="AK35" i="9"/>
  <c r="AK34" i="9"/>
  <c r="Y60" i="9"/>
  <c r="AC26" i="9"/>
  <c r="AH30" i="2"/>
  <c r="R108" i="9"/>
  <c r="AC106" i="9"/>
  <c r="AC36" i="9"/>
  <c r="AC50" i="9"/>
  <c r="F84" i="9"/>
  <c r="F56" i="9"/>
  <c r="AR53" i="9"/>
  <c r="AR52" i="9"/>
  <c r="AR89" i="9"/>
  <c r="AR87" i="9"/>
  <c r="F85" i="9"/>
  <c r="AC47" i="9"/>
  <c r="R29" i="9"/>
  <c r="BA35" i="9"/>
  <c r="BA34" i="9"/>
  <c r="AH43" i="2"/>
  <c r="L16" i="2"/>
  <c r="L63" i="2"/>
  <c r="L62" i="2"/>
  <c r="D96" i="9"/>
  <c r="B96" i="9"/>
  <c r="C96" i="9"/>
  <c r="AC85" i="9"/>
  <c r="Q52" i="9"/>
  <c r="Q53" i="9"/>
  <c r="Q13" i="9"/>
  <c r="Q12" i="9"/>
  <c r="Q10" i="9"/>
  <c r="AW68" i="2"/>
  <c r="AG27" i="9"/>
  <c r="AQ102" i="9"/>
  <c r="AH29" i="9"/>
  <c r="AY72" i="2"/>
  <c r="AL79" i="9"/>
  <c r="Y65" i="9"/>
  <c r="O40" i="9"/>
  <c r="AH55" i="9"/>
  <c r="F93" i="9"/>
  <c r="F22" i="9"/>
  <c r="AG95" i="9"/>
  <c r="C59" i="2"/>
  <c r="U81" i="2"/>
  <c r="AY67" i="2"/>
  <c r="W13" i="2"/>
  <c r="W11" i="2"/>
  <c r="O69" i="9"/>
  <c r="AX13" i="2"/>
  <c r="AX11" i="2"/>
  <c r="AW49" i="2"/>
  <c r="AC89" i="9"/>
  <c r="AC87" i="9"/>
  <c r="BA20" i="2"/>
  <c r="AL23" i="9"/>
  <c r="BA68" i="2"/>
  <c r="AM10" i="9"/>
  <c r="O70" i="9"/>
  <c r="F104" i="9"/>
  <c r="AC82" i="9"/>
  <c r="O16" i="2"/>
  <c r="O63" i="2"/>
  <c r="O62" i="2"/>
  <c r="AC68" i="9"/>
  <c r="AC57" i="9"/>
  <c r="AL111" i="9"/>
  <c r="AT37" i="9"/>
  <c r="AR35" i="9"/>
  <c r="AR34" i="9"/>
  <c r="AL93" i="9"/>
  <c r="BA41" i="2"/>
  <c r="AT81" i="9"/>
  <c r="BA25" i="2"/>
  <c r="W28" i="9"/>
  <c r="AW23" i="9"/>
  <c r="BA104" i="9"/>
  <c r="Y40" i="9"/>
  <c r="W95" i="9"/>
  <c r="AT48" i="9"/>
  <c r="AH65" i="9"/>
  <c r="AW89" i="2"/>
  <c r="AV34" i="9"/>
  <c r="AH76" i="2"/>
  <c r="R95" i="9"/>
  <c r="O18" i="9"/>
  <c r="Y17" i="9"/>
  <c r="I11" i="2"/>
  <c r="AD75" i="2"/>
  <c r="AD74" i="2"/>
  <c r="F21" i="9"/>
  <c r="AQ16" i="2"/>
  <c r="AQ53" i="2"/>
  <c r="AQ52" i="2"/>
  <c r="AD101" i="2"/>
  <c r="AD100" i="2"/>
  <c r="O92" i="9"/>
  <c r="C15" i="9"/>
  <c r="AT27" i="9"/>
  <c r="AT18" i="9"/>
  <c r="AH82" i="2"/>
  <c r="AH39" i="9"/>
  <c r="D62" i="9"/>
  <c r="B62" i="9"/>
  <c r="C62" i="9"/>
  <c r="G87" i="2"/>
  <c r="BB87" i="2"/>
  <c r="B29" i="9"/>
  <c r="C29" i="9"/>
  <c r="O108" i="9"/>
  <c r="AH83" i="9"/>
  <c r="AH78" i="9"/>
  <c r="AS13" i="9"/>
  <c r="AS12" i="9"/>
  <c r="AS10" i="9"/>
  <c r="AH41" i="2"/>
  <c r="AC19" i="9"/>
  <c r="F67" i="9"/>
  <c r="F20" i="9"/>
  <c r="O36" i="9"/>
  <c r="O71" i="9"/>
  <c r="AH97" i="2"/>
  <c r="O54" i="9"/>
  <c r="AT50" i="9"/>
  <c r="AT92" i="9"/>
  <c r="AT96" i="9"/>
  <c r="AH19" i="2"/>
  <c r="D31" i="9"/>
  <c r="B31" i="9"/>
  <c r="C31" i="9"/>
  <c r="AL102" i="9"/>
  <c r="AH32" i="2"/>
  <c r="AH40" i="2"/>
  <c r="AT85" i="9"/>
  <c r="AX53" i="9"/>
  <c r="AX52" i="9"/>
  <c r="AX63" i="9"/>
  <c r="AX62" i="9"/>
  <c r="F75" i="9"/>
  <c r="F74" i="9"/>
  <c r="AT59" i="9"/>
  <c r="Q89" i="9"/>
  <c r="Q87" i="9"/>
  <c r="AT83" i="9"/>
  <c r="AT78" i="9"/>
  <c r="AT22" i="9"/>
  <c r="AT30" i="9"/>
  <c r="AK103" i="9"/>
  <c r="AK102" i="9"/>
  <c r="AT36" i="9"/>
  <c r="D35" i="9"/>
  <c r="D34" i="9"/>
  <c r="B34" i="9"/>
  <c r="C34" i="9"/>
  <c r="J101" i="2"/>
  <c r="J100" i="2"/>
  <c r="AT24" i="9"/>
  <c r="P75" i="2"/>
  <c r="P74" i="2"/>
  <c r="AJ53" i="9"/>
  <c r="AJ52" i="9"/>
  <c r="AJ103" i="9"/>
  <c r="AJ102" i="9"/>
  <c r="B89" i="2"/>
  <c r="C89" i="2"/>
  <c r="BC53" i="9"/>
  <c r="BC52" i="9"/>
  <c r="BC35" i="9"/>
  <c r="BC34" i="9"/>
  <c r="AH108" i="9"/>
  <c r="AH16" i="9"/>
  <c r="F57" i="9"/>
  <c r="P75" i="9"/>
  <c r="P74" i="9"/>
  <c r="O93" i="9"/>
  <c r="Q75" i="9"/>
  <c r="Q74" i="9"/>
  <c r="AH40" i="9"/>
  <c r="AL62" i="9"/>
  <c r="BC38" i="2"/>
  <c r="O39" i="9"/>
  <c r="BC102" i="2"/>
  <c r="O107" i="9"/>
  <c r="AH34" i="9"/>
  <c r="BD103" i="9"/>
  <c r="BD102" i="9"/>
  <c r="BC103" i="2"/>
  <c r="J34" i="9"/>
  <c r="BC20" i="2"/>
  <c r="BC22" i="2"/>
  <c r="O15" i="9"/>
  <c r="Z101" i="2"/>
  <c r="Z100" i="2"/>
  <c r="AM87" i="9"/>
  <c r="BC94" i="2"/>
  <c r="AH14" i="2"/>
  <c r="AH13" i="2"/>
  <c r="AH11" i="2"/>
  <c r="U28" i="2"/>
  <c r="AY66" i="2"/>
  <c r="AS62" i="2"/>
  <c r="D39" i="9"/>
  <c r="B39" i="9"/>
  <c r="C39" i="9"/>
  <c r="E89" i="9"/>
  <c r="E87" i="9"/>
  <c r="BC40" i="2"/>
  <c r="U21" i="2"/>
  <c r="U38" i="2"/>
  <c r="AH58" i="9"/>
  <c r="D69" i="2"/>
  <c r="B69" i="2"/>
  <c r="C69" i="2"/>
  <c r="AY80" i="2"/>
  <c r="AH14" i="9"/>
  <c r="U15" i="2"/>
  <c r="U49" i="2"/>
  <c r="M52" i="2"/>
  <c r="AY78" i="2"/>
  <c r="AH89" i="2"/>
  <c r="B75" i="2"/>
  <c r="C75" i="2"/>
  <c r="U22" i="2"/>
  <c r="AY102" i="2"/>
  <c r="Y97" i="9"/>
  <c r="AY109" i="2"/>
  <c r="BC49" i="2"/>
  <c r="F44" i="9"/>
  <c r="O23" i="9"/>
  <c r="U102" i="2"/>
  <c r="Y16" i="2"/>
  <c r="Y14" i="2"/>
  <c r="Y13" i="2"/>
  <c r="Y11" i="2"/>
  <c r="AY98" i="2"/>
  <c r="D56" i="2"/>
  <c r="B56" i="2"/>
  <c r="C56" i="2"/>
  <c r="Y32" i="9"/>
  <c r="AQ36" i="2"/>
  <c r="AQ35" i="2"/>
  <c r="AC52" i="2"/>
  <c r="F35" i="2"/>
  <c r="F49" i="9"/>
  <c r="AH66" i="2"/>
  <c r="O65" i="9"/>
  <c r="O76" i="9"/>
  <c r="D38" i="9"/>
  <c r="B38" i="9"/>
  <c r="C38" i="9"/>
  <c r="AC59" i="9"/>
  <c r="AH63" i="2"/>
  <c r="AH62" i="2"/>
  <c r="AY55" i="2"/>
  <c r="AH82" i="9"/>
  <c r="AH67" i="9"/>
  <c r="U17" i="2"/>
  <c r="B35" i="9"/>
  <c r="C35" i="9"/>
  <c r="AC108" i="9"/>
  <c r="AH93" i="9"/>
  <c r="AY92" i="2"/>
  <c r="BC25" i="2"/>
  <c r="BB53" i="9"/>
  <c r="BB52" i="9"/>
  <c r="BB75" i="9"/>
  <c r="BB74" i="9"/>
  <c r="AH64" i="9"/>
  <c r="O91" i="9"/>
  <c r="O66" i="9"/>
  <c r="BC70" i="2"/>
  <c r="AC58" i="9"/>
  <c r="BC44" i="2"/>
  <c r="BC17" i="2"/>
  <c r="BC81" i="2"/>
  <c r="F17" i="9"/>
  <c r="F46" i="9"/>
  <c r="AC64" i="9"/>
  <c r="Y45" i="9"/>
  <c r="BA87" i="2"/>
  <c r="F37" i="9"/>
  <c r="U57" i="2"/>
  <c r="AY56" i="2"/>
  <c r="AC70" i="9"/>
  <c r="J88" i="2"/>
  <c r="J87" i="2"/>
  <c r="AC16" i="9"/>
  <c r="O96" i="9"/>
  <c r="D100" i="2"/>
  <c r="B100" i="2"/>
  <c r="C100" i="2"/>
  <c r="AC97" i="9"/>
  <c r="AQ74" i="9"/>
  <c r="AH26" i="9"/>
  <c r="C104" i="9"/>
  <c r="AC30" i="9"/>
  <c r="AH79" i="2"/>
  <c r="BC80" i="2"/>
  <c r="O14" i="9"/>
  <c r="BC92" i="2"/>
  <c r="AC21" i="9"/>
  <c r="BC18" i="2"/>
  <c r="F89" i="9"/>
  <c r="F87" i="9"/>
  <c r="F23" i="9"/>
  <c r="O47" i="9"/>
  <c r="AT63" i="9"/>
  <c r="AT62" i="9"/>
  <c r="F65" i="9"/>
  <c r="AH69" i="9"/>
  <c r="AT89" i="9"/>
  <c r="AT87" i="9"/>
  <c r="AU13" i="9"/>
  <c r="AU12" i="9"/>
  <c r="AU10" i="9"/>
  <c r="AV100" i="2"/>
  <c r="AH25" i="2"/>
  <c r="AH49" i="2"/>
  <c r="AH54" i="2"/>
  <c r="AC93" i="9"/>
  <c r="AR52" i="2"/>
  <c r="AH42" i="2"/>
  <c r="AH60" i="2"/>
  <c r="AH84" i="2"/>
  <c r="AH55" i="2"/>
  <c r="Y21" i="9"/>
  <c r="Y38" i="9"/>
  <c r="AH26" i="2"/>
  <c r="AC48" i="9"/>
  <c r="AC56" i="9"/>
  <c r="Y14" i="9"/>
  <c r="Y44" i="9"/>
  <c r="F97" i="9"/>
  <c r="F76" i="9"/>
  <c r="F18" i="9"/>
  <c r="Y67" i="9"/>
  <c r="AH77" i="2"/>
  <c r="AC49" i="9"/>
  <c r="F42" i="9"/>
  <c r="AH39" i="2"/>
  <c r="L53" i="2"/>
  <c r="L52" i="2"/>
  <c r="AC22" i="9"/>
  <c r="AC105" i="9"/>
  <c r="AC71" i="9"/>
  <c r="AC96" i="9"/>
  <c r="AC43" i="9"/>
  <c r="AT42" i="9"/>
  <c r="AO16" i="2"/>
  <c r="AO14" i="2"/>
  <c r="AO13" i="2"/>
  <c r="AO11" i="2"/>
  <c r="O67" i="9"/>
  <c r="U94" i="2"/>
  <c r="AH106" i="2"/>
  <c r="BC56" i="2"/>
  <c r="AH47" i="2"/>
  <c r="AH98" i="2"/>
  <c r="AA87" i="9"/>
  <c r="AT26" i="9"/>
  <c r="AH92" i="2"/>
  <c r="AY21" i="2"/>
  <c r="AY77" i="2"/>
  <c r="AH28" i="9"/>
  <c r="BC91" i="2"/>
  <c r="O43" i="9"/>
  <c r="AT14" i="2"/>
  <c r="AT13" i="2"/>
  <c r="AT11" i="2"/>
  <c r="AT58" i="9"/>
  <c r="AT19" i="9"/>
  <c r="T75" i="9"/>
  <c r="T74" i="9"/>
  <c r="AC18" i="9"/>
  <c r="AC45" i="9"/>
  <c r="AD63" i="2"/>
  <c r="AD62" i="2"/>
  <c r="AH64" i="2"/>
  <c r="F69" i="9"/>
  <c r="AU16" i="2"/>
  <c r="AU88" i="2"/>
  <c r="AU87" i="2"/>
  <c r="AC92" i="9"/>
  <c r="F14" i="9"/>
  <c r="AV87" i="2"/>
  <c r="AT45" i="9"/>
  <c r="F43" i="9"/>
  <c r="X74" i="2"/>
  <c r="AT72" i="9"/>
  <c r="AH59" i="2"/>
  <c r="AT110" i="9"/>
  <c r="AT69" i="9"/>
  <c r="BC23" i="2"/>
  <c r="AT14" i="9"/>
  <c r="AT66" i="9"/>
  <c r="AT60" i="9"/>
  <c r="AT40" i="9"/>
  <c r="BC89" i="9"/>
  <c r="BC87" i="9"/>
  <c r="AK89" i="9"/>
  <c r="AK87" i="9"/>
  <c r="AH13" i="9"/>
  <c r="AH12" i="9"/>
  <c r="AH10" i="9"/>
  <c r="G11" i="2"/>
  <c r="AH79" i="9"/>
  <c r="D78" i="9"/>
  <c r="B78" i="9"/>
  <c r="C78" i="9"/>
  <c r="AH108" i="2"/>
  <c r="F48" i="9"/>
  <c r="AS52" i="2"/>
  <c r="F98" i="9"/>
  <c r="AH57" i="9"/>
  <c r="AT20" i="9"/>
  <c r="AH24" i="2"/>
  <c r="AY41" i="2"/>
  <c r="Y92" i="9"/>
  <c r="AI87" i="9"/>
  <c r="Y16" i="9"/>
  <c r="Y93" i="9"/>
  <c r="F12" i="9"/>
  <c r="F10" i="9"/>
  <c r="Y25" i="9"/>
  <c r="H74" i="2"/>
  <c r="AY103" i="2"/>
  <c r="U102" i="9"/>
  <c r="AJ89" i="9"/>
  <c r="AJ87" i="9"/>
  <c r="AH80" i="9"/>
  <c r="BC43" i="2"/>
  <c r="AS62" i="9"/>
  <c r="B91" i="9"/>
  <c r="C91" i="9"/>
  <c r="BC68" i="2"/>
  <c r="BC41" i="2"/>
  <c r="AY15" i="2"/>
  <c r="O88" i="2"/>
  <c r="O87" i="2"/>
  <c r="AH46" i="9"/>
  <c r="R63" i="9"/>
  <c r="R62" i="9"/>
  <c r="AH71" i="9"/>
  <c r="AT39" i="9"/>
  <c r="Y81" i="9"/>
  <c r="BC42" i="2"/>
  <c r="BC67" i="2"/>
  <c r="AC37" i="9"/>
  <c r="BC47" i="2"/>
  <c r="AH27" i="9"/>
  <c r="BC71" i="2"/>
  <c r="BC108" i="2"/>
  <c r="AZ87" i="2"/>
  <c r="AT106" i="9"/>
  <c r="AT29" i="9"/>
  <c r="AT77" i="9"/>
  <c r="AT32" i="9"/>
  <c r="Y83" i="9"/>
  <c r="B103" i="2"/>
  <c r="C103" i="2"/>
  <c r="E35" i="2"/>
  <c r="G102" i="9"/>
  <c r="U31" i="2"/>
  <c r="AC84" i="9"/>
  <c r="AJ14" i="2"/>
  <c r="AJ13" i="2"/>
  <c r="AJ11" i="2"/>
  <c r="BC74" i="2"/>
  <c r="AT31" i="9"/>
  <c r="AT90" i="9"/>
  <c r="AC41" i="9"/>
  <c r="AT23" i="9"/>
  <c r="AT104" i="9"/>
  <c r="AH21" i="9"/>
  <c r="AC38" i="9"/>
  <c r="AC40" i="9"/>
  <c r="AH96" i="9"/>
  <c r="E100" i="2"/>
  <c r="F80" i="9"/>
  <c r="F26" i="9"/>
  <c r="H53" i="9"/>
  <c r="H52" i="9"/>
  <c r="H13" i="9"/>
  <c r="H12" i="9"/>
  <c r="H10" i="9"/>
  <c r="AC42" i="9"/>
  <c r="C18" i="2"/>
  <c r="D23" i="2"/>
  <c r="B23" i="2"/>
  <c r="C23" i="2"/>
  <c r="AT43" i="9"/>
  <c r="N14" i="2"/>
  <c r="N13" i="2"/>
  <c r="N11" i="2"/>
  <c r="BC93" i="2"/>
  <c r="BC60" i="2"/>
  <c r="AH91" i="9"/>
  <c r="U36" i="2"/>
  <c r="U35" i="2"/>
  <c r="AH18" i="9"/>
  <c r="Z63" i="2"/>
  <c r="Z62" i="2"/>
  <c r="BC48" i="2"/>
  <c r="BC76" i="2"/>
  <c r="O75" i="2"/>
  <c r="O74" i="2"/>
  <c r="T11" i="2"/>
  <c r="AT46" i="9"/>
  <c r="B88" i="2"/>
  <c r="C88" i="2"/>
  <c r="AD14" i="2"/>
  <c r="AD13" i="2"/>
  <c r="AD11" i="2"/>
  <c r="C42" i="2"/>
  <c r="S13" i="2"/>
  <c r="S11" i="2"/>
  <c r="AF103" i="9"/>
  <c r="AF102" i="9"/>
  <c r="AT28" i="9"/>
  <c r="B84" i="2"/>
  <c r="C84" i="2"/>
  <c r="AM52" i="2"/>
  <c r="AO63" i="2"/>
  <c r="AO62" i="2"/>
  <c r="AT47" i="9"/>
  <c r="AT108" i="9"/>
  <c r="Y62" i="9"/>
  <c r="BC104" i="2"/>
  <c r="AH76" i="9"/>
  <c r="D27" i="9"/>
  <c r="B27" i="9"/>
  <c r="C27" i="9"/>
  <c r="AT25" i="9"/>
  <c r="D68" i="2"/>
  <c r="B68" i="2"/>
  <c r="C68" i="2"/>
  <c r="AM102" i="9"/>
  <c r="AH85" i="9"/>
  <c r="AH32" i="9"/>
  <c r="AH54" i="9"/>
  <c r="R11" i="2"/>
  <c r="L14" i="2"/>
  <c r="L13" i="2"/>
  <c r="L11" i="2"/>
  <c r="AH68" i="9"/>
  <c r="AT49" i="9"/>
  <c r="D75" i="9"/>
  <c r="D74" i="9"/>
  <c r="B74" i="9"/>
  <c r="C74" i="9"/>
  <c r="G10" i="9"/>
  <c r="AH81" i="9"/>
  <c r="AH105" i="9"/>
  <c r="AH104" i="9"/>
  <c r="AO102" i="9"/>
  <c r="AH110" i="9"/>
  <c r="B43" i="2"/>
  <c r="C43" i="2"/>
  <c r="AH97" i="9"/>
  <c r="AT65" i="9"/>
  <c r="D67" i="2"/>
  <c r="B67" i="2"/>
  <c r="C67" i="2"/>
  <c r="AT80" i="9"/>
  <c r="AT71" i="9"/>
  <c r="AT16" i="9"/>
  <c r="AT82" i="9"/>
  <c r="D28" i="2"/>
  <c r="B28" i="2"/>
  <c r="C28" i="2"/>
  <c r="AT79" i="9"/>
  <c r="AT56" i="9"/>
  <c r="D74" i="2"/>
  <c r="B74" i="2"/>
  <c r="C74" i="2"/>
  <c r="D12" i="9"/>
  <c r="B12" i="9"/>
  <c r="C12" i="9"/>
  <c r="AH66" i="9"/>
  <c r="P101" i="2"/>
  <c r="P100" i="2"/>
  <c r="AT64" i="9"/>
  <c r="AT107" i="9"/>
  <c r="AT95" i="9"/>
  <c r="N36" i="2"/>
  <c r="N35" i="2"/>
  <c r="B29" i="2"/>
  <c r="C29" i="2"/>
  <c r="Y102" i="9"/>
  <c r="AH88" i="2"/>
  <c r="AH87" i="2"/>
  <c r="AR75" i="9"/>
  <c r="AR74" i="9"/>
  <c r="AZ71" i="2"/>
  <c r="J63" i="9"/>
  <c r="AQ59" i="9"/>
  <c r="AX95" i="2"/>
  <c r="AA27" i="9"/>
  <c r="D83" i="2"/>
  <c r="AQ29" i="9"/>
  <c r="X90" i="9"/>
  <c r="T24" i="2"/>
  <c r="V22" i="2"/>
  <c r="BB25" i="2"/>
  <c r="N80" i="9"/>
  <c r="N55" i="9"/>
  <c r="AK93" i="2"/>
  <c r="AK42" i="2"/>
  <c r="T37" i="2"/>
  <c r="AJ42" i="2"/>
  <c r="J91" i="9"/>
  <c r="V85" i="2"/>
  <c r="W60" i="2"/>
  <c r="AZ23" i="9"/>
  <c r="V82" i="2"/>
  <c r="F89" i="2"/>
  <c r="AL75" i="2"/>
  <c r="F104" i="2"/>
  <c r="J64" i="9"/>
  <c r="AA14" i="9"/>
  <c r="S71" i="2"/>
  <c r="W82" i="2"/>
  <c r="AD107" i="9"/>
  <c r="AI42" i="2"/>
  <c r="AA47" i="9"/>
  <c r="AR83" i="2"/>
  <c r="R60" i="2"/>
  <c r="AI93" i="2"/>
  <c r="AB96" i="9"/>
  <c r="AI78" i="2"/>
  <c r="AP57" i="2"/>
  <c r="AM63" i="9"/>
  <c r="N90" i="9"/>
  <c r="I22" i="9"/>
  <c r="I72" i="9"/>
  <c r="H66" i="2"/>
  <c r="I39" i="2"/>
  <c r="H28" i="2"/>
  <c r="M70" i="2"/>
  <c r="AG108" i="2"/>
  <c r="AN84" i="9"/>
  <c r="H91" i="2"/>
  <c r="N93" i="9"/>
  <c r="BB31" i="2"/>
  <c r="I15" i="2"/>
  <c r="N44" i="9"/>
  <c r="U42" i="9"/>
  <c r="I92" i="9"/>
  <c r="AA95" i="2"/>
  <c r="AG58" i="2"/>
  <c r="Q105" i="9"/>
  <c r="Q106" i="9"/>
  <c r="S74" i="2"/>
  <c r="AZ18" i="2"/>
  <c r="AD75" i="9"/>
  <c r="AZ70" i="2"/>
  <c r="AJ60" i="2"/>
  <c r="X84" i="2"/>
  <c r="F46" i="2"/>
  <c r="AL109" i="2"/>
  <c r="M20" i="9"/>
  <c r="L38" i="9"/>
  <c r="AZ22" i="2"/>
  <c r="B50" i="2"/>
  <c r="Z64" i="9"/>
  <c r="AB71" i="9"/>
  <c r="V96" i="2"/>
  <c r="G108" i="2"/>
  <c r="AM41" i="9"/>
  <c r="AI74" i="9"/>
  <c r="W37" i="2"/>
  <c r="V71" i="9"/>
  <c r="AJ38" i="2"/>
  <c r="W70" i="2"/>
  <c r="M108" i="9"/>
  <c r="X92" i="9"/>
  <c r="M19" i="9"/>
  <c r="BB101" i="2"/>
  <c r="F94" i="2"/>
  <c r="G67" i="9"/>
  <c r="Z40" i="9"/>
  <c r="AL108" i="2"/>
  <c r="AZ57" i="9"/>
  <c r="K83" i="9"/>
  <c r="AA50" i="2"/>
  <c r="AJ59" i="2"/>
  <c r="AQ78" i="9"/>
  <c r="V90" i="2"/>
  <c r="R63" i="2"/>
  <c r="Z17" i="9"/>
  <c r="T54" i="2"/>
  <c r="AO23" i="9"/>
  <c r="M80" i="9"/>
  <c r="AN40" i="9"/>
  <c r="R44" i="2"/>
  <c r="N22" i="9"/>
  <c r="S101" i="2"/>
  <c r="Q68" i="2"/>
  <c r="M35" i="9"/>
  <c r="M57" i="9"/>
  <c r="AA19" i="9"/>
  <c r="AQ28" i="9"/>
  <c r="AP80" i="2"/>
  <c r="K101" i="2"/>
  <c r="AI104" i="2"/>
  <c r="G94" i="2"/>
  <c r="C50" i="2"/>
  <c r="AA27" i="2"/>
  <c r="AA17" i="2"/>
  <c r="AE81" i="9"/>
  <c r="M69" i="2"/>
  <c r="AP88" i="2"/>
  <c r="G81" i="9"/>
  <c r="V70" i="9"/>
  <c r="E104" i="2"/>
  <c r="AU44" i="9"/>
  <c r="AG89" i="9"/>
  <c r="Z103" i="9"/>
  <c r="J62" i="9"/>
  <c r="AW35" i="9"/>
  <c r="AO39" i="9"/>
  <c r="K33" i="2"/>
  <c r="AS32" i="2"/>
  <c r="AI109" i="2"/>
  <c r="AK94" i="2"/>
  <c r="AB100" i="2"/>
  <c r="AI43" i="2"/>
  <c r="AW72" i="2"/>
  <c r="N68" i="9"/>
  <c r="BA30" i="2"/>
  <c r="AW60" i="2"/>
  <c r="BA103" i="2"/>
  <c r="BA45" i="9"/>
  <c r="BA44" i="2"/>
  <c r="AL95" i="2"/>
  <c r="U63" i="9"/>
  <c r="AS65" i="9"/>
  <c r="J25" i="9"/>
  <c r="M17" i="2"/>
  <c r="K92" i="2"/>
  <c r="M102" i="2"/>
  <c r="AB34" i="9"/>
  <c r="M85" i="9"/>
  <c r="K84" i="9"/>
  <c r="AN66" i="9"/>
  <c r="AV106" i="2"/>
  <c r="I53" i="2"/>
  <c r="B41" i="9"/>
  <c r="AZ63" i="9"/>
  <c r="R106" i="9"/>
  <c r="F87" i="2"/>
  <c r="U63" i="2"/>
  <c r="I96" i="9"/>
  <c r="S79" i="2"/>
  <c r="U78" i="2"/>
  <c r="J72" i="9"/>
  <c r="AP62" i="2"/>
  <c r="BB18" i="2"/>
  <c r="H38" i="2"/>
  <c r="AJ49" i="2"/>
  <c r="W102" i="2"/>
  <c r="AL22" i="2"/>
  <c r="AQ19" i="9"/>
  <c r="AC32" i="2"/>
  <c r="G69" i="9"/>
  <c r="G31" i="9"/>
  <c r="AZ71" i="9"/>
  <c r="AN16" i="9"/>
  <c r="F108" i="2"/>
  <c r="X32" i="9"/>
  <c r="G26" i="9"/>
  <c r="AR69" i="2"/>
  <c r="AA43" i="2"/>
  <c r="AE17" i="9"/>
  <c r="F72" i="2"/>
  <c r="F13" i="2"/>
  <c r="AZ20" i="9"/>
  <c r="AA75" i="2"/>
  <c r="AC33" i="2"/>
  <c r="AX75" i="2"/>
  <c r="I54" i="2"/>
  <c r="V41" i="9"/>
  <c r="AD57" i="9"/>
  <c r="AS82" i="9"/>
  <c r="AN15" i="9"/>
  <c r="BA55" i="9"/>
  <c r="BB43" i="2"/>
  <c r="AE23" i="9"/>
  <c r="I92" i="2"/>
  <c r="Q35" i="9"/>
  <c r="AY38" i="2"/>
  <c r="AW79" i="2"/>
  <c r="AY79" i="2"/>
  <c r="R54" i="2"/>
  <c r="F45" i="2"/>
  <c r="I58" i="2"/>
  <c r="AS26" i="2"/>
  <c r="AA23" i="9"/>
  <c r="D60" i="2"/>
  <c r="AP101" i="2"/>
  <c r="AI21" i="2"/>
  <c r="AP84" i="9"/>
  <c r="AE65" i="9"/>
  <c r="AZ54" i="2"/>
  <c r="N40" i="9"/>
  <c r="AG64" i="9"/>
  <c r="AW71" i="2"/>
  <c r="R20" i="2"/>
  <c r="AW42" i="9"/>
  <c r="N17" i="9"/>
  <c r="E109" i="2"/>
  <c r="Y12" i="9"/>
  <c r="AB77" i="2"/>
  <c r="I64" i="9"/>
  <c r="AV18" i="2"/>
  <c r="AP50" i="9"/>
  <c r="U67" i="2"/>
  <c r="AL22" i="9"/>
  <c r="W91" i="2"/>
  <c r="L41" i="9"/>
  <c r="AQ92" i="9"/>
  <c r="W110" i="9"/>
  <c r="U72" i="9"/>
  <c r="AV18" i="9"/>
  <c r="AC24" i="9"/>
  <c r="AD103" i="9"/>
  <c r="I83" i="9"/>
  <c r="F68" i="9"/>
  <c r="R76" i="2"/>
  <c r="AR72" i="2"/>
  <c r="G23" i="9"/>
  <c r="BA63" i="2"/>
  <c r="AI79" i="2"/>
  <c r="AI63" i="9"/>
  <c r="AD78" i="9"/>
  <c r="AM85" i="2"/>
  <c r="M76" i="9"/>
  <c r="AZ93" i="2"/>
  <c r="G101" i="2"/>
  <c r="K26" i="9"/>
  <c r="K75" i="9"/>
  <c r="W49" i="2"/>
  <c r="M78" i="2"/>
  <c r="AL90" i="2"/>
  <c r="AS70" i="2"/>
  <c r="V26" i="2"/>
  <c r="W19" i="2"/>
  <c r="I88" i="2"/>
  <c r="AI81" i="2"/>
  <c r="AB20" i="9"/>
  <c r="U80" i="9"/>
  <c r="AD85" i="9"/>
  <c r="I70" i="9"/>
  <c r="AV97" i="9"/>
  <c r="K35" i="9"/>
  <c r="AS76" i="2"/>
  <c r="U97" i="2"/>
  <c r="V50" i="9"/>
  <c r="AG103" i="9"/>
  <c r="AW58" i="9"/>
  <c r="BA83" i="2"/>
  <c r="R19" i="9"/>
  <c r="AY69" i="2"/>
  <c r="AY50" i="2"/>
  <c r="AS20" i="2"/>
  <c r="AR37" i="2"/>
  <c r="AM77" i="9"/>
  <c r="D105" i="9"/>
  <c r="AQ38" i="9"/>
  <c r="X16" i="9"/>
  <c r="BA110" i="9"/>
  <c r="D110" i="9"/>
  <c r="AP48" i="2"/>
  <c r="AA111" i="9"/>
  <c r="M88" i="2"/>
  <c r="W69" i="9"/>
  <c r="BA29" i="9"/>
  <c r="AK13" i="2"/>
  <c r="W78" i="9"/>
  <c r="I20" i="9"/>
  <c r="U45" i="2"/>
  <c r="K79" i="2"/>
  <c r="BA64" i="9"/>
  <c r="S81" i="2"/>
  <c r="W75" i="2"/>
  <c r="AV45" i="2"/>
  <c r="D47" i="9"/>
  <c r="B47" i="9"/>
  <c r="C47" i="9"/>
  <c r="K70" i="9"/>
  <c r="B14" i="2"/>
  <c r="AL46" i="2"/>
  <c r="I45" i="2"/>
  <c r="AP60" i="2"/>
  <c r="AD37" i="9"/>
  <c r="M28" i="9"/>
  <c r="AN25" i="9"/>
  <c r="AA60" i="9"/>
  <c r="L72" i="9"/>
  <c r="S64" i="2"/>
  <c r="AD32" i="9"/>
  <c r="AB82" i="9"/>
  <c r="AB54" i="2"/>
  <c r="I26" i="2"/>
  <c r="U14" i="2"/>
  <c r="E42" i="2"/>
  <c r="C11" i="2"/>
  <c r="BA38" i="9"/>
  <c r="BA96" i="9"/>
  <c r="BA65" i="9"/>
  <c r="AW32" i="9"/>
  <c r="E25" i="2"/>
  <c r="AI34" i="9"/>
  <c r="F32" i="2"/>
  <c r="N36" i="9"/>
  <c r="L80" i="9"/>
  <c r="X36" i="2"/>
  <c r="AM17" i="9"/>
  <c r="AG37" i="9"/>
  <c r="BA72" i="9"/>
  <c r="BD27" i="9"/>
  <c r="AY93" i="2"/>
  <c r="AL46" i="9"/>
  <c r="AY43" i="2"/>
  <c r="AG40" i="9"/>
  <c r="AG91" i="9"/>
  <c r="X35" i="2"/>
  <c r="D28" i="9"/>
  <c r="B28" i="9"/>
  <c r="C28" i="9"/>
  <c r="AX97" i="2"/>
  <c r="R71" i="2"/>
  <c r="AA45" i="9"/>
  <c r="AA31" i="9"/>
  <c r="AD49" i="9"/>
  <c r="AR96" i="2"/>
  <c r="AI83" i="2"/>
  <c r="AG40" i="2"/>
  <c r="AB108" i="2"/>
  <c r="AR41" i="2"/>
  <c r="R92" i="2"/>
  <c r="AC76" i="2"/>
  <c r="AG27" i="2"/>
  <c r="AG42" i="2"/>
  <c r="T31" i="2"/>
  <c r="X90" i="2"/>
  <c r="J77" i="9"/>
  <c r="BD38" i="9"/>
  <c r="U69" i="9"/>
  <c r="S15" i="2"/>
  <c r="Q111" i="9"/>
  <c r="BD96" i="9"/>
  <c r="AX18" i="2"/>
  <c r="AX80" i="2"/>
  <c r="AB24" i="9"/>
  <c r="AW47" i="9"/>
  <c r="Q95" i="2"/>
  <c r="Q33" i="2"/>
  <c r="X79" i="9"/>
  <c r="K56" i="2"/>
  <c r="I18" i="2"/>
  <c r="V98" i="9"/>
  <c r="AC13" i="2"/>
  <c r="E18" i="2"/>
  <c r="N29" i="9"/>
  <c r="M68" i="2"/>
  <c r="P104" i="2"/>
  <c r="W77" i="9"/>
  <c r="BC14" i="2"/>
  <c r="BC13" i="2"/>
  <c r="V50" i="2"/>
  <c r="AK84" i="2"/>
  <c r="Q103" i="9"/>
  <c r="AC74" i="9"/>
  <c r="D15" i="2"/>
  <c r="L22" i="9"/>
  <c r="AP27" i="9"/>
  <c r="AQ12" i="9"/>
  <c r="H53" i="2"/>
  <c r="R49" i="9"/>
  <c r="AJ63" i="2"/>
  <c r="R83" i="9"/>
  <c r="P14" i="2"/>
  <c r="P13" i="2"/>
  <c r="U27" i="2"/>
  <c r="R26" i="9"/>
  <c r="L67" i="9"/>
  <c r="Z110" i="9"/>
  <c r="AV77" i="9"/>
  <c r="AG93" i="9"/>
  <c r="J80" i="9"/>
  <c r="G104" i="2"/>
  <c r="Q29" i="2"/>
  <c r="AG42" i="9"/>
  <c r="AO97" i="9"/>
  <c r="AZ102" i="2"/>
  <c r="AE57" i="9"/>
  <c r="I20" i="2"/>
  <c r="M54" i="9"/>
  <c r="D85" i="2"/>
  <c r="AP33" i="2"/>
  <c r="X25" i="9"/>
  <c r="W89" i="2"/>
  <c r="AR76" i="2"/>
  <c r="AY36" i="2"/>
  <c r="AG88" i="2"/>
  <c r="J47" i="2"/>
  <c r="AI20" i="2"/>
  <c r="E49" i="2"/>
  <c r="H108" i="2"/>
  <c r="E35" i="9"/>
  <c r="Q28" i="2"/>
  <c r="AL54" i="9"/>
  <c r="AP55" i="2"/>
  <c r="AL108" i="9"/>
  <c r="AC96" i="2"/>
  <c r="Y98" i="9"/>
  <c r="AG111" i="9"/>
  <c r="AG104" i="9"/>
  <c r="F16" i="9"/>
  <c r="AC46" i="9"/>
  <c r="AH102" i="2"/>
  <c r="O13" i="9"/>
  <c r="O12" i="9"/>
  <c r="W84" i="9"/>
  <c r="AY83" i="2"/>
  <c r="AY27" i="2"/>
  <c r="V10" i="9"/>
  <c r="P27" i="2"/>
  <c r="P25" i="2"/>
  <c r="P97" i="2"/>
  <c r="AD84" i="2"/>
  <c r="Y24" i="9"/>
  <c r="AH53" i="2"/>
  <c r="P106" i="2"/>
  <c r="AV22" i="9"/>
  <c r="AV38" i="9"/>
  <c r="Y101" i="2"/>
  <c r="AV44" i="9"/>
  <c r="L13" i="9"/>
  <c r="L12" i="9"/>
  <c r="L10" i="9"/>
  <c r="AZ63" i="2"/>
  <c r="AS38" i="9"/>
  <c r="AD39" i="9"/>
  <c r="G110" i="9"/>
  <c r="I93" i="2"/>
  <c r="AZ58" i="9"/>
  <c r="AN31" i="9"/>
  <c r="P36" i="2"/>
  <c r="B16" i="9"/>
  <c r="AG67" i="2"/>
  <c r="AY94" i="2"/>
  <c r="W20" i="9"/>
  <c r="J76" i="2"/>
  <c r="AZ83" i="9"/>
  <c r="Y75" i="9"/>
  <c r="W62" i="9"/>
  <c r="M19" i="2"/>
  <c r="Z75" i="9"/>
  <c r="S67" i="2"/>
  <c r="BC39" i="2"/>
  <c r="AL64" i="9"/>
  <c r="B60" i="2"/>
  <c r="B102" i="9"/>
  <c r="N53" i="2"/>
  <c r="N52" i="2"/>
  <c r="AJ35" i="9"/>
  <c r="AJ34" i="9"/>
  <c r="AD90" i="2"/>
  <c r="V62" i="9"/>
  <c r="AT35" i="9"/>
  <c r="BD19" i="9"/>
  <c r="BD106" i="9"/>
  <c r="AP77" i="9"/>
  <c r="AM48" i="9"/>
  <c r="AP85" i="9"/>
  <c r="BD71" i="9"/>
  <c r="Q90" i="9"/>
  <c r="AM106" i="9"/>
  <c r="AB67" i="9"/>
  <c r="AB105" i="2"/>
  <c r="R18" i="2"/>
  <c r="R17" i="2"/>
  <c r="AN89" i="9"/>
  <c r="AV105" i="2"/>
  <c r="J110" i="9"/>
  <c r="U64" i="9"/>
  <c r="BD67" i="9"/>
  <c r="AK21" i="2"/>
  <c r="AM16" i="9"/>
  <c r="BB71" i="2"/>
  <c r="I65" i="9"/>
  <c r="AP104" i="9"/>
  <c r="AU14" i="2"/>
  <c r="AU13" i="2"/>
  <c r="AP81" i="9"/>
  <c r="I32" i="9"/>
  <c r="O14" i="2"/>
  <c r="O13" i="2"/>
  <c r="O11" i="2"/>
  <c r="AG80" i="2"/>
  <c r="Q50" i="9"/>
  <c r="U62" i="2"/>
  <c r="U55" i="2"/>
  <c r="W35" i="2"/>
  <c r="AA54" i="9"/>
  <c r="AS28" i="9"/>
  <c r="AD40" i="9"/>
  <c r="K27" i="9"/>
  <c r="X35" i="9"/>
  <c r="L70" i="9"/>
  <c r="AZ19" i="2"/>
  <c r="AS102" i="2"/>
  <c r="AA76" i="9"/>
  <c r="M66" i="9"/>
  <c r="AE10" i="9"/>
  <c r="AC106" i="2"/>
  <c r="AL84" i="9"/>
  <c r="B80" i="2"/>
  <c r="AW20" i="2"/>
  <c r="AH49" i="9"/>
  <c r="AV71" i="2"/>
  <c r="AA74" i="9"/>
  <c r="AV103" i="9"/>
  <c r="B84" i="9"/>
  <c r="C84" i="9"/>
  <c r="Z66" i="9"/>
  <c r="B104" i="2"/>
  <c r="BB93" i="2"/>
  <c r="L82" i="9"/>
  <c r="N24" i="9"/>
  <c r="AM88" i="2"/>
  <c r="I97" i="2"/>
  <c r="AI79" i="9"/>
  <c r="AI19" i="9"/>
  <c r="AH75" i="9"/>
  <c r="U104" i="9"/>
  <c r="AK45" i="2"/>
  <c r="AL106" i="9"/>
  <c r="H35" i="2"/>
  <c r="K74" i="9"/>
  <c r="Q60" i="2"/>
  <c r="P19" i="2"/>
  <c r="T55" i="2"/>
  <c r="AG81" i="9"/>
  <c r="BD68" i="9"/>
  <c r="I24" i="9"/>
  <c r="Y29" i="9"/>
  <c r="P26" i="2"/>
  <c r="C53" i="2"/>
  <c r="Q78" i="9"/>
  <c r="Z41" i="9"/>
  <c r="AD31" i="2"/>
  <c r="AD31" i="9"/>
  <c r="AL18" i="2"/>
  <c r="M44" i="9"/>
  <c r="AH50" i="9"/>
  <c r="R88" i="2"/>
  <c r="M95" i="9"/>
  <c r="AX25" i="2"/>
  <c r="AZ84" i="9"/>
  <c r="AZ106" i="2"/>
  <c r="T89" i="2"/>
  <c r="T18" i="2"/>
  <c r="R111" i="9"/>
  <c r="S30" i="2"/>
  <c r="E37" i="2"/>
  <c r="D64" i="9"/>
  <c r="M22" i="9"/>
  <c r="AL50" i="2"/>
  <c r="AC102" i="2"/>
  <c r="B81" i="2"/>
  <c r="AH111" i="9"/>
  <c r="BC32" i="2"/>
  <c r="AW76" i="2"/>
  <c r="AL87" i="9"/>
  <c r="AL78" i="9"/>
  <c r="AH25" i="9"/>
  <c r="AH94" i="2"/>
  <c r="AH31" i="2"/>
  <c r="L101" i="2"/>
  <c r="L100" i="2"/>
  <c r="D44" i="9"/>
  <c r="AH23" i="9"/>
  <c r="W13" i="9"/>
  <c r="AX17" i="2"/>
  <c r="AB94" i="2"/>
  <c r="AB40" i="9"/>
  <c r="AR54" i="2"/>
  <c r="AB55" i="9"/>
  <c r="AK13" i="9"/>
  <c r="AK12" i="9"/>
  <c r="AI84" i="2"/>
  <c r="T79" i="2"/>
  <c r="X47" i="2"/>
  <c r="U23" i="9"/>
  <c r="V30" i="2"/>
  <c r="I34" i="9"/>
  <c r="G72" i="9"/>
  <c r="AP67" i="2"/>
  <c r="AB72" i="2"/>
  <c r="N110" i="9"/>
  <c r="AR24" i="2"/>
  <c r="AD18" i="9"/>
  <c r="L111" i="9"/>
  <c r="U47" i="9"/>
  <c r="N66" i="9"/>
  <c r="AG57" i="2"/>
  <c r="I45" i="9"/>
  <c r="AE14" i="9"/>
  <c r="G29" i="2"/>
  <c r="AS75" i="2"/>
  <c r="Z81" i="9"/>
  <c r="AX89" i="2"/>
  <c r="V40" i="9"/>
  <c r="AF13" i="9"/>
  <c r="AF12" i="9"/>
  <c r="AG32" i="9"/>
  <c r="AD92" i="2"/>
  <c r="V30" i="9"/>
  <c r="K57" i="2"/>
  <c r="K93" i="2"/>
  <c r="BC15" i="2"/>
  <c r="V67" i="2"/>
  <c r="AJ53" i="2"/>
  <c r="AK85" i="2"/>
  <c r="AC48" i="2"/>
  <c r="AW95" i="2"/>
  <c r="G28" i="2"/>
  <c r="AM27" i="2"/>
  <c r="AD104" i="9"/>
  <c r="AQ106" i="9"/>
  <c r="I47" i="2"/>
  <c r="AU66" i="9"/>
  <c r="X64" i="9"/>
  <c r="K55" i="9"/>
  <c r="AS26" i="9"/>
  <c r="Z29" i="9"/>
  <c r="AI25" i="2"/>
  <c r="AP97" i="2"/>
  <c r="AG97" i="2"/>
  <c r="V87" i="2"/>
  <c r="BB24" i="2"/>
  <c r="AQ14" i="2"/>
  <c r="AG20" i="9"/>
  <c r="O36" i="2"/>
  <c r="O35" i="2"/>
  <c r="Q77" i="2"/>
  <c r="AH30" i="9"/>
  <c r="AR11" i="2"/>
  <c r="O16" i="9"/>
  <c r="AN63" i="2"/>
  <c r="Q39" i="2"/>
  <c r="AH31" i="9"/>
  <c r="T69" i="2"/>
  <c r="AV90" i="9"/>
  <c r="AT55" i="9"/>
  <c r="AP66" i="9"/>
  <c r="E97" i="9"/>
  <c r="AW97" i="9"/>
  <c r="AY22" i="2"/>
  <c r="AD95" i="2"/>
  <c r="BD58" i="9"/>
  <c r="AK97" i="9"/>
  <c r="AD32" i="2"/>
  <c r="O111" i="9"/>
  <c r="AC78" i="9"/>
  <c r="E72" i="9"/>
  <c r="AH106" i="9"/>
  <c r="AT105" i="9"/>
  <c r="AM45" i="9"/>
  <c r="AV64" i="2"/>
  <c r="AP36" i="9"/>
  <c r="B20" i="2"/>
  <c r="AQ48" i="9"/>
  <c r="AB75" i="9"/>
  <c r="AY37" i="2"/>
  <c r="AM70" i="2"/>
  <c r="AG17" i="2"/>
  <c r="AC80" i="2"/>
  <c r="E41" i="2"/>
  <c r="F71" i="9"/>
  <c r="AM80" i="2"/>
  <c r="AZ31" i="2"/>
  <c r="L23" i="9"/>
  <c r="AK38" i="9"/>
  <c r="BA78" i="2"/>
  <c r="AE47" i="9"/>
  <c r="AU36" i="2"/>
  <c r="AU35" i="2"/>
  <c r="J70" i="2"/>
  <c r="C52" i="2"/>
  <c r="AC98" i="9"/>
  <c r="AG74" i="9"/>
  <c r="AV75" i="9"/>
  <c r="AV67" i="9"/>
  <c r="BA24" i="9"/>
  <c r="AH15" i="9"/>
  <c r="O29" i="9"/>
  <c r="BA70" i="2"/>
  <c r="AV58" i="9"/>
  <c r="AC60" i="9"/>
  <c r="AD24" i="2"/>
  <c r="Q90" i="2"/>
  <c r="BA48" i="9"/>
  <c r="BC30" i="2"/>
  <c r="E103" i="9"/>
  <c r="F19" i="9"/>
  <c r="AK59" i="9"/>
  <c r="F77" i="9"/>
  <c r="AH60" i="9"/>
  <c r="AH33" i="2"/>
  <c r="J81" i="2"/>
  <c r="AD69" i="2"/>
  <c r="J80" i="2"/>
  <c r="AD66" i="2"/>
  <c r="AV31" i="9"/>
  <c r="Z11" i="2"/>
  <c r="O44" i="9"/>
  <c r="AF63" i="9"/>
  <c r="F95" i="9"/>
  <c r="AD54" i="2"/>
  <c r="W43" i="9"/>
  <c r="J50" i="2"/>
  <c r="R22" i="9"/>
  <c r="B96" i="2"/>
  <c r="AT75" i="9"/>
  <c r="Y49" i="9"/>
  <c r="B105" i="9"/>
  <c r="AE34" i="9"/>
  <c r="Y53" i="2"/>
  <c r="Y52" i="2"/>
  <c r="AC67" i="9"/>
  <c r="Q14" i="2"/>
  <c r="F34" i="9"/>
  <c r="AE63" i="2"/>
  <c r="AU92" i="9"/>
  <c r="AN39" i="9"/>
  <c r="AI36" i="9"/>
  <c r="AB66" i="9"/>
  <c r="AV20" i="2"/>
  <c r="AQ90" i="9"/>
  <c r="G69" i="2"/>
  <c r="E59" i="2"/>
  <c r="AL75" i="9"/>
  <c r="B58" i="9"/>
  <c r="AH77" i="9"/>
  <c r="O21" i="9"/>
  <c r="Y71" i="9"/>
  <c r="F15" i="9"/>
  <c r="BD15" i="9"/>
  <c r="Q49" i="9"/>
  <c r="P66" i="2"/>
  <c r="AW43" i="2"/>
  <c r="AG87" i="9"/>
  <c r="BA66" i="2"/>
  <c r="BA94" i="2"/>
  <c r="BA111" i="9"/>
  <c r="U88" i="2"/>
  <c r="U87" i="2"/>
  <c r="BD22" i="9"/>
  <c r="BA67" i="9"/>
  <c r="BD40" i="9"/>
  <c r="BA97" i="2"/>
  <c r="AW80" i="9"/>
  <c r="AA13" i="2"/>
  <c r="AD88" i="2"/>
  <c r="AO87" i="9"/>
  <c r="BD89" i="9"/>
  <c r="BD87" i="9"/>
  <c r="BD90" i="9"/>
  <c r="P59" i="2"/>
  <c r="J65" i="2"/>
  <c r="J27" i="2"/>
  <c r="U34" i="9"/>
  <c r="AL30" i="9"/>
  <c r="BC57" i="2"/>
  <c r="J98" i="2"/>
  <c r="B15" i="2"/>
  <c r="C15" i="2"/>
  <c r="R40" i="9"/>
  <c r="BD25" i="9"/>
  <c r="R57" i="9"/>
  <c r="AD56" i="2"/>
  <c r="E34" i="9"/>
  <c r="W47" i="9"/>
  <c r="J75" i="2"/>
  <c r="J74" i="2"/>
  <c r="AL29" i="9"/>
  <c r="O50" i="9"/>
  <c r="BA55" i="2"/>
  <c r="B60" i="9"/>
  <c r="Y76" i="9"/>
  <c r="Y43" i="9"/>
  <c r="J42" i="2"/>
  <c r="J30" i="2"/>
  <c r="Y72" i="9"/>
  <c r="BA97" i="9"/>
  <c r="W111" i="9"/>
  <c r="Y30" i="9"/>
  <c r="Y15" i="9"/>
  <c r="Y85" i="9"/>
  <c r="C57" i="9"/>
  <c r="AG90" i="9"/>
  <c r="U83" i="2"/>
  <c r="R54" i="9"/>
  <c r="AG98" i="9"/>
  <c r="AZ17" i="2"/>
  <c r="AW106" i="9"/>
  <c r="BA105" i="9"/>
  <c r="AV50" i="9"/>
  <c r="AW85" i="2"/>
  <c r="R41" i="9"/>
  <c r="AP49" i="9"/>
  <c r="AP45" i="2"/>
  <c r="U92" i="9"/>
  <c r="V78" i="2"/>
  <c r="AO59" i="9"/>
  <c r="Z45" i="9"/>
  <c r="B44" i="2"/>
  <c r="AK75" i="2"/>
  <c r="AB26" i="2"/>
  <c r="AJ102" i="2"/>
  <c r="AA22" i="9"/>
  <c r="C44" i="2"/>
  <c r="AV38" i="2"/>
  <c r="L66" i="9"/>
  <c r="AG21" i="2"/>
  <c r="R22" i="2"/>
  <c r="V42" i="9"/>
  <c r="W75" i="9"/>
  <c r="AM82" i="2"/>
  <c r="W14" i="9"/>
  <c r="AQ63" i="2"/>
  <c r="AQ62" i="2"/>
  <c r="S91" i="2"/>
  <c r="D22" i="9"/>
  <c r="AV15" i="9"/>
  <c r="B78" i="2"/>
  <c r="R37" i="9"/>
  <c r="AP89" i="9"/>
  <c r="AW75" i="9"/>
  <c r="AW19" i="2"/>
  <c r="AP97" i="9"/>
  <c r="S83" i="2"/>
  <c r="M75" i="2"/>
  <c r="X91" i="9"/>
  <c r="AM56" i="2"/>
  <c r="AZ43" i="2"/>
  <c r="H88" i="2"/>
  <c r="AI57" i="9"/>
  <c r="AM96" i="2"/>
  <c r="AL89" i="2"/>
  <c r="J105" i="9"/>
  <c r="X50" i="2"/>
  <c r="C41" i="2"/>
  <c r="AA44" i="9"/>
  <c r="S89" i="2"/>
  <c r="AG17" i="9"/>
  <c r="BA42" i="9"/>
  <c r="W57" i="9"/>
  <c r="M28" i="2"/>
  <c r="O55" i="9"/>
  <c r="AW72" i="9"/>
  <c r="AZ45" i="2"/>
  <c r="S43" i="2"/>
  <c r="AH72" i="2"/>
  <c r="W98" i="9"/>
  <c r="O35" i="9"/>
  <c r="O22" i="9"/>
  <c r="AW107" i="9"/>
  <c r="K19" i="2"/>
  <c r="AU78" i="9"/>
  <c r="G98" i="9"/>
  <c r="Z37" i="9"/>
  <c r="AE41" i="9"/>
  <c r="AA15" i="9"/>
  <c r="AZ68" i="9"/>
  <c r="AG90" i="2"/>
  <c r="I13" i="9"/>
  <c r="AI31" i="9"/>
  <c r="AM50" i="9"/>
  <c r="AM107" i="9"/>
  <c r="AE104" i="9"/>
  <c r="AI45" i="2"/>
  <c r="AA16" i="9"/>
  <c r="AC95" i="2"/>
  <c r="AD12" i="9"/>
  <c r="AV108" i="2"/>
  <c r="AR19" i="2"/>
  <c r="N19" i="9"/>
  <c r="AG106" i="2"/>
  <c r="H76" i="2"/>
  <c r="I85" i="9"/>
  <c r="L17" i="9"/>
  <c r="B98" i="2"/>
  <c r="T36" i="2"/>
  <c r="U31" i="9"/>
  <c r="D72" i="9"/>
  <c r="J47" i="9"/>
  <c r="AC91" i="2"/>
  <c r="K43" i="9"/>
  <c r="C98" i="2"/>
  <c r="V45" i="9"/>
  <c r="AR85" i="2"/>
  <c r="AL24" i="2"/>
  <c r="AU107" i="9"/>
  <c r="AE74" i="9"/>
  <c r="Z87" i="2"/>
  <c r="AM47" i="2"/>
  <c r="BA75" i="9"/>
  <c r="N65" i="9"/>
  <c r="Z46" i="9"/>
  <c r="AL72" i="2"/>
  <c r="AA18" i="2"/>
  <c r="G40" i="2"/>
  <c r="AS39" i="9"/>
  <c r="AA53" i="2"/>
  <c r="I28" i="2"/>
  <c r="AW27" i="9"/>
  <c r="T19" i="9"/>
  <c r="AW48" i="2"/>
  <c r="E21" i="2"/>
  <c r="AZ49" i="2"/>
  <c r="W58" i="9"/>
  <c r="AZ66" i="2"/>
  <c r="R49" i="2"/>
  <c r="M16" i="9"/>
  <c r="AW59" i="9"/>
  <c r="AO57" i="9"/>
  <c r="W26" i="2"/>
  <c r="AP47" i="9"/>
  <c r="AF75" i="9"/>
  <c r="K62" i="9"/>
  <c r="W44" i="9"/>
  <c r="R78" i="9"/>
  <c r="B76" i="9"/>
  <c r="D50" i="9"/>
  <c r="AR35" i="2"/>
  <c r="B58" i="2"/>
  <c r="AZ30" i="2"/>
  <c r="AA67" i="2"/>
  <c r="AK23" i="2"/>
  <c r="L36" i="9"/>
  <c r="I70" i="2"/>
  <c r="AD30" i="9"/>
  <c r="K32" i="9"/>
  <c r="AX15" i="2"/>
  <c r="AC54" i="2"/>
  <c r="AS98" i="9"/>
  <c r="I85" i="2"/>
  <c r="R84" i="9"/>
  <c r="G107" i="9"/>
  <c r="T21" i="2"/>
  <c r="B52" i="9"/>
  <c r="AP59" i="2"/>
  <c r="AP18" i="9"/>
  <c r="J70" i="9"/>
  <c r="AR80" i="2"/>
  <c r="AX37" i="2"/>
  <c r="BB82" i="2"/>
  <c r="AA70" i="9"/>
  <c r="R95" i="2"/>
  <c r="AY46" i="2"/>
  <c r="AY53" i="2"/>
  <c r="M85" i="2"/>
  <c r="B30" i="9"/>
  <c r="AP76" i="9"/>
  <c r="I107" i="9"/>
  <c r="AW17" i="9"/>
  <c r="AO30" i="9"/>
  <c r="AT89" i="2"/>
  <c r="AM56" i="9"/>
  <c r="AT92" i="2"/>
  <c r="AE71" i="9"/>
  <c r="R39" i="9"/>
  <c r="AW108" i="9"/>
  <c r="R27" i="9"/>
  <c r="AU111" i="9"/>
  <c r="R67" i="9"/>
  <c r="AX65" i="2"/>
  <c r="AG38" i="9"/>
  <c r="BB40" i="2"/>
  <c r="T47" i="2"/>
  <c r="AM42" i="9"/>
  <c r="K48" i="9"/>
  <c r="V19" i="2"/>
  <c r="AV91" i="2"/>
  <c r="K81" i="9"/>
  <c r="F103" i="9"/>
  <c r="AT76" i="2"/>
  <c r="D35" i="2"/>
  <c r="E79" i="2"/>
  <c r="N20" i="9"/>
  <c r="AY52" i="9"/>
  <c r="AY53" i="9"/>
  <c r="AY75" i="9"/>
  <c r="AY74" i="9"/>
  <c r="O89" i="9"/>
  <c r="AI28" i="2"/>
  <c r="AT53" i="2"/>
  <c r="X82" i="9"/>
  <c r="AF38" i="9"/>
  <c r="I90" i="2"/>
  <c r="AC93" i="2"/>
  <c r="B93" i="2"/>
  <c r="B91" i="2"/>
  <c r="I108" i="2"/>
  <c r="AY82" i="2"/>
  <c r="AY58" i="2"/>
  <c r="F79" i="9"/>
  <c r="AC76" i="9"/>
  <c r="AQ32" i="9"/>
  <c r="O34" i="9"/>
  <c r="AF85" i="9"/>
  <c r="AB107" i="9"/>
  <c r="BB72" i="2"/>
  <c r="AG46" i="2"/>
  <c r="AB106" i="9"/>
  <c r="AV80" i="2"/>
  <c r="F92" i="2"/>
  <c r="N105" i="9"/>
  <c r="AL49" i="2"/>
  <c r="AL47" i="2"/>
  <c r="AR81" i="2"/>
  <c r="J49" i="9"/>
  <c r="BB84" i="2"/>
  <c r="AS18" i="9"/>
  <c r="E33" i="2"/>
  <c r="U60" i="2"/>
  <c r="AR43" i="2"/>
  <c r="L77" i="9"/>
  <c r="J57" i="9"/>
  <c r="R38" i="9"/>
  <c r="AZ90" i="2"/>
  <c r="AB66" i="2"/>
  <c r="U85" i="9"/>
  <c r="AB57" i="2"/>
  <c r="AW90" i="2"/>
  <c r="AT65" i="2"/>
  <c r="AI72" i="9"/>
  <c r="AY29" i="2"/>
  <c r="AI36" i="2"/>
  <c r="F43" i="2"/>
  <c r="I83" i="2"/>
  <c r="AS66" i="9"/>
  <c r="AI30" i="2"/>
  <c r="AW96" i="9"/>
  <c r="U37" i="2"/>
  <c r="U69" i="2"/>
  <c r="BD17" i="9"/>
  <c r="AH89" i="9"/>
  <c r="AH87" i="9"/>
  <c r="AR103" i="9"/>
  <c r="AR102" i="9"/>
  <c r="AR77" i="9"/>
  <c r="AR39" i="9"/>
  <c r="AL104" i="9"/>
  <c r="AU63" i="2"/>
  <c r="R31" i="9"/>
  <c r="AR32" i="9"/>
  <c r="Q18" i="2"/>
  <c r="AF93" i="9"/>
  <c r="Q63" i="9"/>
  <c r="Q62" i="9"/>
  <c r="P42" i="9"/>
  <c r="AY49" i="2"/>
  <c r="AT38" i="9"/>
  <c r="B85" i="2"/>
  <c r="C85" i="2"/>
  <c r="AH90" i="9"/>
  <c r="BD39" i="9"/>
  <c r="Y64" i="9"/>
  <c r="AI74" i="2"/>
  <c r="AE14" i="2"/>
  <c r="AE13" i="2"/>
  <c r="AE11" i="2"/>
  <c r="E27" i="9"/>
  <c r="AT84" i="9"/>
  <c r="BD42" i="9"/>
  <c r="AD53" i="2"/>
  <c r="B77" i="9"/>
  <c r="AR92" i="9"/>
  <c r="BD55" i="9"/>
  <c r="Q15" i="2"/>
  <c r="AC15" i="9"/>
  <c r="T47" i="9"/>
  <c r="D19" i="2"/>
  <c r="Q19" i="2"/>
  <c r="AF55" i="9"/>
  <c r="U96" i="2"/>
  <c r="F106" i="9"/>
  <c r="AF27" i="9"/>
  <c r="AN13" i="2"/>
  <c r="AP43" i="9"/>
  <c r="AH85" i="2"/>
  <c r="R45" i="9"/>
  <c r="AT108" i="2"/>
  <c r="B89" i="9"/>
  <c r="AD81" i="2"/>
  <c r="AH65" i="2"/>
  <c r="P47" i="2"/>
  <c r="BC101" i="2"/>
  <c r="AW50" i="2"/>
  <c r="BD65" i="9"/>
  <c r="BC19" i="2"/>
  <c r="Y88" i="2"/>
  <c r="Y87" i="2"/>
  <c r="AK32" i="9"/>
  <c r="AF96" i="9"/>
  <c r="F58" i="9"/>
  <c r="E92" i="9"/>
  <c r="AW25" i="2"/>
  <c r="Q66" i="2"/>
  <c r="P29" i="2"/>
  <c r="P23" i="9"/>
  <c r="AJ82" i="9"/>
  <c r="J68" i="2"/>
  <c r="Q94" i="2"/>
  <c r="Q47" i="2"/>
  <c r="AJ32" i="9"/>
  <c r="AJ37" i="9"/>
  <c r="P45" i="2"/>
  <c r="P81" i="2"/>
  <c r="Q41" i="2"/>
  <c r="Q31" i="2"/>
  <c r="P46" i="2"/>
  <c r="AJ63" i="9"/>
  <c r="AJ62" i="9"/>
  <c r="P79" i="9"/>
  <c r="P81" i="9"/>
  <c r="P108" i="2"/>
  <c r="P103" i="2"/>
  <c r="P20" i="2"/>
  <c r="P49" i="9"/>
  <c r="P102" i="2"/>
  <c r="J104" i="2"/>
  <c r="Q102" i="2"/>
  <c r="P70" i="9"/>
  <c r="P18" i="9"/>
  <c r="Q81" i="9"/>
  <c r="Q57" i="9"/>
  <c r="Q19" i="9"/>
  <c r="AJ106" i="9"/>
  <c r="Q107" i="9"/>
  <c r="Q108" i="9"/>
  <c r="P48" i="9"/>
  <c r="AJ67" i="9"/>
  <c r="AL74" i="2"/>
  <c r="Q72" i="9"/>
  <c r="BB100" i="2"/>
  <c r="Q85" i="9"/>
  <c r="T95" i="9"/>
  <c r="AO34" i="9"/>
  <c r="J24" i="2"/>
  <c r="J40" i="2"/>
  <c r="O92" i="2"/>
  <c r="O37" i="2"/>
  <c r="O59" i="2"/>
  <c r="AY30" i="9"/>
  <c r="C25" i="2"/>
  <c r="AG102" i="9"/>
  <c r="AE26" i="2"/>
  <c r="AE91" i="2"/>
  <c r="AV87" i="9"/>
  <c r="AY24" i="9"/>
  <c r="C14" i="2"/>
  <c r="N33" i="2"/>
  <c r="AE67" i="2"/>
  <c r="L80" i="2"/>
  <c r="AE102" i="9"/>
  <c r="AY16" i="9"/>
  <c r="AE81" i="2"/>
  <c r="AT37" i="2"/>
  <c r="AR70" i="9"/>
  <c r="N93" i="2"/>
  <c r="AQ31" i="2"/>
  <c r="AF40" i="9"/>
  <c r="Z22" i="2"/>
  <c r="AT88" i="2"/>
  <c r="AT87" i="2"/>
  <c r="O87" i="9"/>
  <c r="T97" i="9"/>
  <c r="AN58" i="2"/>
  <c r="N82" i="2"/>
  <c r="L91" i="2"/>
  <c r="O33" i="2"/>
  <c r="N19" i="2"/>
  <c r="AE70" i="2"/>
  <c r="O55" i="2"/>
  <c r="L105" i="2"/>
  <c r="AR98" i="9"/>
  <c r="AE80" i="2"/>
  <c r="AE64" i="2"/>
  <c r="L67" i="2"/>
  <c r="L33" i="2"/>
  <c r="O108" i="2"/>
  <c r="AE75" i="2"/>
  <c r="AE89" i="2"/>
  <c r="O49" i="2"/>
  <c r="AE18" i="2"/>
  <c r="W74" i="9"/>
  <c r="Y60" i="2"/>
  <c r="Y89" i="2"/>
  <c r="AX97" i="9"/>
  <c r="P90" i="9"/>
  <c r="P41" i="9"/>
  <c r="BB40" i="9"/>
  <c r="AJ31" i="9"/>
  <c r="AX72" i="9"/>
  <c r="BC23" i="9"/>
  <c r="T24" i="9"/>
  <c r="BC111" i="9"/>
  <c r="AS102" i="9"/>
  <c r="AE42" i="2"/>
  <c r="AF15" i="9"/>
  <c r="N55" i="2"/>
  <c r="AF54" i="2"/>
  <c r="S111" i="9"/>
  <c r="AT79" i="2"/>
  <c r="AF21" i="9"/>
  <c r="S69" i="9"/>
  <c r="T107" i="9"/>
  <c r="AQ83" i="2"/>
  <c r="AJ81" i="9"/>
  <c r="T25" i="9"/>
  <c r="T81" i="9"/>
  <c r="AY40" i="9"/>
  <c r="AT23" i="2"/>
  <c r="BB36" i="9"/>
  <c r="AF91" i="9"/>
  <c r="AF57" i="2"/>
  <c r="S50" i="9"/>
  <c r="AT97" i="2"/>
  <c r="H108" i="9"/>
  <c r="H66" i="9"/>
  <c r="AQ66" i="2"/>
  <c r="AT40" i="2"/>
  <c r="AO18" i="2"/>
  <c r="AN80" i="2"/>
  <c r="AO91" i="2"/>
  <c r="BC39" i="9"/>
  <c r="AO50" i="2"/>
  <c r="AN65" i="2"/>
  <c r="AR106" i="9"/>
  <c r="AU40" i="2"/>
  <c r="AN57" i="2"/>
  <c r="AT39" i="2"/>
  <c r="S48" i="9"/>
  <c r="Z50" i="2"/>
  <c r="AO60" i="2"/>
  <c r="AR22" i="9"/>
  <c r="AE95" i="2"/>
  <c r="AT91" i="2"/>
  <c r="AO38" i="2"/>
  <c r="AN77" i="2"/>
  <c r="AO82" i="2"/>
  <c r="AX22" i="9"/>
  <c r="AQ67" i="2"/>
  <c r="AF58" i="2"/>
  <c r="AX67" i="9"/>
  <c r="AQ106" i="2"/>
  <c r="AJ45" i="9"/>
  <c r="O69" i="2"/>
  <c r="AE17" i="2"/>
  <c r="BB56" i="9"/>
  <c r="Y45" i="2"/>
  <c r="AF45" i="2"/>
  <c r="AU49" i="2"/>
  <c r="T85" i="9"/>
  <c r="AF80" i="2"/>
  <c r="S31" i="9"/>
  <c r="AU59" i="2"/>
  <c r="N103" i="2"/>
  <c r="AQ88" i="2"/>
  <c r="AF28" i="9"/>
  <c r="AE48" i="2"/>
  <c r="N91" i="2"/>
  <c r="Y28" i="2"/>
  <c r="P60" i="9"/>
  <c r="Y85" i="2"/>
  <c r="Y69" i="2"/>
  <c r="Y47" i="2"/>
  <c r="S97" i="9"/>
  <c r="S32" i="9"/>
  <c r="AX41" i="9"/>
  <c r="BC47" i="9"/>
  <c r="AQ15" i="2"/>
  <c r="BB57" i="9"/>
  <c r="AN94" i="2"/>
  <c r="AJ57" i="9"/>
  <c r="P28" i="9"/>
  <c r="AO81" i="2"/>
  <c r="N105" i="2"/>
  <c r="T46" i="9"/>
  <c r="AO42" i="2"/>
  <c r="P111" i="9"/>
  <c r="BC104" i="9"/>
  <c r="AF49" i="2"/>
  <c r="S93" i="9"/>
  <c r="AO96" i="2"/>
  <c r="AF89" i="2"/>
  <c r="AE58" i="2"/>
  <c r="H43" i="9"/>
  <c r="H32" i="9"/>
  <c r="BC70" i="9"/>
  <c r="AF72" i="2"/>
  <c r="Z56" i="2"/>
  <c r="AF92" i="2"/>
  <c r="AQ72" i="2"/>
  <c r="BC57" i="9"/>
  <c r="AQ41" i="2"/>
  <c r="BB104" i="9"/>
  <c r="AF70" i="2"/>
  <c r="AO98" i="2"/>
  <c r="AF26" i="2"/>
  <c r="AF43" i="2"/>
  <c r="AQ70" i="2"/>
  <c r="AX29" i="9"/>
  <c r="H78" i="9"/>
  <c r="AO54" i="2"/>
  <c r="O85" i="2"/>
  <c r="Z33" i="2"/>
  <c r="AO25" i="2"/>
  <c r="AQ47" i="2"/>
  <c r="AN15" i="2"/>
  <c r="Q80" i="9"/>
  <c r="AB10" i="9"/>
  <c r="BC83" i="2"/>
  <c r="N46" i="2"/>
  <c r="U66" i="2"/>
  <c r="AH56" i="9"/>
  <c r="Q50" i="2"/>
  <c r="AL19" i="9"/>
  <c r="L36" i="2"/>
  <c r="BC82" i="2"/>
  <c r="N59" i="2"/>
  <c r="AQ87" i="9"/>
  <c r="U92" i="2"/>
  <c r="AH78" i="2"/>
  <c r="N95" i="2"/>
  <c r="AP82" i="9"/>
  <c r="AH45" i="9"/>
  <c r="Z34" i="9"/>
  <c r="B19" i="2"/>
  <c r="C19" i="2"/>
  <c r="AR81" i="9"/>
  <c r="BA60" i="2"/>
  <c r="J36" i="2"/>
  <c r="AD17" i="2"/>
  <c r="P30" i="2"/>
  <c r="C104" i="2"/>
  <c r="Q25" i="2"/>
  <c r="W42" i="9"/>
  <c r="Y108" i="9"/>
  <c r="P79" i="2"/>
  <c r="N64" i="2"/>
  <c r="AR23" i="9"/>
  <c r="AD109" i="2"/>
  <c r="AY13" i="2"/>
  <c r="AY11" i="2"/>
  <c r="P91" i="9"/>
  <c r="Q37" i="2"/>
  <c r="AJ79" i="9"/>
  <c r="Q82" i="9"/>
  <c r="J83" i="2"/>
  <c r="J105" i="2"/>
  <c r="J59" i="2"/>
  <c r="P33" i="2"/>
  <c r="P110" i="9"/>
  <c r="J29" i="2"/>
  <c r="Q72" i="2"/>
  <c r="Q45" i="9"/>
  <c r="Q110" i="9"/>
  <c r="AJ36" i="9"/>
  <c r="AJ50" i="9"/>
  <c r="P30" i="9"/>
  <c r="P24" i="9"/>
  <c r="P58" i="9"/>
  <c r="Q26" i="9"/>
  <c r="AJ83" i="9"/>
  <c r="AW89" i="9"/>
  <c r="AW87" i="9"/>
  <c r="AL13" i="9"/>
  <c r="AJ98" i="9"/>
  <c r="Y10" i="9"/>
  <c r="T60" i="9"/>
  <c r="F102" i="9"/>
  <c r="AN79" i="2"/>
  <c r="N31" i="2"/>
  <c r="AF19" i="9"/>
  <c r="N85" i="2"/>
  <c r="U53" i="2"/>
  <c r="U52" i="2"/>
  <c r="L30" i="2"/>
  <c r="AQ32" i="2"/>
  <c r="O47" i="2"/>
  <c r="N22" i="2"/>
  <c r="O25" i="2"/>
  <c r="AQ54" i="2"/>
  <c r="AR71" i="9"/>
  <c r="AE109" i="2"/>
  <c r="AF42" i="9"/>
  <c r="AE40" i="2"/>
  <c r="L28" i="2"/>
  <c r="AE94" i="2"/>
  <c r="AR31" i="9"/>
  <c r="O94" i="2"/>
  <c r="O82" i="2"/>
  <c r="L76" i="2"/>
  <c r="AR29" i="9"/>
  <c r="O89" i="2"/>
  <c r="L29" i="2"/>
  <c r="O40" i="2"/>
  <c r="AJ92" i="9"/>
  <c r="AX84" i="9"/>
  <c r="AQ65" i="2"/>
  <c r="AT49" i="2"/>
  <c r="AO55" i="2"/>
  <c r="O24" i="2"/>
  <c r="AT78" i="2"/>
  <c r="AX49" i="9"/>
  <c r="AY45" i="9"/>
  <c r="AQ109" i="2"/>
  <c r="AQ17" i="2"/>
  <c r="BB27" i="9"/>
  <c r="AJ39" i="9"/>
  <c r="AJ91" i="9"/>
  <c r="Y90" i="2"/>
  <c r="BB29" i="9"/>
  <c r="AT47" i="2"/>
  <c r="H81" i="9"/>
  <c r="H76" i="9"/>
  <c r="Z104" i="2"/>
  <c r="AO67" i="2"/>
  <c r="AJ28" i="9"/>
  <c r="AJ29" i="9"/>
  <c r="AO15" i="2"/>
  <c r="AF95" i="2"/>
  <c r="AJ19" i="9"/>
  <c r="AY104" i="9"/>
  <c r="AT27" i="2"/>
  <c r="O57" i="2"/>
  <c r="L39" i="2"/>
  <c r="AF79" i="9"/>
  <c r="AY47" i="9"/>
  <c r="AX91" i="9"/>
  <c r="AF107" i="9"/>
  <c r="T67" i="9"/>
  <c r="AT28" i="2"/>
  <c r="O17" i="2"/>
  <c r="O80" i="2"/>
  <c r="H96" i="9"/>
  <c r="AF108" i="2"/>
  <c r="AF65" i="2"/>
  <c r="AX25" i="9"/>
  <c r="AF76" i="9"/>
  <c r="O105" i="2"/>
  <c r="AY38" i="9"/>
  <c r="AE77" i="2"/>
  <c r="BB92" i="9"/>
  <c r="P95" i="9"/>
  <c r="Y46" i="2"/>
  <c r="BC66" i="9"/>
  <c r="BC80" i="9"/>
  <c r="W35" i="9"/>
  <c r="W34" i="9"/>
  <c r="AO69" i="2"/>
  <c r="AT64" i="2"/>
  <c r="T80" i="9"/>
  <c r="AY97" i="9"/>
  <c r="AF84" i="2"/>
  <c r="C52" i="9"/>
  <c r="AQ48" i="2"/>
  <c r="AF103" i="2"/>
  <c r="AF67" i="2"/>
  <c r="AN17" i="2"/>
  <c r="AO29" i="2"/>
  <c r="BB58" i="9"/>
  <c r="AX32" i="9"/>
  <c r="Z97" i="2"/>
  <c r="AX15" i="9"/>
  <c r="H55" i="9"/>
  <c r="H38" i="9"/>
  <c r="AX43" i="9"/>
  <c r="AX48" i="9"/>
  <c r="AN66" i="2"/>
  <c r="AE38" i="2"/>
  <c r="S104" i="9"/>
  <c r="AO59" i="2"/>
  <c r="AN81" i="2"/>
  <c r="BC92" i="9"/>
  <c r="AE57" i="2"/>
  <c r="AY25" i="9"/>
  <c r="AU37" i="2"/>
  <c r="H72" i="9"/>
  <c r="AE21" i="2"/>
  <c r="BB68" i="9"/>
  <c r="Y71" i="2"/>
  <c r="Y93" i="2"/>
  <c r="Z24" i="2"/>
  <c r="AQ97" i="2"/>
  <c r="AY59" i="9"/>
  <c r="AU48" i="2"/>
  <c r="Y26" i="2"/>
  <c r="AU94" i="2"/>
  <c r="AU47" i="2"/>
  <c r="AQ22" i="2"/>
  <c r="AU55" i="2"/>
  <c r="AU104" i="2"/>
  <c r="AY42" i="9"/>
  <c r="AY92" i="9"/>
  <c r="Y65" i="2"/>
  <c r="Y59" i="2"/>
  <c r="Y77" i="2"/>
  <c r="Y17" i="2"/>
  <c r="Y20" i="2"/>
  <c r="Y102" i="2"/>
  <c r="Y95" i="2"/>
  <c r="AU68" i="2"/>
  <c r="Y105" i="2"/>
  <c r="Y42" i="2"/>
  <c r="AU46" i="2"/>
  <c r="Y96" i="2"/>
  <c r="Y80" i="2"/>
  <c r="AU72" i="2"/>
  <c r="AU39" i="2"/>
  <c r="AU56" i="2"/>
  <c r="AU41" i="2"/>
  <c r="AU57" i="2"/>
  <c r="AU15" i="2"/>
  <c r="AU43" i="2"/>
  <c r="AU93" i="2"/>
  <c r="AT55" i="2"/>
  <c r="J64" i="2"/>
  <c r="BC37" i="2"/>
  <c r="H100" i="2"/>
  <c r="BC58" i="2"/>
  <c r="BD70" i="9"/>
  <c r="BD105" i="9"/>
  <c r="AR91" i="9"/>
  <c r="P37" i="9"/>
  <c r="AT72" i="2"/>
  <c r="AJ21" i="9"/>
  <c r="P64" i="9"/>
  <c r="Q14" i="9"/>
  <c r="AF45" i="9"/>
  <c r="N37" i="2"/>
  <c r="AF72" i="9"/>
  <c r="Y66" i="9"/>
  <c r="AF14" i="9"/>
  <c r="P42" i="2"/>
  <c r="AD57" i="2"/>
  <c r="Q22" i="2"/>
  <c r="Y91" i="9"/>
  <c r="P40" i="2"/>
  <c r="Y50" i="9"/>
  <c r="P94" i="2"/>
  <c r="S13" i="9"/>
  <c r="S12" i="9"/>
  <c r="S10" i="9"/>
  <c r="P22" i="2"/>
  <c r="B70" i="2"/>
  <c r="C70" i="2"/>
  <c r="P96" i="9"/>
  <c r="AT71" i="2"/>
  <c r="BD28" i="9"/>
  <c r="AJ23" i="9"/>
  <c r="BC35" i="2"/>
  <c r="AR110" i="9"/>
  <c r="D10" i="9"/>
  <c r="B10" i="9"/>
  <c r="C10" i="9"/>
  <c r="BC64" i="2"/>
  <c r="Y23" i="9"/>
  <c r="Y74" i="9"/>
  <c r="AX103" i="9"/>
  <c r="AX102" i="9"/>
  <c r="Q32" i="9"/>
  <c r="AJ48" i="9"/>
  <c r="Q70" i="9"/>
  <c r="Q68" i="9"/>
  <c r="BD60" i="9"/>
  <c r="BD57" i="9"/>
  <c r="Q27" i="9"/>
  <c r="AY89" i="9"/>
  <c r="AY87" i="9"/>
  <c r="AR90" i="9"/>
  <c r="AT69" i="2"/>
  <c r="AH24" i="9"/>
  <c r="AH98" i="9"/>
  <c r="F81" i="9"/>
  <c r="Y42" i="9"/>
  <c r="T57" i="9"/>
  <c r="Q91" i="2"/>
  <c r="AJ27" i="9"/>
  <c r="P44" i="9"/>
  <c r="O64" i="9"/>
  <c r="AJ59" i="9"/>
  <c r="O37" i="9"/>
  <c r="BC85" i="2"/>
  <c r="L88" i="2"/>
  <c r="L87" i="2"/>
  <c r="AT43" i="2"/>
  <c r="BD44" i="9"/>
  <c r="T31" i="9"/>
  <c r="C83" i="9"/>
  <c r="AR68" i="9"/>
  <c r="AD89" i="2"/>
  <c r="AT57" i="2"/>
  <c r="N15" i="2"/>
  <c r="N67" i="2"/>
  <c r="N38" i="2"/>
  <c r="B80" i="9"/>
  <c r="C80" i="9"/>
  <c r="B44" i="9"/>
  <c r="C44" i="9"/>
  <c r="AF104" i="9"/>
  <c r="AT98" i="9"/>
  <c r="BD104" i="9"/>
  <c r="AF71" i="9"/>
  <c r="AJ111" i="9"/>
  <c r="Q17" i="9"/>
  <c r="B75" i="9"/>
  <c r="C75" i="9"/>
  <c r="Q46" i="9"/>
  <c r="AF98" i="9"/>
  <c r="AM62" i="9"/>
  <c r="AD96" i="2"/>
  <c r="AH107" i="9"/>
  <c r="AK78" i="9"/>
  <c r="AK93" i="9"/>
  <c r="N30" i="2"/>
  <c r="F91" i="9"/>
  <c r="BD36" i="9"/>
  <c r="BC55" i="2"/>
  <c r="AN88" i="2"/>
  <c r="AN87" i="2"/>
  <c r="Z74" i="9"/>
  <c r="L57" i="2"/>
  <c r="O30" i="9"/>
  <c r="C91" i="2"/>
  <c r="BC65" i="2"/>
  <c r="T103" i="9"/>
  <c r="T102" i="9"/>
  <c r="AC25" i="9"/>
  <c r="Q53" i="2"/>
  <c r="Q52" i="2"/>
  <c r="H63" i="9"/>
  <c r="H62" i="9"/>
  <c r="AF110" i="9"/>
  <c r="Q83" i="2"/>
  <c r="AP103" i="9"/>
  <c r="AP102" i="9"/>
  <c r="AK22" i="9"/>
  <c r="N18" i="2"/>
  <c r="AH72" i="9"/>
  <c r="O19" i="9"/>
  <c r="Y31" i="9"/>
  <c r="AG87" i="2"/>
  <c r="L74" i="9"/>
  <c r="AT93" i="2"/>
  <c r="AK105" i="9"/>
  <c r="N58" i="2"/>
  <c r="Y22" i="9"/>
  <c r="AT98" i="2"/>
  <c r="BC54" i="2"/>
  <c r="F72" i="9"/>
  <c r="C97" i="2"/>
  <c r="AD76" i="2"/>
  <c r="AR24" i="9"/>
  <c r="Y36" i="9"/>
  <c r="AF16" i="9"/>
  <c r="AF23" i="9"/>
  <c r="AM11" i="2"/>
  <c r="AH95" i="9"/>
  <c r="AH47" i="9"/>
  <c r="AC81" i="9"/>
  <c r="AH70" i="9"/>
  <c r="BC28" i="2"/>
  <c r="F110" i="9"/>
  <c r="Q80" i="2"/>
  <c r="BA62" i="2"/>
  <c r="N102" i="2"/>
  <c r="AK36" i="9"/>
  <c r="P58" i="2"/>
  <c r="Y20" i="9"/>
  <c r="Q75" i="2"/>
  <c r="Q74" i="2"/>
  <c r="P43" i="2"/>
  <c r="Y59" i="9"/>
  <c r="AO36" i="2"/>
  <c r="AO35" i="2"/>
  <c r="P84" i="2"/>
  <c r="C58" i="2"/>
  <c r="Q13" i="2"/>
  <c r="Q11" i="2"/>
  <c r="P17" i="9"/>
  <c r="Q36" i="9"/>
  <c r="E68" i="9"/>
  <c r="AT57" i="9"/>
  <c r="L48" i="2"/>
  <c r="E43" i="9"/>
  <c r="AF70" i="9"/>
  <c r="B63" i="9"/>
  <c r="C63" i="9"/>
  <c r="AH84" i="9"/>
  <c r="AT70" i="2"/>
  <c r="C92" i="9"/>
  <c r="O27" i="9"/>
  <c r="O95" i="9"/>
  <c r="AH44" i="9"/>
  <c r="Q89" i="2"/>
  <c r="P31" i="2"/>
  <c r="AJ30" i="9"/>
  <c r="P105" i="2"/>
  <c r="P65" i="2"/>
  <c r="AJ60" i="9"/>
  <c r="J79" i="2"/>
  <c r="P89" i="2"/>
  <c r="AJ56" i="9"/>
  <c r="AJ72" i="9"/>
  <c r="P57" i="9"/>
  <c r="J44" i="2"/>
  <c r="J21" i="2"/>
  <c r="J19" i="2"/>
  <c r="P82" i="9"/>
  <c r="P76" i="9"/>
  <c r="J72" i="2"/>
  <c r="J60" i="2"/>
  <c r="Q47" i="9"/>
  <c r="AX89" i="9"/>
  <c r="AX87" i="9"/>
  <c r="AJ80" i="9"/>
  <c r="AJ78" i="9"/>
  <c r="AJ104" i="9"/>
  <c r="Q22" i="9"/>
  <c r="Q91" i="9"/>
  <c r="AJ85" i="9"/>
  <c r="AJ43" i="9"/>
  <c r="AJ71" i="9"/>
  <c r="Q25" i="9"/>
  <c r="AJ93" i="9"/>
  <c r="Y63" i="2"/>
  <c r="Y62" i="2"/>
  <c r="P47" i="9"/>
  <c r="P56" i="9"/>
  <c r="AD74" i="9"/>
  <c r="P66" i="9"/>
  <c r="P46" i="9"/>
  <c r="P54" i="9"/>
  <c r="AJ70" i="9"/>
  <c r="J28" i="2"/>
  <c r="Q20" i="2"/>
  <c r="Q26" i="2"/>
  <c r="P97" i="9"/>
  <c r="J33" i="2"/>
  <c r="P15" i="9"/>
  <c r="J71" i="2"/>
  <c r="Q29" i="9"/>
  <c r="J23" i="2"/>
  <c r="J109" i="2"/>
  <c r="J96" i="2"/>
  <c r="Q24" i="9"/>
  <c r="Q104" i="2"/>
  <c r="J31" i="2"/>
  <c r="P16" i="9"/>
  <c r="AJ40" i="9"/>
  <c r="Q92" i="2"/>
  <c r="Q109" i="2"/>
  <c r="Q65" i="9"/>
  <c r="W62" i="2"/>
  <c r="Q45" i="2"/>
  <c r="AJ108" i="9"/>
  <c r="P107" i="9"/>
  <c r="AJ25" i="9"/>
  <c r="P93" i="9"/>
  <c r="Q42" i="2"/>
  <c r="P55" i="2"/>
  <c r="J58" i="2"/>
  <c r="P68" i="2"/>
  <c r="J48" i="2"/>
  <c r="Q38" i="2"/>
  <c r="P53" i="2"/>
  <c r="P52" i="2"/>
  <c r="J39" i="2"/>
  <c r="J77" i="2"/>
  <c r="J41" i="2"/>
  <c r="J66" i="2"/>
  <c r="Q103" i="2"/>
  <c r="P85" i="2"/>
  <c r="P72" i="2"/>
  <c r="P54" i="2"/>
  <c r="P21" i="2"/>
  <c r="Q84" i="9"/>
  <c r="Q108" i="2"/>
  <c r="Q98" i="2"/>
  <c r="P19" i="9"/>
  <c r="P31" i="9"/>
  <c r="Q67" i="9"/>
  <c r="P43" i="9"/>
  <c r="Q98" i="9"/>
  <c r="P50" i="2"/>
  <c r="P80" i="2"/>
  <c r="P44" i="2"/>
  <c r="Q39" i="9"/>
  <c r="J15" i="2"/>
  <c r="AN53" i="2"/>
  <c r="AN52" i="2"/>
  <c r="U62" i="9"/>
  <c r="BD37" i="9"/>
  <c r="AJ90" i="9"/>
  <c r="Q18" i="9"/>
  <c r="BD23" i="9"/>
  <c r="AJ110" i="9"/>
  <c r="AJ44" i="9"/>
  <c r="BD64" i="9"/>
  <c r="AG35" i="2"/>
  <c r="BD77" i="9"/>
  <c r="BD84" i="9"/>
  <c r="AD94" i="2"/>
  <c r="P67" i="9"/>
  <c r="BD108" i="9"/>
  <c r="J82" i="2"/>
  <c r="BC109" i="2"/>
  <c r="J11" i="2"/>
  <c r="Q79" i="2"/>
  <c r="AW63" i="2"/>
  <c r="AW62" i="2"/>
  <c r="J37" i="2"/>
  <c r="AJ65" i="9"/>
  <c r="AR96" i="9"/>
  <c r="BD107" i="9"/>
  <c r="AI35" i="2"/>
  <c r="BD79" i="9"/>
  <c r="P77" i="9"/>
  <c r="C68" i="9"/>
  <c r="AD28" i="2"/>
  <c r="I52" i="2"/>
  <c r="BC90" i="2"/>
  <c r="BB103" i="9"/>
  <c r="BB102" i="9"/>
  <c r="AW74" i="2"/>
  <c r="AD18" i="2"/>
  <c r="O102" i="9"/>
  <c r="P93" i="2"/>
  <c r="AD38" i="2"/>
  <c r="J69" i="2"/>
  <c r="J84" i="2"/>
  <c r="AR26" i="9"/>
  <c r="P98" i="2"/>
  <c r="Q57" i="2"/>
  <c r="AR48" i="9"/>
  <c r="AQ10" i="9"/>
  <c r="C102" i="9"/>
  <c r="BC27" i="2"/>
  <c r="AE53" i="2"/>
  <c r="AE52" i="2"/>
  <c r="H14" i="2"/>
  <c r="H13" i="2"/>
  <c r="H11" i="2"/>
  <c r="B71" i="9"/>
  <c r="C71" i="9"/>
  <c r="AJ107" i="9"/>
  <c r="AJ22" i="9"/>
  <c r="AR95" i="9"/>
  <c r="Q43" i="9"/>
  <c r="BD83" i="9"/>
  <c r="AR93" i="9"/>
  <c r="AR43" i="9"/>
  <c r="BD59" i="9"/>
  <c r="AJ26" i="9"/>
  <c r="AJ64" i="9"/>
  <c r="AR19" i="9"/>
  <c r="Q31" i="9"/>
  <c r="Q21" i="9"/>
  <c r="AR49" i="9"/>
  <c r="AF88" i="2"/>
  <c r="AF87" i="2"/>
  <c r="M100" i="2"/>
  <c r="BD24" i="9"/>
  <c r="BD95" i="9"/>
  <c r="Q46" i="2"/>
  <c r="AD20" i="2"/>
  <c r="AH59" i="9"/>
  <c r="Q59" i="9"/>
  <c r="J103" i="2"/>
  <c r="P27" i="9"/>
  <c r="L41" i="2"/>
  <c r="AR107" i="9"/>
  <c r="L68" i="2"/>
  <c r="H52" i="2"/>
  <c r="BC95" i="2"/>
  <c r="P35" i="2"/>
  <c r="E74" i="2"/>
  <c r="Q55" i="9"/>
  <c r="Q15" i="9"/>
  <c r="Q37" i="9"/>
  <c r="AD15" i="2"/>
  <c r="P83" i="9"/>
  <c r="Q71" i="2"/>
  <c r="Q23" i="2"/>
  <c r="B35" i="2"/>
  <c r="C35" i="2"/>
  <c r="AJ46" i="9"/>
  <c r="J94" i="2"/>
  <c r="BA62" i="9"/>
  <c r="AD71" i="2"/>
  <c r="BC29" i="2"/>
  <c r="K87" i="9"/>
  <c r="AH36" i="9"/>
  <c r="E44" i="9"/>
  <c r="E49" i="9"/>
  <c r="AR54" i="9"/>
  <c r="E23" i="9"/>
  <c r="AT68" i="9"/>
  <c r="B83" i="2"/>
  <c r="C83" i="2"/>
  <c r="E48" i="9"/>
  <c r="E66" i="9"/>
  <c r="C20" i="2"/>
  <c r="P98" i="9"/>
  <c r="AP35" i="9"/>
  <c r="AP34" i="9"/>
  <c r="P92" i="2"/>
  <c r="AD108" i="2"/>
  <c r="AP87" i="2"/>
  <c r="L72" i="2"/>
  <c r="AX75" i="9"/>
  <c r="AX74" i="9"/>
  <c r="P95" i="2"/>
  <c r="J10" i="9"/>
  <c r="BD43" i="9"/>
  <c r="K62" i="2"/>
  <c r="Y34" i="9"/>
  <c r="AV62" i="9"/>
  <c r="C56" i="9"/>
  <c r="J18" i="2"/>
  <c r="J102" i="2"/>
  <c r="AQ75" i="2"/>
  <c r="AQ74" i="2"/>
  <c r="L66" i="2"/>
  <c r="Q96" i="2"/>
  <c r="AD67" i="2"/>
  <c r="AR104" i="9"/>
  <c r="Q67" i="2"/>
  <c r="AR25" i="9"/>
  <c r="AK64" i="9"/>
  <c r="J106" i="2"/>
  <c r="P67" i="2"/>
  <c r="P83" i="2"/>
  <c r="AA62" i="9"/>
  <c r="L15" i="2"/>
  <c r="AU53" i="2"/>
  <c r="AU52" i="2"/>
  <c r="AT111" i="9"/>
  <c r="AH20" i="9"/>
  <c r="L27" i="2"/>
  <c r="L93" i="2"/>
  <c r="L104" i="2"/>
  <c r="BD63" i="9"/>
  <c r="BD62" i="9"/>
  <c r="L47" i="2"/>
  <c r="BC96" i="2"/>
  <c r="Q49" i="2"/>
  <c r="Q56" i="2"/>
  <c r="Q32" i="2"/>
  <c r="P84" i="9"/>
  <c r="P38" i="2"/>
  <c r="Q48" i="2"/>
  <c r="J26" i="2"/>
  <c r="P70" i="2"/>
  <c r="P23" i="2"/>
  <c r="P69" i="2"/>
  <c r="J95" i="2"/>
  <c r="J91" i="2"/>
  <c r="J25" i="2"/>
  <c r="Q55" i="2"/>
  <c r="P39" i="9"/>
  <c r="P17" i="2"/>
  <c r="AJ38" i="9"/>
  <c r="J54" i="2"/>
  <c r="J56" i="2"/>
  <c r="Q16" i="9"/>
  <c r="Q43" i="2"/>
  <c r="AJ16" i="9"/>
  <c r="P40" i="9"/>
  <c r="Q105" i="2"/>
  <c r="Q70" i="2"/>
  <c r="P57" i="2"/>
  <c r="J32" i="2"/>
  <c r="AJ96" i="9"/>
  <c r="P105" i="9"/>
  <c r="Q76" i="9"/>
  <c r="P109" i="2"/>
  <c r="Q104" i="9"/>
  <c r="Q41" i="9"/>
  <c r="P71" i="2"/>
  <c r="C41" i="9"/>
  <c r="P72" i="9"/>
  <c r="BA36" i="2"/>
  <c r="BA35" i="2"/>
  <c r="Q30" i="2"/>
  <c r="P18" i="2"/>
  <c r="M34" i="9"/>
  <c r="J57" i="2"/>
  <c r="BD30" i="9"/>
  <c r="BD91" i="9"/>
  <c r="Q40" i="9"/>
  <c r="AJ54" i="9"/>
  <c r="AJ14" i="9"/>
  <c r="Z102" i="9"/>
  <c r="Q79" i="9"/>
  <c r="AD22" i="2"/>
  <c r="Q93" i="2"/>
  <c r="P69" i="9"/>
  <c r="J108" i="2"/>
  <c r="P37" i="2"/>
  <c r="AH52" i="2"/>
  <c r="J89" i="2"/>
  <c r="P78" i="2"/>
  <c r="AD47" i="2"/>
  <c r="Q82" i="2"/>
  <c r="BD41" i="9"/>
  <c r="BD45" i="9"/>
  <c r="AY103" i="9"/>
  <c r="AY102" i="9"/>
  <c r="BD92" i="9"/>
  <c r="AS100" i="2"/>
  <c r="BD76" i="9"/>
  <c r="BD66" i="9"/>
  <c r="BD31" i="9"/>
  <c r="Q28" i="9"/>
  <c r="D20" i="9"/>
  <c r="B20" i="9"/>
  <c r="C20" i="9"/>
  <c r="BD32" i="9"/>
  <c r="BD20" i="9"/>
  <c r="Q24" i="2"/>
  <c r="AD106" i="2"/>
  <c r="BD14" i="9"/>
  <c r="Q78" i="2"/>
  <c r="Q84" i="2"/>
  <c r="P63" i="9"/>
  <c r="P62" i="9"/>
  <c r="P32" i="2"/>
  <c r="Q81" i="2"/>
  <c r="BD46" i="9"/>
  <c r="W12" i="9"/>
  <c r="W10" i="9"/>
  <c r="Q58" i="9"/>
  <c r="AD64" i="2"/>
  <c r="AD77" i="2"/>
  <c r="P55" i="9"/>
  <c r="Q76" i="2"/>
  <c r="AD98" i="2"/>
  <c r="Q44" i="9"/>
  <c r="Q106" i="2"/>
  <c r="P96" i="2"/>
  <c r="AK82" i="9"/>
  <c r="BD49" i="9"/>
  <c r="P49" i="2"/>
  <c r="AK45" i="9"/>
  <c r="AD103" i="2"/>
  <c r="AN87" i="9"/>
  <c r="J90" i="2"/>
  <c r="AD65" i="2"/>
  <c r="P82" i="2"/>
  <c r="P64" i="2"/>
  <c r="AO74" i="9"/>
  <c r="AD19" i="2"/>
  <c r="E95" i="9"/>
  <c r="E36" i="9"/>
  <c r="U75" i="2"/>
  <c r="U74" i="2"/>
  <c r="E15" i="9"/>
  <c r="AK30" i="9"/>
  <c r="BD47" i="9"/>
  <c r="AT63" i="2"/>
  <c r="AT62" i="2"/>
  <c r="BD72" i="9"/>
  <c r="AY63" i="9"/>
  <c r="AY62" i="9"/>
  <c r="AK80" i="9"/>
  <c r="AD23" i="2"/>
  <c r="BD111" i="9"/>
  <c r="AS74" i="2"/>
  <c r="AD46" i="2"/>
  <c r="BC11" i="2"/>
  <c r="AK37" i="9"/>
  <c r="AD82" i="2"/>
  <c r="AD26" i="2"/>
  <c r="P11" i="2"/>
  <c r="AK54" i="9"/>
  <c r="I12" i="9"/>
  <c r="I10" i="9"/>
  <c r="AT74" i="9"/>
  <c r="AT36" i="2"/>
  <c r="AT35" i="2"/>
  <c r="AJ62" i="2"/>
  <c r="AB74" i="9"/>
  <c r="E70" i="9"/>
  <c r="AD72" i="2"/>
  <c r="E107" i="9"/>
  <c r="AW34" i="9"/>
  <c r="BD18" i="9"/>
  <c r="C58" i="9"/>
  <c r="AK79" i="9"/>
  <c r="E30" i="9"/>
  <c r="AN101" i="2"/>
  <c r="AN100" i="2"/>
  <c r="AD30" i="2"/>
  <c r="AD104" i="2"/>
  <c r="AK28" i="9"/>
  <c r="AK58" i="9"/>
  <c r="AD68" i="2"/>
  <c r="E83" i="9"/>
  <c r="E64" i="9"/>
  <c r="E26" i="9"/>
  <c r="E98" i="9"/>
  <c r="E79" i="9"/>
  <c r="E45" i="9"/>
  <c r="E21" i="9"/>
  <c r="E42" i="9"/>
  <c r="BD29" i="9"/>
  <c r="AP100" i="2"/>
  <c r="BD78" i="9"/>
  <c r="AD83" i="2"/>
  <c r="E58" i="9"/>
  <c r="AK56" i="9"/>
  <c r="E60" i="9"/>
  <c r="AK39" i="9"/>
  <c r="E41" i="9"/>
  <c r="E17" i="9"/>
  <c r="E37" i="9"/>
  <c r="E14" i="9"/>
  <c r="E54" i="9"/>
  <c r="E55" i="9"/>
  <c r="E108" i="9"/>
  <c r="AL74" i="9"/>
  <c r="D108" i="9"/>
  <c r="B108" i="9"/>
  <c r="C108" i="9"/>
  <c r="AU101" i="2"/>
  <c r="AU100" i="2"/>
  <c r="AK29" i="9"/>
  <c r="AK72" i="9"/>
  <c r="AD79" i="2"/>
  <c r="AD105" i="2"/>
  <c r="AD60" i="2"/>
  <c r="AK24" i="9"/>
  <c r="AD50" i="2"/>
  <c r="AK15" i="9"/>
  <c r="AD21" i="2"/>
  <c r="AD37" i="2"/>
  <c r="AK17" i="9"/>
  <c r="AK69" i="9"/>
  <c r="AX74" i="2"/>
  <c r="AD97" i="2"/>
  <c r="AK60" i="9"/>
  <c r="AK84" i="9"/>
  <c r="AG14" i="2"/>
  <c r="AG13" i="2"/>
  <c r="AG11" i="2"/>
  <c r="AY13" i="9"/>
  <c r="AY12" i="9"/>
  <c r="AY10" i="9"/>
  <c r="AK49" i="9"/>
  <c r="AK44" i="9"/>
  <c r="AM87" i="2"/>
  <c r="AK55" i="9"/>
  <c r="AK71" i="9"/>
  <c r="AK19" i="9"/>
  <c r="S35" i="9"/>
  <c r="S34" i="9"/>
  <c r="AK76" i="9"/>
  <c r="AK46" i="9"/>
  <c r="AD48" i="2"/>
  <c r="AK31" i="9"/>
  <c r="AK81" i="9"/>
  <c r="AK104" i="9"/>
  <c r="AK77" i="9"/>
  <c r="AK10" i="9"/>
  <c r="AD70" i="2"/>
  <c r="AH74" i="9"/>
  <c r="D64" i="2"/>
  <c r="B64" i="2"/>
  <c r="C64" i="2"/>
  <c r="B26" i="2"/>
  <c r="C26" i="2"/>
  <c r="AK66" i="9"/>
  <c r="AD85" i="2"/>
  <c r="AV102" i="9"/>
  <c r="BD93" i="9"/>
  <c r="E31" i="9"/>
  <c r="R87" i="2"/>
  <c r="AD49" i="2"/>
  <c r="AF10" i="9"/>
  <c r="J102" i="9"/>
  <c r="E59" i="9"/>
  <c r="E28" i="9"/>
  <c r="E91" i="9"/>
  <c r="AK91" i="9"/>
  <c r="AK106" i="9"/>
  <c r="AK25" i="9"/>
  <c r="AK83" i="9"/>
  <c r="E76" i="9"/>
  <c r="E106" i="9"/>
  <c r="E19" i="9"/>
  <c r="E96" i="9"/>
  <c r="E84" i="9"/>
  <c r="AK20" i="9"/>
  <c r="E18" i="9"/>
  <c r="E82" i="9"/>
  <c r="E78" i="9"/>
  <c r="AQ13" i="2"/>
  <c r="AQ11" i="2"/>
  <c r="D54" i="9"/>
  <c r="B54" i="9"/>
  <c r="C54" i="9"/>
  <c r="AD39" i="2"/>
  <c r="AD58" i="2"/>
  <c r="BD21" i="9"/>
  <c r="AK23" i="9"/>
  <c r="AK47" i="9"/>
  <c r="AK65" i="9"/>
  <c r="AK21" i="9"/>
  <c r="B55" i="9"/>
  <c r="C55" i="9"/>
  <c r="AK96" i="9"/>
  <c r="AK98" i="9"/>
  <c r="AD27" i="2"/>
  <c r="AD40" i="2"/>
  <c r="AK95" i="9"/>
  <c r="E90" i="9"/>
  <c r="E32" i="9"/>
  <c r="AZ62" i="2"/>
  <c r="E20" i="9"/>
  <c r="D36" i="9"/>
  <c r="B36" i="9"/>
  <c r="C36" i="9"/>
  <c r="Q102" i="9"/>
  <c r="F11" i="2"/>
  <c r="AW53" i="2"/>
  <c r="AW52" i="2"/>
  <c r="AD59" i="2"/>
  <c r="AD45" i="2"/>
  <c r="AZ62" i="9"/>
  <c r="AD78" i="2"/>
  <c r="AD93" i="2"/>
  <c r="AP13" i="2"/>
  <c r="AP11" i="2"/>
  <c r="AK43" i="9"/>
  <c r="AK57" i="9"/>
  <c r="E50" i="9"/>
  <c r="E85" i="9"/>
  <c r="B39" i="2"/>
  <c r="C39" i="2"/>
  <c r="AD41" i="2"/>
  <c r="AK85" i="9"/>
  <c r="AK27" i="9"/>
  <c r="C63" i="2"/>
  <c r="V35" i="2"/>
  <c r="AT101" i="2"/>
  <c r="AT100" i="2"/>
  <c r="AD91" i="2"/>
  <c r="B64" i="9"/>
  <c r="C64" i="9"/>
  <c r="E29" i="9"/>
  <c r="E25" i="9"/>
  <c r="AA100" i="2"/>
  <c r="E93" i="9"/>
  <c r="C16" i="9"/>
  <c r="AD33" i="2"/>
  <c r="X34" i="9"/>
  <c r="AD102" i="2"/>
  <c r="BD110" i="9"/>
  <c r="E110" i="9"/>
  <c r="AK90" i="9"/>
  <c r="AY35" i="2"/>
  <c r="E71" i="9"/>
  <c r="E57" i="9"/>
  <c r="AK42" i="9"/>
  <c r="E40" i="9"/>
  <c r="E77" i="9"/>
  <c r="AK67" i="9"/>
  <c r="AK110" i="9"/>
  <c r="AK50" i="9"/>
  <c r="E81" i="9"/>
  <c r="E16" i="9"/>
  <c r="AK40" i="9"/>
  <c r="E24" i="9"/>
  <c r="AK14" i="9"/>
  <c r="AK68" i="9"/>
  <c r="E80" i="9"/>
  <c r="D90" i="2"/>
  <c r="B90" i="2"/>
  <c r="C90" i="2"/>
  <c r="C81" i="2"/>
  <c r="AK18" i="9"/>
  <c r="AK108" i="9"/>
  <c r="AR87" i="2"/>
  <c r="E38" i="9"/>
  <c r="E65" i="9"/>
  <c r="AJ52" i="2"/>
  <c r="P89" i="9"/>
  <c r="P87" i="9"/>
  <c r="C105" i="9"/>
  <c r="AK70" i="9"/>
  <c r="E56" i="9"/>
  <c r="AK107" i="9"/>
  <c r="AK41" i="9"/>
  <c r="E22" i="9"/>
  <c r="E111" i="9"/>
  <c r="E69" i="9"/>
  <c r="AK26" i="9"/>
  <c r="AK111" i="9"/>
  <c r="AK92" i="9"/>
  <c r="E104" i="9"/>
  <c r="O101" i="2"/>
  <c r="O100" i="2"/>
  <c r="AV74" i="9"/>
  <c r="AA83" i="9"/>
  <c r="AA67" i="9"/>
  <c r="J42" i="9"/>
  <c r="AG66" i="9"/>
  <c r="E91" i="2"/>
  <c r="K93" i="9"/>
  <c r="H70" i="2"/>
  <c r="K97" i="9"/>
  <c r="AB31" i="2"/>
  <c r="AC31" i="2"/>
  <c r="AB22" i="9"/>
  <c r="AZ54" i="9"/>
  <c r="AE39" i="9"/>
  <c r="AD20" i="9"/>
  <c r="AI95" i="2"/>
  <c r="AA81" i="2"/>
  <c r="AN93" i="9"/>
  <c r="B24" i="9"/>
  <c r="L28" i="9"/>
  <c r="X36" i="9"/>
  <c r="AV68" i="2"/>
  <c r="AI32" i="9"/>
  <c r="AS83" i="2"/>
  <c r="AE58" i="9"/>
  <c r="AZ23" i="2"/>
  <c r="V19" i="9"/>
  <c r="AP50" i="2"/>
  <c r="X67" i="9"/>
  <c r="L55" i="9"/>
  <c r="K67" i="9"/>
  <c r="AP66" i="2"/>
  <c r="R78" i="2"/>
  <c r="AL105" i="2"/>
  <c r="R106" i="2"/>
  <c r="Z48" i="9"/>
  <c r="AU75" i="2"/>
  <c r="AU74" i="2"/>
  <c r="N58" i="9"/>
  <c r="AL27" i="2"/>
  <c r="AK92" i="2"/>
  <c r="AB96" i="2"/>
  <c r="AA80" i="2"/>
  <c r="AA71" i="9"/>
  <c r="AV78" i="9"/>
  <c r="AV98" i="9"/>
  <c r="AQ54" i="9"/>
  <c r="AA32" i="9"/>
  <c r="I59" i="9"/>
  <c r="G90" i="2"/>
  <c r="I38" i="2"/>
  <c r="AD106" i="9"/>
  <c r="X44" i="9"/>
  <c r="L32" i="9"/>
  <c r="W47" i="2"/>
  <c r="R105" i="2"/>
  <c r="AO69" i="9"/>
  <c r="AI101" i="2"/>
  <c r="B82" i="9"/>
  <c r="M106" i="9"/>
  <c r="AM39" i="2"/>
  <c r="AM32" i="2"/>
  <c r="AB26" i="9"/>
  <c r="AP105" i="2"/>
  <c r="G53" i="2"/>
  <c r="AV29" i="2"/>
  <c r="AL14" i="2"/>
  <c r="K59" i="9"/>
  <c r="L27" i="9"/>
  <c r="AD60" i="9"/>
  <c r="AA82" i="2"/>
  <c r="AI44" i="9"/>
  <c r="AZ25" i="2"/>
  <c r="AS68" i="2"/>
  <c r="I110" i="9"/>
  <c r="AM97" i="2"/>
  <c r="V46" i="2"/>
  <c r="Z60" i="9"/>
  <c r="AP68" i="9"/>
  <c r="AL91" i="2"/>
  <c r="AI80" i="9"/>
  <c r="AB104" i="2"/>
  <c r="AG75" i="2"/>
  <c r="AK69" i="2"/>
  <c r="U84" i="9"/>
  <c r="N12" i="9"/>
  <c r="AL57" i="2"/>
  <c r="E57" i="2"/>
  <c r="I47" i="9"/>
  <c r="AP31" i="2"/>
  <c r="AA58" i="2"/>
  <c r="E22" i="2"/>
  <c r="V43" i="2"/>
  <c r="V85" i="9"/>
  <c r="AV31" i="2"/>
  <c r="AM21" i="9"/>
  <c r="V16" i="9"/>
  <c r="AG85" i="2"/>
  <c r="E38" i="2"/>
  <c r="E72" i="2"/>
  <c r="F83" i="2"/>
  <c r="T25" i="2"/>
  <c r="E66" i="2"/>
  <c r="K78" i="2"/>
  <c r="AK57" i="2"/>
  <c r="AP92" i="9"/>
  <c r="AP69" i="9"/>
  <c r="AZ59" i="2"/>
  <c r="AZ50" i="2"/>
  <c r="AR33" i="2"/>
  <c r="I90" i="9"/>
  <c r="S47" i="2"/>
  <c r="AC85" i="2"/>
  <c r="AR39" i="2"/>
  <c r="K108" i="2"/>
  <c r="M60" i="2"/>
  <c r="K32" i="2"/>
  <c r="H60" i="2"/>
  <c r="N42" i="9"/>
  <c r="AV97" i="2"/>
  <c r="AA56" i="2"/>
  <c r="AO46" i="9"/>
  <c r="AA36" i="2"/>
  <c r="R77" i="2"/>
  <c r="AN42" i="9"/>
  <c r="B48" i="2"/>
  <c r="AI85" i="9"/>
  <c r="G45" i="2"/>
  <c r="AZ21" i="2"/>
  <c r="W67" i="2"/>
  <c r="AU89" i="9"/>
  <c r="AP15" i="9"/>
  <c r="I54" i="9"/>
  <c r="B45" i="9"/>
  <c r="C45" i="9"/>
  <c r="AV19" i="9"/>
  <c r="AV71" i="9"/>
  <c r="B103" i="9"/>
  <c r="Y36" i="2"/>
  <c r="Y35" i="2"/>
  <c r="AU74" i="9"/>
  <c r="AV27" i="9"/>
  <c r="AV85" i="9"/>
  <c r="G19" i="9"/>
  <c r="AD28" i="9"/>
  <c r="AB88" i="2"/>
  <c r="I59" i="2"/>
  <c r="F69" i="2"/>
  <c r="V64" i="9"/>
  <c r="AX60" i="2"/>
  <c r="M50" i="2"/>
  <c r="AD24" i="9"/>
  <c r="S18" i="2"/>
  <c r="M95" i="2"/>
  <c r="G22" i="2"/>
  <c r="G44" i="2"/>
  <c r="AX57" i="2"/>
  <c r="W94" i="2"/>
  <c r="AM76" i="2"/>
  <c r="K70" i="2"/>
  <c r="AM20" i="9"/>
  <c r="AD98" i="9"/>
  <c r="M66" i="2"/>
  <c r="AJ75" i="2"/>
  <c r="G93" i="9"/>
  <c r="AI98" i="9"/>
  <c r="AM78" i="9"/>
  <c r="AP79" i="2"/>
  <c r="AO12" i="9"/>
  <c r="K78" i="9"/>
  <c r="AP84" i="2"/>
  <c r="L56" i="9"/>
  <c r="AU63" i="9"/>
  <c r="AA36" i="9"/>
  <c r="H72" i="2"/>
  <c r="U97" i="9"/>
  <c r="K69" i="9"/>
  <c r="E84" i="2"/>
  <c r="AA71" i="2"/>
  <c r="U98" i="9"/>
  <c r="U28" i="9"/>
  <c r="AU91" i="9"/>
  <c r="AO53" i="2"/>
  <c r="AO52" i="2"/>
  <c r="BB97" i="2"/>
  <c r="AV60" i="2"/>
  <c r="Z78" i="9"/>
  <c r="F21" i="2"/>
  <c r="T97" i="2"/>
  <c r="U67" i="9"/>
  <c r="AV54" i="9"/>
  <c r="AH75" i="2"/>
  <c r="AP56" i="9"/>
  <c r="BC13" i="9"/>
  <c r="BC12" i="9"/>
  <c r="N87" i="9"/>
  <c r="AW14" i="2"/>
  <c r="AW13" i="2"/>
  <c r="AW11" i="2"/>
  <c r="B55" i="2"/>
  <c r="AN77" i="9"/>
  <c r="AE95" i="9"/>
  <c r="R30" i="2"/>
  <c r="N91" i="9"/>
  <c r="W57" i="2"/>
  <c r="V97" i="2"/>
  <c r="N26" i="9"/>
  <c r="AM75" i="2"/>
  <c r="AM98" i="2"/>
  <c r="AZ58" i="2"/>
  <c r="AA108" i="9"/>
  <c r="AB91" i="9"/>
  <c r="U45" i="9"/>
  <c r="X11" i="2"/>
  <c r="AI84" i="9"/>
  <c r="S77" i="2"/>
  <c r="I63" i="9"/>
  <c r="AK104" i="2"/>
  <c r="AE15" i="9"/>
  <c r="AP91" i="2"/>
  <c r="R85" i="2"/>
  <c r="AQ31" i="9"/>
  <c r="AB84" i="2"/>
  <c r="I41" i="9"/>
  <c r="V70" i="2"/>
  <c r="B46" i="2"/>
  <c r="L50" i="9"/>
  <c r="H15" i="2"/>
  <c r="I79" i="9"/>
  <c r="AC27" i="2"/>
  <c r="AD63" i="9"/>
  <c r="AL101" i="2"/>
  <c r="S70" i="2"/>
  <c r="S36" i="2"/>
  <c r="AB19" i="9"/>
  <c r="H54" i="2"/>
  <c r="M82" i="2"/>
  <c r="E90" i="2"/>
  <c r="R87" i="9"/>
  <c r="AM93" i="9"/>
  <c r="V107" i="9"/>
  <c r="AV25" i="9"/>
  <c r="AC18" i="2"/>
  <c r="AE26" i="9"/>
  <c r="X15" i="2"/>
  <c r="M41" i="2"/>
  <c r="AS109" i="2"/>
  <c r="J54" i="9"/>
  <c r="J75" i="9"/>
  <c r="AB89" i="9"/>
  <c r="K105" i="9"/>
  <c r="AA90" i="9"/>
  <c r="I23" i="2"/>
  <c r="AA104" i="2"/>
  <c r="AM54" i="2"/>
  <c r="AS36" i="9"/>
  <c r="AJ64" i="2"/>
  <c r="AR17" i="2"/>
  <c r="AZ18" i="9"/>
  <c r="U20" i="9"/>
  <c r="K40" i="2"/>
  <c r="AL21" i="2"/>
  <c r="AB15" i="2"/>
  <c r="AE22" i="9"/>
  <c r="AI30" i="9"/>
  <c r="AB50" i="9"/>
  <c r="F63" i="2"/>
  <c r="J79" i="9"/>
  <c r="V57" i="9"/>
  <c r="K74" i="2"/>
  <c r="AZ55" i="2"/>
  <c r="K71" i="9"/>
  <c r="AB80" i="2"/>
  <c r="AS23" i="2"/>
  <c r="AI77" i="2"/>
  <c r="BB45" i="2"/>
  <c r="AM60" i="9"/>
  <c r="AJ29" i="2"/>
  <c r="AX56" i="2"/>
  <c r="B111" i="9"/>
  <c r="S39" i="2"/>
  <c r="AS15" i="9"/>
  <c r="Z87" i="9"/>
  <c r="AJ93" i="2"/>
  <c r="AE90" i="9"/>
  <c r="V80" i="2"/>
  <c r="G21" i="9"/>
  <c r="E13" i="2"/>
  <c r="D14" i="9"/>
  <c r="AX90" i="2"/>
  <c r="AC70" i="2"/>
  <c r="AB16" i="9"/>
  <c r="G49" i="2"/>
  <c r="T53" i="2"/>
  <c r="J83" i="9"/>
  <c r="AS90" i="2"/>
  <c r="BB78" i="2"/>
  <c r="AM95" i="9"/>
  <c r="AS49" i="9"/>
  <c r="K18" i="2"/>
  <c r="AI65" i="9"/>
  <c r="AM94" i="2"/>
  <c r="AD55" i="9"/>
  <c r="AA54" i="2"/>
  <c r="N77" i="9"/>
  <c r="AU80" i="9"/>
  <c r="AB46" i="2"/>
  <c r="AM30" i="9"/>
  <c r="AP24" i="2"/>
  <c r="E47" i="2"/>
  <c r="S68" i="2"/>
  <c r="AQ69" i="9"/>
  <c r="M36" i="2"/>
  <c r="Z108" i="9"/>
  <c r="V67" i="9"/>
  <c r="G65" i="9"/>
  <c r="AU56" i="9"/>
  <c r="J108" i="9"/>
  <c r="V84" i="9"/>
  <c r="N82" i="9"/>
  <c r="E71" i="2"/>
  <c r="R34" i="9"/>
  <c r="E108" i="2"/>
  <c r="E44" i="2"/>
  <c r="M74" i="9"/>
  <c r="AA79" i="9"/>
  <c r="AJ21" i="2"/>
  <c r="V24" i="2"/>
  <c r="AA63" i="2"/>
  <c r="AA39" i="9"/>
  <c r="AQ110" i="9"/>
  <c r="AL35" i="9"/>
  <c r="D43" i="9"/>
  <c r="B43" i="9"/>
  <c r="C43" i="9"/>
  <c r="H75" i="9"/>
  <c r="H74" i="9"/>
  <c r="W102" i="9"/>
  <c r="AV72" i="2"/>
  <c r="AN50" i="9"/>
  <c r="AK78" i="2"/>
  <c r="AK105" i="2"/>
  <c r="D66" i="2"/>
  <c r="N31" i="9"/>
  <c r="AK80" i="2"/>
  <c r="BB13" i="2"/>
  <c r="BB80" i="2"/>
  <c r="AV98" i="2"/>
  <c r="AZ27" i="9"/>
  <c r="V71" i="2"/>
  <c r="AA57" i="2"/>
  <c r="V28" i="2"/>
  <c r="M93" i="9"/>
  <c r="M18" i="9"/>
  <c r="B106" i="9"/>
  <c r="G55" i="9"/>
  <c r="AE77" i="9"/>
  <c r="F44" i="2"/>
  <c r="B47" i="2"/>
  <c r="G39" i="9"/>
  <c r="AR45" i="2"/>
  <c r="D109" i="2"/>
  <c r="K49" i="2"/>
  <c r="AP74" i="2"/>
  <c r="B21" i="2"/>
  <c r="AE93" i="9"/>
  <c r="AZ89" i="9"/>
  <c r="M21" i="9"/>
  <c r="AZ42" i="2"/>
  <c r="Z44" i="9"/>
  <c r="AI41" i="9"/>
  <c r="AV25" i="2"/>
  <c r="F76" i="2"/>
  <c r="AB105" i="9"/>
  <c r="AA64" i="9"/>
  <c r="AB32" i="9"/>
  <c r="AR68" i="2"/>
  <c r="AX26" i="2"/>
  <c r="AB69" i="2"/>
  <c r="AG95" i="2"/>
  <c r="AX49" i="2"/>
  <c r="AX93" i="2"/>
  <c r="AW110" i="9"/>
  <c r="AB41" i="2"/>
  <c r="AB72" i="9"/>
  <c r="AX84" i="2"/>
  <c r="AX69" i="2"/>
  <c r="K110" i="9"/>
  <c r="AG18" i="2"/>
  <c r="BB13" i="9"/>
  <c r="BB12" i="9"/>
  <c r="AI80" i="2"/>
  <c r="AC78" i="2"/>
  <c r="M94" i="2"/>
  <c r="AC46" i="2"/>
  <c r="AB69" i="9"/>
  <c r="AI17" i="2"/>
  <c r="AW18" i="9"/>
  <c r="AB85" i="2"/>
  <c r="AB30" i="2"/>
  <c r="AR59" i="2"/>
  <c r="AG56" i="2"/>
  <c r="R103" i="2"/>
  <c r="AG20" i="2"/>
  <c r="AI27" i="2"/>
  <c r="R109" i="2"/>
  <c r="AG31" i="2"/>
  <c r="AS13" i="2"/>
  <c r="AB30" i="9"/>
  <c r="AW56" i="9"/>
  <c r="G79" i="2"/>
  <c r="X21" i="2"/>
  <c r="S53" i="2"/>
  <c r="AN46" i="9"/>
  <c r="X104" i="2"/>
  <c r="U65" i="9"/>
  <c r="T40" i="2"/>
  <c r="X72" i="2"/>
  <c r="U81" i="9"/>
  <c r="H105" i="2"/>
  <c r="AW36" i="2"/>
  <c r="N95" i="9"/>
  <c r="AS67" i="2"/>
  <c r="S65" i="2"/>
  <c r="AZ32" i="9"/>
  <c r="AE49" i="9"/>
  <c r="AI63" i="2"/>
  <c r="AJ44" i="2"/>
  <c r="R53" i="2"/>
  <c r="Z85" i="9"/>
  <c r="AC58" i="2"/>
  <c r="V65" i="2"/>
  <c r="AS77" i="9"/>
  <c r="AM21" i="2"/>
  <c r="AU76" i="9"/>
  <c r="M31" i="2"/>
  <c r="K45" i="2"/>
  <c r="V13" i="2"/>
  <c r="AE38" i="9"/>
  <c r="AJ78" i="2"/>
  <c r="AB45" i="2"/>
  <c r="AB98" i="2"/>
  <c r="AX13" i="9"/>
  <c r="AX12" i="9"/>
  <c r="AI13" i="2"/>
  <c r="S109" i="2"/>
  <c r="N48" i="9"/>
  <c r="B66" i="2"/>
  <c r="AA79" i="2"/>
  <c r="AX23" i="9"/>
  <c r="H31" i="2"/>
  <c r="I80" i="2"/>
  <c r="AA77" i="2"/>
  <c r="X47" i="9"/>
  <c r="R28" i="2"/>
  <c r="I46" i="9"/>
  <c r="U38" i="9"/>
  <c r="R46" i="2"/>
  <c r="M104" i="2"/>
  <c r="M13" i="2"/>
  <c r="I29" i="9"/>
  <c r="AO70" i="9"/>
  <c r="G79" i="9"/>
  <c r="AJ106" i="2"/>
  <c r="AA20" i="2"/>
  <c r="X77" i="9"/>
  <c r="AZ59" i="9"/>
  <c r="AN76" i="9"/>
  <c r="V89" i="9"/>
  <c r="S41" i="2"/>
  <c r="V46" i="9"/>
  <c r="AW24" i="2"/>
  <c r="AQ91" i="9"/>
  <c r="AN27" i="9"/>
  <c r="BA103" i="9"/>
  <c r="M79" i="2"/>
  <c r="AW15" i="2"/>
  <c r="H48" i="2"/>
  <c r="I80" i="9"/>
  <c r="AD23" i="9"/>
  <c r="M46" i="2"/>
  <c r="R65" i="2"/>
  <c r="T85" i="2"/>
  <c r="S20" i="2"/>
  <c r="N85" i="9"/>
  <c r="AX56" i="9"/>
  <c r="AG32" i="2"/>
  <c r="AW31" i="2"/>
  <c r="D87" i="2"/>
  <c r="B87" i="2"/>
  <c r="AS57" i="9"/>
  <c r="G84" i="9"/>
  <c r="AZ93" i="9"/>
  <c r="AX83" i="2"/>
  <c r="W72" i="2"/>
  <c r="V101" i="2"/>
  <c r="T59" i="2"/>
  <c r="AW12" i="9"/>
  <c r="K48" i="2"/>
  <c r="J50" i="9"/>
  <c r="H56" i="2"/>
  <c r="AK20" i="2"/>
  <c r="W48" i="2"/>
  <c r="AB17" i="2"/>
  <c r="AN38" i="9"/>
  <c r="B65" i="2"/>
  <c r="AS23" i="9"/>
  <c r="X102" i="9"/>
  <c r="BB63" i="9"/>
  <c r="AW46" i="2"/>
  <c r="AW103" i="9"/>
  <c r="AB53" i="2"/>
  <c r="R93" i="2"/>
  <c r="G95" i="9"/>
  <c r="M55" i="2"/>
  <c r="B26" i="9"/>
  <c r="AB14" i="9"/>
  <c r="H82" i="2"/>
  <c r="N60" i="9"/>
  <c r="BA69" i="2"/>
  <c r="AX82" i="9"/>
  <c r="BB20" i="9"/>
  <c r="BA33" i="2"/>
  <c r="S103" i="2"/>
  <c r="W40" i="2"/>
  <c r="D27" i="2"/>
  <c r="AD111" i="9"/>
  <c r="AU32" i="9"/>
  <c r="Z15" i="9"/>
  <c r="AM38" i="2"/>
  <c r="F38" i="2"/>
  <c r="AP78" i="2"/>
  <c r="BB48" i="2"/>
  <c r="AP46" i="9"/>
  <c r="K64" i="2"/>
  <c r="AL79" i="2"/>
  <c r="AL67" i="2"/>
  <c r="AZ98" i="9"/>
  <c r="G58" i="2"/>
  <c r="R57" i="2"/>
  <c r="AA30" i="9"/>
  <c r="Z72" i="9"/>
  <c r="AS43" i="9"/>
  <c r="X18" i="2"/>
  <c r="AF14" i="2"/>
  <c r="AV92" i="2"/>
  <c r="AY104" i="2"/>
  <c r="AB36" i="2"/>
  <c r="AM20" i="2"/>
  <c r="AP104" i="2"/>
  <c r="AP31" i="9"/>
  <c r="I30" i="9"/>
  <c r="B21" i="9"/>
  <c r="AL32" i="9"/>
  <c r="AN91" i="9"/>
  <c r="AJ33" i="2"/>
  <c r="F95" i="2"/>
  <c r="AZ68" i="2"/>
  <c r="BA57" i="9"/>
  <c r="AN90" i="2"/>
  <c r="E106" i="2"/>
  <c r="E89" i="2"/>
  <c r="S67" i="9"/>
  <c r="B45" i="2"/>
  <c r="S22" i="9"/>
  <c r="AP32" i="9"/>
  <c r="AO72" i="9"/>
  <c r="AF23" i="2"/>
  <c r="BC59" i="9"/>
  <c r="AY20" i="2"/>
  <c r="W87" i="9"/>
  <c r="AA45" i="2"/>
  <c r="AG89" i="2"/>
  <c r="AI85" i="2"/>
  <c r="AB25" i="9"/>
  <c r="AN45" i="9"/>
  <c r="T41" i="2"/>
  <c r="I49" i="2"/>
  <c r="AI47" i="2"/>
  <c r="AR77" i="2"/>
  <c r="AS54" i="9"/>
  <c r="V78" i="9"/>
  <c r="K47" i="9"/>
  <c r="AB45" i="9"/>
  <c r="R83" i="2"/>
  <c r="F85" i="2"/>
  <c r="AG26" i="2"/>
  <c r="AF66" i="2"/>
  <c r="E28" i="2"/>
  <c r="BA40" i="9"/>
  <c r="AF102" i="2"/>
  <c r="AI108" i="2"/>
  <c r="AA96" i="2"/>
  <c r="AI105" i="2"/>
  <c r="AX64" i="2"/>
  <c r="R47" i="9"/>
  <c r="S70" i="9"/>
  <c r="AJ101" i="2"/>
  <c r="AF18" i="2"/>
  <c r="AM55" i="2"/>
  <c r="AO48" i="9"/>
  <c r="M49" i="9"/>
  <c r="D95" i="9"/>
  <c r="AW101" i="2"/>
  <c r="AZ97" i="2"/>
  <c r="W21" i="9"/>
  <c r="U78" i="9"/>
  <c r="H77" i="9"/>
  <c r="BB23" i="9"/>
  <c r="AH71" i="2"/>
  <c r="BB95" i="9"/>
  <c r="AV82" i="9"/>
  <c r="Q100" i="2"/>
  <c r="K36" i="9"/>
  <c r="AS69" i="2"/>
  <c r="AL60" i="2"/>
  <c r="AV47" i="2"/>
  <c r="K24" i="2"/>
  <c r="BA38" i="2"/>
  <c r="AA88" i="2"/>
  <c r="AX88" i="2"/>
  <c r="S76" i="2"/>
  <c r="AN95" i="2"/>
  <c r="AM68" i="9"/>
  <c r="BB96" i="2"/>
  <c r="AM58" i="9"/>
  <c r="U95" i="2"/>
  <c r="BC75" i="9"/>
  <c r="AA37" i="2"/>
  <c r="BC68" i="9"/>
  <c r="AO85" i="2"/>
  <c r="AM72" i="9"/>
  <c r="M22" i="2"/>
  <c r="AO83" i="2"/>
  <c r="AO48" i="2"/>
  <c r="L91" i="9"/>
  <c r="R36" i="2"/>
  <c r="AQ46" i="9"/>
  <c r="X31" i="2"/>
  <c r="K31" i="9"/>
  <c r="K37" i="9"/>
  <c r="AQ58" i="9"/>
  <c r="I21" i="9"/>
  <c r="AG77" i="9"/>
  <c r="Z105" i="9"/>
  <c r="BB22" i="9"/>
  <c r="AU79" i="9"/>
  <c r="X84" i="9"/>
  <c r="E26" i="2"/>
  <c r="AN96" i="2"/>
  <c r="X49" i="2"/>
  <c r="AL96" i="9"/>
  <c r="BA31" i="2"/>
  <c r="AL20" i="2"/>
  <c r="AL103" i="2"/>
  <c r="G89" i="9"/>
  <c r="AB93" i="2"/>
  <c r="H90" i="2"/>
  <c r="AU29" i="9"/>
  <c r="F109" i="2"/>
  <c r="N88" i="2"/>
  <c r="N87" i="2"/>
  <c r="BC64" i="9"/>
  <c r="O97" i="2"/>
  <c r="AW54" i="9"/>
  <c r="AB47" i="9"/>
  <c r="AJ108" i="2"/>
  <c r="M46" i="9"/>
  <c r="AX80" i="9"/>
  <c r="AO47" i="2"/>
  <c r="AW90" i="9"/>
  <c r="AN23" i="9"/>
  <c r="AS48" i="9"/>
  <c r="I57" i="2"/>
  <c r="AF60" i="2"/>
  <c r="AX105" i="2"/>
  <c r="AP83" i="2"/>
  <c r="AW41" i="9"/>
  <c r="BA13" i="2"/>
  <c r="BA11" i="2"/>
  <c r="I89" i="2"/>
  <c r="AL30" i="2"/>
  <c r="G43" i="9"/>
  <c r="S72" i="2"/>
  <c r="R81" i="9"/>
  <c r="AP54" i="9"/>
  <c r="O54" i="2"/>
  <c r="AU37" i="9"/>
  <c r="BC36" i="9"/>
  <c r="AL13" i="2"/>
  <c r="AE92" i="2"/>
  <c r="D37" i="9"/>
  <c r="R80" i="9"/>
  <c r="AH21" i="2"/>
  <c r="AK68" i="2"/>
  <c r="S105" i="2"/>
  <c r="R72" i="9"/>
  <c r="AX109" i="2"/>
  <c r="B22" i="9"/>
  <c r="C22" i="9"/>
  <c r="U93" i="2"/>
  <c r="AX35" i="9"/>
  <c r="AR13" i="9"/>
  <c r="AR12" i="9"/>
  <c r="AR10" i="9"/>
  <c r="W27" i="9"/>
  <c r="C78" i="2"/>
  <c r="U58" i="2"/>
  <c r="BB16" i="9"/>
  <c r="AP111" i="9"/>
  <c r="AH50" i="2"/>
  <c r="O32" i="2"/>
  <c r="H90" i="9"/>
  <c r="AV84" i="9"/>
  <c r="R42" i="9"/>
  <c r="Z36" i="9"/>
  <c r="AZ96" i="2"/>
  <c r="AJ13" i="9"/>
  <c r="AN85" i="2"/>
  <c r="J38" i="9"/>
  <c r="AW94" i="2"/>
  <c r="AH104" i="2"/>
  <c r="B93" i="9"/>
  <c r="AA87" i="2"/>
  <c r="O64" i="2"/>
  <c r="AE27" i="2"/>
  <c r="AE55" i="2"/>
  <c r="AH95" i="2"/>
  <c r="AE36" i="2"/>
  <c r="AN64" i="2"/>
  <c r="R76" i="9"/>
  <c r="H48" i="9"/>
  <c r="AF55" i="2"/>
  <c r="E46" i="2"/>
  <c r="AV108" i="9"/>
  <c r="Z14" i="9"/>
  <c r="AK28" i="2"/>
  <c r="AP98" i="2"/>
  <c r="BB35" i="9"/>
  <c r="AR22" i="2"/>
  <c r="AU60" i="9"/>
  <c r="H89" i="9"/>
  <c r="AS84" i="9"/>
  <c r="BA46" i="9"/>
  <c r="BA108" i="2"/>
  <c r="AO101" i="2"/>
  <c r="AG47" i="2"/>
  <c r="AP53" i="2"/>
  <c r="AS85" i="2"/>
  <c r="AG105" i="2"/>
  <c r="AA46" i="2"/>
  <c r="AP38" i="9"/>
  <c r="AG70" i="9"/>
  <c r="F40" i="2"/>
  <c r="M60" i="9"/>
  <c r="K103" i="9"/>
  <c r="AV90" i="2"/>
  <c r="AU27" i="9"/>
  <c r="F18" i="2"/>
  <c r="BB64" i="9"/>
  <c r="AD48" i="9"/>
  <c r="AA92" i="2"/>
  <c r="AG55" i="2"/>
  <c r="AW76" i="9"/>
  <c r="AN103" i="9"/>
  <c r="BC41" i="9"/>
  <c r="L42" i="9"/>
  <c r="AP91" i="9"/>
  <c r="I95" i="9"/>
  <c r="H87" i="9"/>
  <c r="S63" i="9"/>
  <c r="AG53" i="2"/>
  <c r="U89" i="9"/>
  <c r="AG46" i="9"/>
  <c r="AY55" i="9"/>
  <c r="AL83" i="9"/>
  <c r="N10" i="9"/>
  <c r="AO75" i="2"/>
  <c r="AU38" i="9"/>
  <c r="W56" i="9"/>
  <c r="AS108" i="9"/>
  <c r="AA31" i="2"/>
  <c r="G19" i="2"/>
  <c r="K64" i="9"/>
  <c r="AQ55" i="9"/>
  <c r="R97" i="9"/>
  <c r="H65" i="9"/>
  <c r="O59" i="9"/>
  <c r="O81" i="9"/>
  <c r="W67" i="9"/>
  <c r="H79" i="9"/>
  <c r="V100" i="2"/>
  <c r="AH36" i="2"/>
  <c r="S68" i="9"/>
  <c r="W66" i="9"/>
  <c r="BB34" i="9"/>
  <c r="H35" i="9"/>
  <c r="H34" i="9"/>
  <c r="AH68" i="2"/>
  <c r="BA26" i="2"/>
  <c r="I105" i="9"/>
  <c r="AI67" i="9"/>
  <c r="AV95" i="2"/>
  <c r="W64" i="2"/>
  <c r="AA89" i="2"/>
  <c r="AS48" i="2"/>
  <c r="X24" i="9"/>
  <c r="AE106" i="9"/>
  <c r="AR28" i="2"/>
  <c r="AS24" i="2"/>
  <c r="AN70" i="9"/>
  <c r="I76" i="2"/>
  <c r="AO50" i="9"/>
  <c r="AN75" i="9"/>
  <c r="AA110" i="9"/>
  <c r="AA91" i="2"/>
  <c r="AG25" i="2"/>
  <c r="V91" i="2"/>
  <c r="N46" i="9"/>
  <c r="I17" i="9"/>
  <c r="N35" i="9"/>
  <c r="N70" i="9"/>
  <c r="H64" i="2"/>
  <c r="X78" i="9"/>
  <c r="W76" i="2"/>
  <c r="AA84" i="2"/>
  <c r="M57" i="2"/>
  <c r="AP96" i="2"/>
  <c r="L49" i="9"/>
  <c r="AA43" i="9"/>
  <c r="AJ85" i="2"/>
  <c r="X63" i="2"/>
  <c r="F31" i="2"/>
  <c r="AZ38" i="2"/>
  <c r="AO47" i="9"/>
  <c r="AD10" i="9"/>
  <c r="AS64" i="2"/>
  <c r="AL29" i="2"/>
  <c r="AR109" i="2"/>
  <c r="F41" i="2"/>
  <c r="G78" i="2"/>
  <c r="I15" i="9"/>
  <c r="L43" i="9"/>
  <c r="N45" i="9"/>
  <c r="U32" i="9"/>
  <c r="BB47" i="2"/>
  <c r="AM92" i="9"/>
  <c r="AB20" i="2"/>
  <c r="AG41" i="2"/>
  <c r="U83" i="9"/>
  <c r="AM67" i="9"/>
  <c r="AM69" i="9"/>
  <c r="T35" i="9"/>
  <c r="H89" i="2"/>
  <c r="M93" i="2"/>
  <c r="W21" i="2"/>
  <c r="X41" i="9"/>
  <c r="AE70" i="9"/>
  <c r="AL71" i="2"/>
  <c r="AU93" i="9"/>
  <c r="AQ84" i="9"/>
  <c r="AP109" i="2"/>
  <c r="AJ79" i="2"/>
  <c r="AZ97" i="9"/>
  <c r="AK33" i="2"/>
  <c r="M38" i="9"/>
  <c r="AV36" i="2"/>
  <c r="X21" i="9"/>
  <c r="AO19" i="9"/>
  <c r="V110" i="9"/>
  <c r="AS25" i="2"/>
  <c r="AG72" i="2"/>
  <c r="I111" i="9"/>
  <c r="H67" i="2"/>
  <c r="AD83" i="9"/>
  <c r="AX22" i="2"/>
  <c r="N30" i="9"/>
  <c r="AQ101" i="2"/>
  <c r="P103" i="9"/>
  <c r="V38" i="9"/>
  <c r="V56" i="9"/>
  <c r="AR47" i="2"/>
  <c r="BC63" i="9"/>
  <c r="X15" i="9"/>
  <c r="AC84" i="2"/>
  <c r="Z70" i="9"/>
  <c r="W24" i="2"/>
  <c r="X85" i="9"/>
  <c r="L107" i="9"/>
  <c r="AU26" i="9"/>
  <c r="AO79" i="9"/>
  <c r="AC108" i="2"/>
  <c r="AL97" i="2"/>
  <c r="B59" i="9"/>
  <c r="AO64" i="9"/>
  <c r="AW50" i="9"/>
  <c r="X96" i="2"/>
  <c r="AJ25" i="2"/>
  <c r="BC69" i="9"/>
  <c r="X50" i="9"/>
  <c r="AX104" i="9"/>
  <c r="W65" i="9"/>
  <c r="G92" i="9"/>
  <c r="V89" i="2"/>
  <c r="AP106" i="2"/>
  <c r="AU31" i="9"/>
  <c r="AN12" i="9"/>
  <c r="BC71" i="9"/>
  <c r="AK60" i="2"/>
  <c r="J55" i="9"/>
  <c r="H110" i="9"/>
  <c r="V27" i="2"/>
  <c r="U26" i="9"/>
  <c r="BB38" i="9"/>
  <c r="AG47" i="9"/>
  <c r="L102" i="9"/>
  <c r="C40" i="9"/>
  <c r="U71" i="9"/>
  <c r="AI107" i="9"/>
  <c r="AJ84" i="2"/>
  <c r="E39" i="2"/>
  <c r="H65" i="2"/>
  <c r="G15" i="9"/>
  <c r="Z50" i="9"/>
  <c r="K44" i="2"/>
  <c r="AI24" i="2"/>
  <c r="BC98" i="9"/>
  <c r="AW18" i="2"/>
  <c r="AO78" i="9"/>
  <c r="AL42" i="9"/>
  <c r="S15" i="9"/>
  <c r="M56" i="2"/>
  <c r="AN56" i="9"/>
  <c r="AX71" i="9"/>
  <c r="AP93" i="9"/>
  <c r="S25" i="9"/>
  <c r="AG57" i="9"/>
  <c r="AV52" i="2"/>
  <c r="E32" i="2"/>
  <c r="Q88" i="2"/>
  <c r="I95" i="2"/>
  <c r="S81" i="9"/>
  <c r="AL45" i="9"/>
  <c r="AO70" i="2"/>
  <c r="AL24" i="9"/>
  <c r="AH100" i="2"/>
  <c r="AE82" i="9"/>
  <c r="B107" i="9"/>
  <c r="AL65" i="9"/>
  <c r="U95" i="9"/>
  <c r="W60" i="9"/>
  <c r="AL48" i="2"/>
  <c r="AC94" i="2"/>
  <c r="AQ66" i="9"/>
  <c r="AR91" i="2"/>
  <c r="AZ12" i="9"/>
  <c r="W104" i="9"/>
  <c r="BA89" i="9"/>
  <c r="R75" i="9"/>
  <c r="M83" i="9"/>
  <c r="AU103" i="9"/>
  <c r="M79" i="9"/>
  <c r="AB21" i="9"/>
  <c r="Z98" i="2"/>
  <c r="AO96" i="9"/>
  <c r="AF25" i="2"/>
  <c r="AR103" i="2"/>
  <c r="C17" i="2"/>
  <c r="BA109" i="2"/>
  <c r="AR106" i="2"/>
  <c r="V75" i="9"/>
  <c r="AM90" i="9"/>
  <c r="W97" i="9"/>
  <c r="S54" i="2"/>
  <c r="AA17" i="9"/>
  <c r="M65" i="9"/>
  <c r="AQ85" i="2"/>
  <c r="B70" i="9"/>
  <c r="C70" i="9"/>
  <c r="W96" i="9"/>
  <c r="Z64" i="2"/>
  <c r="AX92" i="9"/>
  <c r="AV79" i="9"/>
  <c r="BC44" i="9"/>
  <c r="B23" i="9"/>
  <c r="AV107" i="9"/>
  <c r="Z42" i="2"/>
  <c r="AV60" i="9"/>
  <c r="T79" i="9"/>
  <c r="H85" i="9"/>
  <c r="H14" i="9"/>
  <c r="AF76" i="2"/>
  <c r="AF24" i="2"/>
  <c r="AV40" i="9"/>
  <c r="Y89" i="9"/>
  <c r="AV41" i="9"/>
  <c r="C87" i="9"/>
  <c r="AV91" i="9"/>
  <c r="AV26" i="9"/>
  <c r="W100" i="2"/>
  <c r="H57" i="9"/>
  <c r="AV17" i="9"/>
  <c r="R59" i="9"/>
  <c r="B50" i="9"/>
  <c r="R25" i="9"/>
  <c r="H71" i="9"/>
  <c r="N63" i="2"/>
  <c r="N62" i="2"/>
  <c r="H67" i="9"/>
  <c r="BA13" i="9"/>
  <c r="BA12" i="9"/>
  <c r="BA10" i="9"/>
  <c r="R16" i="9"/>
  <c r="BA75" i="2"/>
  <c r="AZ90" i="9"/>
  <c r="G106" i="2"/>
  <c r="L47" i="9"/>
  <c r="K49" i="9"/>
  <c r="AI31" i="2"/>
  <c r="X78" i="2"/>
  <c r="K65" i="9"/>
  <c r="AB85" i="9"/>
  <c r="AA78" i="2"/>
  <c r="K40" i="9"/>
  <c r="J95" i="9"/>
  <c r="AD71" i="9"/>
  <c r="R26" i="2"/>
  <c r="AB44" i="9"/>
  <c r="AF109" i="2"/>
  <c r="AM24" i="2"/>
  <c r="B42" i="9"/>
  <c r="AM65" i="9"/>
  <c r="AO106" i="9"/>
  <c r="AI24" i="9"/>
  <c r="AA26" i="9"/>
  <c r="BA47" i="2"/>
  <c r="M84" i="2"/>
  <c r="AO32" i="2"/>
  <c r="BA106" i="9"/>
  <c r="AJ75" i="9"/>
  <c r="E70" i="2"/>
  <c r="W68" i="9"/>
  <c r="U91" i="9"/>
  <c r="X66" i="9"/>
  <c r="BA43" i="9"/>
  <c r="BB60" i="9"/>
  <c r="AW59" i="2"/>
  <c r="AO71" i="2"/>
  <c r="AB38" i="2"/>
  <c r="BB39" i="2"/>
  <c r="E64" i="2"/>
  <c r="E55" i="2"/>
  <c r="AF46" i="2"/>
  <c r="BA72" i="2"/>
  <c r="Z76" i="2"/>
  <c r="T39" i="9"/>
  <c r="AP59" i="9"/>
  <c r="AP39" i="9"/>
  <c r="R103" i="9"/>
  <c r="BA53" i="2"/>
  <c r="AC62" i="9"/>
  <c r="AJ74" i="2"/>
  <c r="W81" i="2"/>
  <c r="AN36" i="2"/>
  <c r="I105" i="2"/>
  <c r="B27" i="2"/>
  <c r="I55" i="2"/>
  <c r="K25" i="9"/>
  <c r="AO90" i="9"/>
  <c r="R91" i="9"/>
  <c r="AG13" i="9"/>
  <c r="AG12" i="9"/>
  <c r="AG10" i="9"/>
  <c r="H98" i="2"/>
  <c r="U40" i="9"/>
  <c r="AB68" i="2"/>
  <c r="AM49" i="2"/>
  <c r="AU59" i="9"/>
  <c r="T30" i="2"/>
  <c r="Z96" i="9"/>
  <c r="AN76" i="2"/>
  <c r="AK66" i="2"/>
  <c r="Z38" i="2"/>
  <c r="V96" i="9"/>
  <c r="U14" i="9"/>
  <c r="AQ44" i="9"/>
  <c r="B72" i="9"/>
  <c r="R45" i="2"/>
  <c r="H93" i="2"/>
  <c r="BA41" i="9"/>
  <c r="AG83" i="2"/>
  <c r="X39" i="9"/>
  <c r="Z85" i="2"/>
  <c r="BB80" i="9"/>
  <c r="G62" i="9"/>
  <c r="V83" i="9"/>
  <c r="T63" i="9"/>
  <c r="AQ105" i="2"/>
  <c r="BB84" i="9"/>
  <c r="AI52" i="2"/>
  <c r="T106" i="9"/>
  <c r="BA23" i="2"/>
  <c r="AN70" i="2"/>
  <c r="AB18" i="2"/>
  <c r="AI55" i="2"/>
  <c r="AI33" i="2"/>
  <c r="AJ41" i="2"/>
  <c r="AW69" i="9"/>
  <c r="X101" i="2"/>
  <c r="V41" i="2"/>
  <c r="Z56" i="9"/>
  <c r="AP48" i="9"/>
  <c r="AC71" i="2"/>
  <c r="BA28" i="2"/>
  <c r="P13" i="9"/>
  <c r="AW91" i="2"/>
  <c r="AT58" i="2"/>
  <c r="Z26" i="2"/>
  <c r="AF63" i="2"/>
  <c r="AF62" i="2"/>
  <c r="AW54" i="2"/>
  <c r="AW84" i="2"/>
  <c r="AQ96" i="9"/>
  <c r="AV48" i="9"/>
  <c r="AQ68" i="2"/>
  <c r="AP110" i="9"/>
  <c r="AP44" i="9"/>
  <c r="AF15" i="2"/>
  <c r="BA59" i="2"/>
  <c r="N81" i="2"/>
  <c r="V93" i="2"/>
  <c r="AF101" i="2"/>
  <c r="W70" i="9"/>
  <c r="J18" i="9"/>
  <c r="AP30" i="9"/>
  <c r="AY59" i="2"/>
  <c r="AC54" i="9"/>
  <c r="Z91" i="2"/>
  <c r="Z17" i="2"/>
  <c r="AN69" i="2"/>
  <c r="T104" i="9"/>
  <c r="AT50" i="2"/>
  <c r="Y54" i="9"/>
  <c r="R23" i="9"/>
  <c r="S103" i="9"/>
  <c r="S102" i="9"/>
  <c r="G90" i="9"/>
  <c r="AE43" i="9"/>
  <c r="W22" i="2"/>
  <c r="G49" i="9"/>
  <c r="AM46" i="9"/>
  <c r="AT42" i="2"/>
  <c r="R32" i="9"/>
  <c r="BA85" i="2"/>
  <c r="R69" i="9"/>
  <c r="BC32" i="9"/>
  <c r="T32" i="9"/>
  <c r="I76" i="9"/>
  <c r="I48" i="2"/>
  <c r="AO45" i="2"/>
  <c r="AP108" i="9"/>
  <c r="AD80" i="9"/>
  <c r="AG71" i="2"/>
  <c r="AJ88" i="2"/>
  <c r="AP12" i="9"/>
  <c r="H41" i="2"/>
  <c r="AM39" i="9"/>
  <c r="AN50" i="2"/>
  <c r="BC60" i="9"/>
  <c r="AQ24" i="9"/>
  <c r="AC81" i="2"/>
  <c r="AQ64" i="9"/>
  <c r="W90" i="2"/>
  <c r="BA89" i="2"/>
  <c r="AG72" i="9"/>
  <c r="T70" i="2"/>
  <c r="F105" i="2"/>
  <c r="AU68" i="9"/>
  <c r="Z30" i="2"/>
  <c r="B38" i="2"/>
  <c r="AY111" i="9"/>
  <c r="AX44" i="9"/>
  <c r="D79" i="9"/>
  <c r="AA56" i="9"/>
  <c r="V36" i="9"/>
  <c r="AQ36" i="9"/>
  <c r="X71" i="9"/>
  <c r="N47" i="2"/>
  <c r="AJ82" i="2"/>
  <c r="BA14" i="9"/>
  <c r="AI29" i="2"/>
  <c r="AE41" i="2"/>
  <c r="AY23" i="9"/>
  <c r="W38" i="9"/>
  <c r="AC77" i="9"/>
  <c r="O41" i="2"/>
  <c r="AA106" i="9"/>
  <c r="X66" i="2"/>
  <c r="Z31" i="9"/>
  <c r="M54" i="2"/>
  <c r="AF89" i="9"/>
  <c r="AU95" i="9"/>
  <c r="AA108" i="2"/>
  <c r="AS85" i="9"/>
  <c r="AG56" i="9"/>
  <c r="Z37" i="2"/>
  <c r="O63" i="9"/>
  <c r="AP20" i="9"/>
  <c r="T45" i="9"/>
  <c r="AU67" i="9"/>
  <c r="AD19" i="9"/>
  <c r="AD41" i="9"/>
  <c r="AF53" i="2"/>
  <c r="AN38" i="2"/>
  <c r="K18" i="9"/>
  <c r="T82" i="9"/>
  <c r="AP52" i="2"/>
  <c r="BB91" i="9"/>
  <c r="Y19" i="9"/>
  <c r="AN21" i="2"/>
  <c r="AA70" i="2"/>
  <c r="I37" i="2"/>
  <c r="AJ83" i="2"/>
  <c r="AW37" i="2"/>
  <c r="B65" i="9"/>
  <c r="AL82" i="9"/>
  <c r="Z79" i="2"/>
  <c r="Y75" i="2"/>
  <c r="Y74" i="2"/>
  <c r="AY105" i="2"/>
  <c r="J63" i="2"/>
  <c r="AQ39" i="2"/>
  <c r="W108" i="9"/>
  <c r="Z75" i="2"/>
  <c r="S62" i="9"/>
  <c r="AK63" i="9"/>
  <c r="AH28" i="2"/>
  <c r="L75" i="2"/>
  <c r="F45" i="9"/>
  <c r="B79" i="9"/>
  <c r="BB75" i="2"/>
  <c r="AT104" i="2"/>
  <c r="AF84" i="9"/>
  <c r="O42" i="2"/>
  <c r="Z43" i="2"/>
  <c r="F30" i="9"/>
  <c r="AO66" i="2"/>
  <c r="AA30" i="2"/>
  <c r="AA93" i="2"/>
  <c r="U109" i="2"/>
  <c r="BA29" i="2"/>
  <c r="AC66" i="2"/>
  <c r="AT41" i="2"/>
  <c r="AP32" i="2"/>
  <c r="AU70" i="9"/>
  <c r="I42" i="2"/>
  <c r="W106" i="9"/>
  <c r="AL28" i="9"/>
  <c r="AI38" i="9"/>
  <c r="AL83" i="2"/>
  <c r="AZ70" i="9"/>
  <c r="AZ101" i="2"/>
  <c r="X42" i="9"/>
  <c r="X44" i="2"/>
  <c r="AX47" i="2"/>
  <c r="AF29" i="2"/>
  <c r="V53" i="2"/>
  <c r="AY84" i="2"/>
  <c r="AN72" i="9"/>
  <c r="T89" i="9"/>
  <c r="V103" i="9"/>
  <c r="AS81" i="2"/>
  <c r="AE76" i="9"/>
  <c r="M91" i="2"/>
  <c r="AR94" i="2"/>
  <c r="AR105" i="2"/>
  <c r="AW81" i="9"/>
  <c r="W82" i="9"/>
  <c r="AJ89" i="2"/>
  <c r="B66" i="9"/>
  <c r="U49" i="9"/>
  <c r="F55" i="2"/>
  <c r="BB105" i="9"/>
  <c r="AP80" i="9"/>
  <c r="AA15" i="2"/>
  <c r="AY88" i="2"/>
  <c r="V55" i="9"/>
  <c r="E97" i="2"/>
  <c r="E50" i="2"/>
  <c r="S23" i="9"/>
  <c r="E105" i="2"/>
  <c r="K72" i="9"/>
  <c r="AV24" i="2"/>
  <c r="BA58" i="2"/>
  <c r="BA21" i="2"/>
  <c r="W49" i="9"/>
  <c r="X93" i="2"/>
  <c r="AG102" i="2"/>
  <c r="T64" i="2"/>
  <c r="H39" i="2"/>
  <c r="K41" i="2"/>
  <c r="AS41" i="9"/>
  <c r="I101" i="2"/>
  <c r="AN91" i="2"/>
  <c r="AX52" i="2"/>
  <c r="AG64" i="2"/>
  <c r="AZ16" i="9"/>
  <c r="B25" i="9"/>
  <c r="C25" i="9"/>
  <c r="T54" i="9"/>
  <c r="AP16" i="9"/>
  <c r="AO109" i="2"/>
  <c r="AY32" i="2"/>
  <c r="AE110" i="9"/>
  <c r="I35" i="2"/>
  <c r="S56" i="9"/>
  <c r="BC96" i="9"/>
  <c r="V76" i="9"/>
  <c r="T66" i="9"/>
  <c r="AL16" i="9"/>
  <c r="H20" i="9"/>
  <c r="R50" i="9"/>
  <c r="J98" i="9"/>
  <c r="AK15" i="2"/>
  <c r="J24" i="9"/>
  <c r="AN54" i="2"/>
  <c r="AW83" i="9"/>
  <c r="BA19" i="2"/>
  <c r="AS21" i="9"/>
  <c r="AR108" i="2"/>
  <c r="AL59" i="2"/>
  <c r="AY33" i="2"/>
  <c r="B49" i="2"/>
  <c r="AL93" i="2"/>
  <c r="M97" i="9"/>
  <c r="B57" i="2"/>
  <c r="V81" i="2"/>
  <c r="K42" i="2"/>
  <c r="AO37" i="9"/>
  <c r="AQ77" i="9"/>
  <c r="AM45" i="2"/>
  <c r="AJ71" i="2"/>
  <c r="BC103" i="9"/>
  <c r="BC31" i="9"/>
  <c r="W41" i="2"/>
  <c r="B101" i="2"/>
  <c r="L63" i="9"/>
  <c r="U13" i="2"/>
  <c r="C82" i="9"/>
  <c r="AH74" i="2"/>
  <c r="AB87" i="2"/>
  <c r="BC10" i="9"/>
  <c r="C55" i="2"/>
  <c r="E11" i="2"/>
  <c r="AL34" i="9"/>
  <c r="BB11" i="2"/>
  <c r="BB10" i="9"/>
  <c r="V11" i="2"/>
  <c r="M11" i="2"/>
  <c r="BA102" i="9"/>
  <c r="AX30" i="9"/>
  <c r="AW10" i="9"/>
  <c r="AX108" i="9"/>
  <c r="AX31" i="9"/>
  <c r="S98" i="9"/>
  <c r="BB107" i="9"/>
  <c r="BB18" i="9"/>
  <c r="AF94" i="2"/>
  <c r="S83" i="9"/>
  <c r="BC30" i="9"/>
  <c r="S17" i="9"/>
  <c r="AF17" i="2"/>
  <c r="AX26" i="9"/>
  <c r="S21" i="9"/>
  <c r="BC25" i="9"/>
  <c r="AN37" i="2"/>
  <c r="BB76" i="9"/>
  <c r="S91" i="9"/>
  <c r="S30" i="9"/>
  <c r="C21" i="9"/>
  <c r="BC42" i="9"/>
  <c r="H41" i="9"/>
  <c r="AO78" i="2"/>
  <c r="AX17" i="9"/>
  <c r="BC106" i="9"/>
  <c r="BC65" i="9"/>
  <c r="BC28" i="9"/>
  <c r="AO43" i="2"/>
  <c r="BB50" i="9"/>
  <c r="AX65" i="9"/>
  <c r="AX96" i="9"/>
  <c r="O58" i="2"/>
  <c r="S105" i="9"/>
  <c r="AE50" i="2"/>
  <c r="AX87" i="2"/>
  <c r="B37" i="9"/>
  <c r="C37" i="9"/>
  <c r="O39" i="2"/>
  <c r="AX34" i="9"/>
  <c r="C106" i="9"/>
  <c r="BB28" i="9"/>
  <c r="BC97" i="9"/>
  <c r="S54" i="9"/>
  <c r="AO20" i="2"/>
  <c r="BC29" i="9"/>
  <c r="AX79" i="9"/>
  <c r="BB59" i="9"/>
  <c r="AY82" i="9"/>
  <c r="S96" i="9"/>
  <c r="BB25" i="9"/>
  <c r="BB30" i="9"/>
  <c r="AW102" i="9"/>
  <c r="BB24" i="9"/>
  <c r="AG74" i="2"/>
  <c r="AF28" i="2"/>
  <c r="AY96" i="9"/>
  <c r="S45" i="9"/>
  <c r="T34" i="9"/>
  <c r="AO88" i="2"/>
  <c r="AO87" i="2"/>
  <c r="I102" i="9"/>
  <c r="C59" i="9"/>
  <c r="S24" i="9"/>
  <c r="AC35" i="2"/>
  <c r="T14" i="9"/>
  <c r="T37" i="9"/>
  <c r="F62" i="2"/>
  <c r="Z65" i="2"/>
  <c r="AQ25" i="2"/>
  <c r="AO64" i="2"/>
  <c r="BB83" i="9"/>
  <c r="AQ19" i="2"/>
  <c r="Q87" i="2"/>
  <c r="AF85" i="2"/>
  <c r="R74" i="9"/>
  <c r="AX42" i="9"/>
  <c r="BB42" i="9"/>
  <c r="AA62" i="2"/>
  <c r="S58" i="9"/>
  <c r="AF74" i="9"/>
  <c r="AQ55" i="2"/>
  <c r="H83" i="9"/>
  <c r="G52" i="2"/>
  <c r="Z40" i="2"/>
  <c r="H49" i="9"/>
  <c r="H104" i="9"/>
  <c r="C76" i="2"/>
  <c r="C103" i="9"/>
  <c r="C50" i="9"/>
  <c r="F63" i="9"/>
  <c r="F62" i="9"/>
  <c r="H16" i="9"/>
  <c r="B90" i="9"/>
  <c r="C90" i="9"/>
  <c r="BC14" i="9"/>
  <c r="BB85" i="9"/>
  <c r="Z48" i="2"/>
  <c r="H106" i="9"/>
  <c r="BC21" i="9"/>
  <c r="T96" i="9"/>
  <c r="AF90" i="2"/>
  <c r="BB110" i="9"/>
  <c r="Z72" i="2"/>
  <c r="AQ57" i="2"/>
  <c r="S57" i="9"/>
  <c r="AB52" i="2"/>
  <c r="AQ59" i="2"/>
  <c r="AF22" i="2"/>
  <c r="P12" i="9"/>
  <c r="P10" i="9"/>
  <c r="S18" i="9"/>
  <c r="AN67" i="2"/>
  <c r="S26" i="9"/>
  <c r="BB32" i="9"/>
  <c r="AF82" i="9"/>
  <c r="N23" i="2"/>
  <c r="T20" i="9"/>
  <c r="H68" i="9"/>
  <c r="AO26" i="2"/>
  <c r="H97" i="9"/>
  <c r="AO10" i="9"/>
  <c r="BC40" i="9"/>
  <c r="AO94" i="2"/>
  <c r="Z108" i="2"/>
  <c r="AF105" i="2"/>
  <c r="X100" i="2"/>
  <c r="H29" i="9"/>
  <c r="N20" i="2"/>
  <c r="AO31" i="2"/>
  <c r="AC12" i="9"/>
  <c r="AC10" i="9"/>
  <c r="AF26" i="9"/>
  <c r="AT80" i="2"/>
  <c r="AF36" i="9"/>
  <c r="S27" i="9"/>
  <c r="AT13" i="9"/>
  <c r="AT12" i="9"/>
  <c r="AT10" i="9"/>
  <c r="O18" i="2"/>
  <c r="AY79" i="9"/>
  <c r="AY68" i="9"/>
  <c r="N98" i="2"/>
  <c r="S20" i="9"/>
  <c r="N92" i="2"/>
  <c r="BC43" i="9"/>
  <c r="BB71" i="9"/>
  <c r="L74" i="2"/>
  <c r="H59" i="9"/>
  <c r="O67" i="2"/>
  <c r="AY35" i="9"/>
  <c r="AY34" i="9"/>
  <c r="AE56" i="2"/>
  <c r="O60" i="2"/>
  <c r="AT109" i="2"/>
  <c r="AF104" i="2"/>
  <c r="Z80" i="2"/>
  <c r="T64" i="9"/>
  <c r="AN40" i="2"/>
  <c r="BB49" i="9"/>
  <c r="BB21" i="9"/>
  <c r="AX40" i="9"/>
  <c r="BB46" i="9"/>
  <c r="P88" i="2"/>
  <c r="P87" i="2"/>
  <c r="H25" i="9"/>
  <c r="Z81" i="2"/>
  <c r="AT59" i="2"/>
  <c r="T42" i="9"/>
  <c r="AO33" i="2"/>
  <c r="S55" i="9"/>
  <c r="T48" i="9"/>
  <c r="AQ84" i="2"/>
  <c r="AO108" i="2"/>
  <c r="AT20" i="2"/>
  <c r="AK11" i="2"/>
  <c r="AF47" i="9"/>
  <c r="AA52" i="2"/>
  <c r="BC18" i="9"/>
  <c r="BC76" i="9"/>
  <c r="AQ33" i="2"/>
  <c r="AX85" i="9"/>
  <c r="AO74" i="2"/>
  <c r="AQ43" i="2"/>
  <c r="AO93" i="2"/>
  <c r="T56" i="9"/>
  <c r="N79" i="2"/>
  <c r="AO68" i="2"/>
  <c r="AF69" i="9"/>
  <c r="AN18" i="2"/>
  <c r="AQ30" i="2"/>
  <c r="BB17" i="9"/>
  <c r="AX38" i="9"/>
  <c r="AO41" i="2"/>
  <c r="T36" i="9"/>
  <c r="AO76" i="2"/>
  <c r="AN106" i="2"/>
  <c r="AY31" i="9"/>
  <c r="N50" i="2"/>
  <c r="AP75" i="9"/>
  <c r="AP74" i="9"/>
  <c r="AN48" i="2"/>
  <c r="N109" i="2"/>
  <c r="BC26" i="9"/>
  <c r="AN20" i="2"/>
  <c r="Z20" i="2"/>
  <c r="AQ58" i="2"/>
  <c r="AN49" i="2"/>
  <c r="N27" i="2"/>
  <c r="BC91" i="9"/>
  <c r="Z29" i="2"/>
  <c r="N43" i="2"/>
  <c r="N89" i="2"/>
  <c r="AF54" i="9"/>
  <c r="AF41" i="9"/>
  <c r="N25" i="2"/>
  <c r="AF83" i="9"/>
  <c r="AF32" i="9"/>
  <c r="AY95" i="9"/>
  <c r="N17" i="2"/>
  <c r="AQ27" i="2"/>
  <c r="AX76" i="9"/>
  <c r="AO37" i="2"/>
  <c r="AN103" i="2"/>
  <c r="BC22" i="9"/>
  <c r="BB55" i="9"/>
  <c r="BB97" i="9"/>
  <c r="AT67" i="2"/>
  <c r="AF96" i="2"/>
  <c r="AF77" i="2"/>
  <c r="BC107" i="9"/>
  <c r="BB47" i="9"/>
  <c r="AT106" i="2"/>
  <c r="AX106" i="9"/>
  <c r="AO89" i="2"/>
  <c r="AF97" i="2"/>
  <c r="Z82" i="2"/>
  <c r="AT29" i="2"/>
  <c r="Z106" i="2"/>
  <c r="S36" i="9"/>
  <c r="BC20" i="9"/>
  <c r="AO49" i="2"/>
  <c r="BB54" i="9"/>
  <c r="T44" i="9"/>
  <c r="AV35" i="2"/>
  <c r="S65" i="9"/>
  <c r="BB111" i="9"/>
  <c r="AX95" i="9"/>
  <c r="AQ89" i="2"/>
  <c r="S108" i="9"/>
  <c r="H19" i="9"/>
  <c r="S35" i="2"/>
  <c r="AQ45" i="2"/>
  <c r="AQ56" i="2"/>
  <c r="C26" i="9"/>
  <c r="AN89" i="2"/>
  <c r="BC108" i="9"/>
  <c r="AN44" i="2"/>
  <c r="BC84" i="9"/>
  <c r="T78" i="9"/>
  <c r="AO90" i="2"/>
  <c r="Z92" i="2"/>
  <c r="T35" i="2"/>
  <c r="S29" i="9"/>
  <c r="AO105" i="2"/>
  <c r="BB72" i="9"/>
  <c r="T110" i="9"/>
  <c r="Z78" i="2"/>
  <c r="S72" i="9"/>
  <c r="AF47" i="2"/>
  <c r="AX105" i="9"/>
  <c r="AQ49" i="2"/>
  <c r="BB39" i="9"/>
  <c r="AQ44" i="2"/>
  <c r="AO103" i="2"/>
  <c r="AO104" i="2"/>
  <c r="Z84" i="2"/>
  <c r="S19" i="9"/>
  <c r="S37" i="9"/>
  <c r="BC48" i="9"/>
  <c r="AO46" i="2"/>
  <c r="AX68" i="9"/>
  <c r="AW74" i="9"/>
  <c r="S71" i="9"/>
  <c r="AN82" i="2"/>
  <c r="BB108" i="9"/>
  <c r="AF38" i="2"/>
  <c r="BB78" i="9"/>
  <c r="AB87" i="9"/>
  <c r="AX98" i="9"/>
  <c r="AO24" i="2"/>
  <c r="AY21" i="9"/>
  <c r="Z105" i="2"/>
  <c r="T16" i="9"/>
  <c r="AQ24" i="2"/>
  <c r="H37" i="9"/>
  <c r="AX39" i="9"/>
  <c r="H22" i="9"/>
  <c r="H28" i="9"/>
  <c r="BB37" i="9"/>
  <c r="AI100" i="2"/>
  <c r="T30" i="9"/>
  <c r="AD62" i="9"/>
  <c r="AN46" i="2"/>
  <c r="AO30" i="2"/>
  <c r="AI62" i="9"/>
  <c r="AO22" i="2"/>
  <c r="Z39" i="2"/>
  <c r="AF50" i="2"/>
  <c r="T22" i="9"/>
  <c r="AX46" i="9"/>
  <c r="AR64" i="9"/>
  <c r="AR78" i="9"/>
  <c r="AR50" i="9"/>
  <c r="BC85" i="9"/>
  <c r="BC78" i="9"/>
  <c r="AN33" i="2"/>
  <c r="AO106" i="2"/>
  <c r="AO39" i="2"/>
  <c r="AN105" i="2"/>
  <c r="BC46" i="9"/>
  <c r="AO84" i="2"/>
  <c r="AR47" i="9"/>
  <c r="AR66" i="9"/>
  <c r="T105" i="9"/>
  <c r="AP10" i="9"/>
  <c r="Z94" i="2"/>
  <c r="AF42" i="2"/>
  <c r="O45" i="2"/>
  <c r="T76" i="9"/>
  <c r="AF82" i="2"/>
  <c r="AF60" i="9"/>
  <c r="N60" i="2"/>
  <c r="T83" i="9"/>
  <c r="AY54" i="9"/>
  <c r="AT90" i="2"/>
  <c r="Z103" i="2"/>
  <c r="AE45" i="2"/>
  <c r="AX107" i="9"/>
  <c r="AI62" i="2"/>
  <c r="AQ79" i="2"/>
  <c r="AQ77" i="2"/>
  <c r="N108" i="2"/>
  <c r="AY107" i="9"/>
  <c r="L42" i="2"/>
  <c r="AT52" i="2"/>
  <c r="AY28" i="9"/>
  <c r="AR85" i="9"/>
  <c r="AN43" i="2"/>
  <c r="C87" i="2"/>
  <c r="AR56" i="9"/>
  <c r="AX93" i="9"/>
  <c r="AR20" i="9"/>
  <c r="BB90" i="9"/>
  <c r="AR27" i="9"/>
  <c r="BB82" i="9"/>
  <c r="BB31" i="9"/>
  <c r="H87" i="2"/>
  <c r="AN104" i="2"/>
  <c r="H46" i="9"/>
  <c r="S106" i="9"/>
  <c r="AQ28" i="2"/>
  <c r="L98" i="2"/>
  <c r="AY50" i="9"/>
  <c r="AY22" i="9"/>
  <c r="AN42" i="2"/>
  <c r="AQ104" i="2"/>
  <c r="AG52" i="2"/>
  <c r="AE97" i="2"/>
  <c r="AY83" i="9"/>
  <c r="AN56" i="2"/>
  <c r="AL11" i="2"/>
  <c r="L108" i="2"/>
  <c r="AF18" i="9"/>
  <c r="AR44" i="9"/>
  <c r="AJ87" i="2"/>
  <c r="AX81" i="9"/>
  <c r="L22" i="2"/>
  <c r="AR111" i="9"/>
  <c r="AX47" i="9"/>
  <c r="AF19" i="2"/>
  <c r="L17" i="2"/>
  <c r="Z60" i="2"/>
  <c r="M62" i="2"/>
  <c r="AT44" i="2"/>
  <c r="AT24" i="2"/>
  <c r="N96" i="2"/>
  <c r="L19" i="2"/>
  <c r="H69" i="9"/>
  <c r="N39" i="2"/>
  <c r="O106" i="2"/>
  <c r="AT21" i="2"/>
  <c r="AK74" i="2"/>
  <c r="C19" i="9"/>
  <c r="AL100" i="2"/>
  <c r="N106" i="2"/>
  <c r="AR16" i="9"/>
  <c r="AR30" i="9"/>
  <c r="AE105" i="2"/>
  <c r="AY105" i="9"/>
  <c r="T65" i="9"/>
  <c r="AN98" i="2"/>
  <c r="AF39" i="9"/>
  <c r="AF20" i="9"/>
  <c r="O98" i="2"/>
  <c r="AE71" i="2"/>
  <c r="O38" i="2"/>
  <c r="T58" i="9"/>
  <c r="T27" i="9"/>
  <c r="H26" i="9"/>
  <c r="H50" i="9"/>
  <c r="H80" i="9"/>
  <c r="AF22" i="9"/>
  <c r="AN109" i="2"/>
  <c r="T71" i="9"/>
  <c r="L83" i="2"/>
  <c r="N68" i="2"/>
  <c r="AY26" i="9"/>
  <c r="L32" i="2"/>
  <c r="AN108" i="2"/>
  <c r="AR38" i="9"/>
  <c r="AO65" i="2"/>
  <c r="L20" i="2"/>
  <c r="V74" i="9"/>
  <c r="BC27" i="9"/>
  <c r="L71" i="2"/>
  <c r="S92" i="9"/>
  <c r="T49" i="9"/>
  <c r="AI11" i="2"/>
  <c r="Z83" i="2"/>
  <c r="T21" i="9"/>
  <c r="T28" i="9"/>
  <c r="AF64" i="2"/>
  <c r="AB35" i="2"/>
  <c r="AO79" i="2"/>
  <c r="H15" i="9"/>
  <c r="AQ90" i="2"/>
  <c r="S47" i="9"/>
  <c r="AF68" i="9"/>
  <c r="AX27" i="9"/>
  <c r="AF97" i="9"/>
  <c r="O76" i="2"/>
  <c r="O78" i="2"/>
  <c r="AF30" i="9"/>
  <c r="AQ81" i="2"/>
  <c r="H82" i="9"/>
  <c r="S80" i="9"/>
  <c r="AQ98" i="2"/>
  <c r="O84" i="2"/>
  <c r="O103" i="2"/>
  <c r="H103" i="9"/>
  <c r="H102" i="9"/>
  <c r="N97" i="2"/>
  <c r="C101" i="2"/>
  <c r="S84" i="9"/>
  <c r="O48" i="2"/>
  <c r="AT30" i="2"/>
  <c r="Z90" i="2"/>
  <c r="N41" i="2"/>
  <c r="N56" i="2"/>
  <c r="AY27" i="9"/>
  <c r="N24" i="2"/>
  <c r="L55" i="2"/>
  <c r="AT54" i="2"/>
  <c r="G35" i="2"/>
  <c r="AY18" i="9"/>
  <c r="AF56" i="9"/>
  <c r="O21" i="2"/>
  <c r="H39" i="9"/>
  <c r="H64" i="9"/>
  <c r="C76" i="9"/>
  <c r="H95" i="9"/>
  <c r="AY91" i="9"/>
  <c r="H27" i="9"/>
  <c r="T87" i="9"/>
  <c r="I62" i="9"/>
  <c r="AM74" i="2"/>
  <c r="H98" i="9"/>
  <c r="H42" i="9"/>
  <c r="AY87" i="2"/>
  <c r="H60" i="9"/>
  <c r="BA74" i="2"/>
  <c r="AY72" i="9"/>
  <c r="AY17" i="9"/>
  <c r="AF79" i="2"/>
  <c r="AN71" i="2"/>
  <c r="AF37" i="2"/>
  <c r="Z18" i="2"/>
  <c r="T55" i="9"/>
  <c r="AX77" i="9"/>
  <c r="AQ93" i="2"/>
  <c r="S39" i="9"/>
  <c r="AY32" i="9"/>
  <c r="AT45" i="2"/>
  <c r="BC58" i="9"/>
  <c r="Z59" i="2"/>
  <c r="T23" i="9"/>
  <c r="AE15" i="2"/>
  <c r="AR76" i="9"/>
  <c r="AR18" i="9"/>
  <c r="T68" i="9"/>
  <c r="T26" i="9"/>
  <c r="BC49" i="9"/>
  <c r="AO57" i="2"/>
  <c r="Z71" i="2"/>
  <c r="O83" i="2"/>
  <c r="H91" i="9"/>
  <c r="S40" i="9"/>
  <c r="N78" i="2"/>
  <c r="AF65" i="9"/>
  <c r="AY44" i="9"/>
  <c r="AY67" i="9"/>
  <c r="N26" i="2"/>
  <c r="AE76" i="2"/>
  <c r="M74" i="2"/>
  <c r="L18" i="2"/>
  <c r="H56" i="9"/>
  <c r="BB14" i="9"/>
  <c r="AF78" i="9"/>
  <c r="O22" i="2"/>
  <c r="Z96" i="2"/>
  <c r="T41" i="9"/>
  <c r="AT48" i="2"/>
  <c r="AO27" i="2"/>
  <c r="BC55" i="9"/>
  <c r="L82" i="2"/>
  <c r="BB93" i="9"/>
  <c r="H36" i="9"/>
  <c r="AO100" i="2"/>
  <c r="AE96" i="2"/>
  <c r="AR41" i="9"/>
  <c r="AE24" i="2"/>
  <c r="O71" i="2"/>
  <c r="AE108" i="2"/>
  <c r="AY14" i="9"/>
  <c r="AF59" i="9"/>
  <c r="AY77" i="9"/>
  <c r="O53" i="2"/>
  <c r="O52" i="2"/>
  <c r="L103" i="2"/>
  <c r="AF17" i="9"/>
  <c r="AF37" i="9"/>
  <c r="AE93" i="2"/>
  <c r="AD102" i="9"/>
  <c r="AE60" i="2"/>
  <c r="AE83" i="2"/>
  <c r="AE44" i="2"/>
  <c r="C42" i="9"/>
  <c r="AE65" i="2"/>
  <c r="AP87" i="9"/>
  <c r="AY58" i="9"/>
  <c r="AF46" i="9"/>
  <c r="AY78" i="9"/>
  <c r="AZ100" i="2"/>
  <c r="L109" i="2"/>
  <c r="L79" i="2"/>
  <c r="AY52" i="2"/>
  <c r="L64" i="2"/>
  <c r="N65" i="2"/>
  <c r="L69" i="2"/>
  <c r="O96" i="2"/>
  <c r="AY108" i="9"/>
  <c r="AR108" i="9"/>
  <c r="AN29" i="2"/>
  <c r="L60" i="2"/>
  <c r="AR57" i="9"/>
  <c r="AY43" i="9"/>
  <c r="AF64" i="9"/>
  <c r="O104" i="2"/>
  <c r="O102" i="2"/>
  <c r="O62" i="9"/>
  <c r="C16" i="2"/>
  <c r="O29" i="2"/>
  <c r="O77" i="2"/>
  <c r="C30" i="9"/>
  <c r="N48" i="2"/>
  <c r="AR97" i="9"/>
  <c r="AF29" i="9"/>
  <c r="AY90" i="9"/>
  <c r="N28" i="2"/>
  <c r="AN41" i="2"/>
  <c r="AT94" i="2"/>
  <c r="N70" i="2"/>
  <c r="AN47" i="2"/>
  <c r="AT81" i="2"/>
  <c r="L25" i="2"/>
  <c r="AN19" i="2"/>
  <c r="AF25" i="9"/>
  <c r="AF24" i="9"/>
  <c r="AY41" i="9"/>
  <c r="L95" i="2"/>
  <c r="C49" i="9"/>
  <c r="L24" i="2"/>
  <c r="AN83" i="2"/>
  <c r="AF31" i="9"/>
  <c r="AF106" i="9"/>
  <c r="N90" i="2"/>
  <c r="AN24" i="2"/>
  <c r="N77" i="2"/>
  <c r="O109" i="2"/>
  <c r="L92" i="2"/>
  <c r="L102" i="2"/>
  <c r="L45" i="2"/>
  <c r="O28" i="2"/>
  <c r="O27" i="2"/>
  <c r="AN72" i="2"/>
  <c r="AR28" i="9"/>
  <c r="O30" i="2"/>
  <c r="O65" i="2"/>
  <c r="AT66" i="2"/>
  <c r="AJ100" i="2"/>
  <c r="AR67" i="9"/>
  <c r="AR46" i="9"/>
  <c r="AN39" i="2"/>
  <c r="AT68" i="2"/>
  <c r="N84" i="2"/>
  <c r="V52" i="2"/>
  <c r="L106" i="2"/>
  <c r="AT31" i="2"/>
  <c r="BC74" i="9"/>
  <c r="AR42" i="9"/>
  <c r="AF67" i="9"/>
  <c r="AF52" i="2"/>
  <c r="AY93" i="9"/>
  <c r="L77" i="2"/>
  <c r="AR14" i="9"/>
  <c r="G100" i="2"/>
  <c r="AF80" i="9"/>
  <c r="AF77" i="9"/>
  <c r="L58" i="2"/>
  <c r="B110" i="9"/>
  <c r="AE68" i="2"/>
  <c r="AE39" i="2"/>
  <c r="AE85" i="2"/>
  <c r="AF100" i="2"/>
  <c r="L37" i="2"/>
  <c r="L97" i="2"/>
  <c r="AE59" i="2"/>
  <c r="AY80" i="9"/>
  <c r="AW62" i="9"/>
  <c r="AF111" i="9"/>
  <c r="AE54" i="2"/>
  <c r="Z32" i="2"/>
  <c r="AT33" i="2"/>
  <c r="AN22" i="2"/>
  <c r="Z77" i="2"/>
  <c r="AQ82" i="2"/>
  <c r="AF58" i="9"/>
  <c r="AN60" i="2"/>
  <c r="AE98" i="2"/>
  <c r="AT82" i="2"/>
  <c r="AN78" i="2"/>
  <c r="L26" i="2"/>
  <c r="L62" i="9"/>
  <c r="O44" i="2"/>
  <c r="N54" i="2"/>
  <c r="AF105" i="9"/>
  <c r="AF48" i="9"/>
  <c r="AE31" i="2"/>
  <c r="B14" i="9"/>
  <c r="AR59" i="9"/>
  <c r="L46" i="2"/>
  <c r="BB74" i="2"/>
  <c r="AE104" i="2"/>
  <c r="L70" i="2"/>
  <c r="L78" i="2"/>
  <c r="O15" i="2"/>
  <c r="AE82" i="2"/>
  <c r="L89" i="2"/>
  <c r="L23" i="2"/>
  <c r="L85" i="2"/>
  <c r="R35" i="2"/>
  <c r="O46" i="2"/>
  <c r="AJ12" i="9"/>
  <c r="AN75" i="2"/>
  <c r="Y79" i="2"/>
  <c r="Y66" i="2"/>
  <c r="AJ58" i="9"/>
  <c r="AX21" i="9"/>
  <c r="AJ105" i="9"/>
  <c r="S49" i="9"/>
  <c r="H21" i="9"/>
  <c r="AX78" i="9"/>
  <c r="AX66" i="9"/>
  <c r="AX58" i="9"/>
  <c r="BC15" i="9"/>
  <c r="P38" i="9"/>
  <c r="P106" i="9"/>
  <c r="S66" i="9"/>
  <c r="U87" i="9"/>
  <c r="BB69" i="9"/>
  <c r="N94" i="2"/>
  <c r="AF56" i="2"/>
  <c r="AQ78" i="2"/>
  <c r="J74" i="9"/>
  <c r="S14" i="9"/>
  <c r="C57" i="2"/>
  <c r="S64" i="9"/>
  <c r="BB44" i="9"/>
  <c r="AQ42" i="2"/>
  <c r="Z44" i="2"/>
  <c r="T84" i="9"/>
  <c r="T52" i="2"/>
  <c r="AO21" i="2"/>
  <c r="AN102" i="2"/>
  <c r="AT17" i="2"/>
  <c r="BC95" i="9"/>
  <c r="AY15" i="9"/>
  <c r="BB106" i="9"/>
  <c r="S76" i="9"/>
  <c r="H45" i="9"/>
  <c r="AR40" i="9"/>
  <c r="AU87" i="9"/>
  <c r="BC16" i="9"/>
  <c r="AF13" i="2"/>
  <c r="AR55" i="9"/>
  <c r="BB77" i="9"/>
  <c r="AO40" i="2"/>
  <c r="AJ20" i="9"/>
  <c r="BC79" i="9"/>
  <c r="AJ76" i="9"/>
  <c r="AR82" i="9"/>
  <c r="AT32" i="2"/>
  <c r="T92" i="9"/>
  <c r="AU84" i="2"/>
  <c r="BB19" i="9"/>
  <c r="S43" i="9"/>
  <c r="AU82" i="2"/>
  <c r="AF31" i="2"/>
  <c r="AY76" i="9"/>
  <c r="BC77" i="9"/>
  <c r="AE46" i="2"/>
  <c r="L90" i="2"/>
  <c r="AN84" i="2"/>
  <c r="Y67" i="2"/>
  <c r="AT84" i="2"/>
  <c r="AY66" i="9"/>
  <c r="Y40" i="2"/>
  <c r="Z23" i="2"/>
  <c r="AU92" i="2"/>
  <c r="AU108" i="2"/>
  <c r="S52" i="2"/>
  <c r="AE101" i="2"/>
  <c r="AE100" i="2"/>
  <c r="AY20" i="9"/>
  <c r="BC17" i="9"/>
  <c r="AY48" i="9"/>
  <c r="AE102" i="2"/>
  <c r="AY37" i="9"/>
  <c r="Z19" i="2"/>
  <c r="BC45" i="9"/>
  <c r="BC105" i="9"/>
  <c r="BA74" i="9"/>
  <c r="AF57" i="9"/>
  <c r="T93" i="9"/>
  <c r="L49" i="2"/>
  <c r="L50" i="2"/>
  <c r="H111" i="9"/>
  <c r="AA35" i="2"/>
  <c r="H70" i="9"/>
  <c r="H54" i="9"/>
  <c r="AE28" i="2"/>
  <c r="Y55" i="2"/>
  <c r="P65" i="9"/>
  <c r="Y57" i="2"/>
  <c r="P21" i="9"/>
  <c r="BB79" i="9"/>
  <c r="AO72" i="2"/>
  <c r="AX37" i="9"/>
  <c r="X62" i="2"/>
  <c r="BC110" i="9"/>
  <c r="BC54" i="9"/>
  <c r="AF69" i="2"/>
  <c r="AQ46" i="2"/>
  <c r="AQ103" i="2"/>
  <c r="T108" i="9"/>
  <c r="AQ91" i="2"/>
  <c r="S82" i="9"/>
  <c r="AX57" i="9"/>
  <c r="AQ38" i="2"/>
  <c r="AN93" i="2"/>
  <c r="AN97" i="2"/>
  <c r="AN26" i="2"/>
  <c r="S59" i="9"/>
  <c r="BC83" i="9"/>
  <c r="BC38" i="9"/>
  <c r="AX59" i="9"/>
  <c r="BC56" i="9"/>
  <c r="BC82" i="9"/>
  <c r="C93" i="9"/>
  <c r="BB43" i="9"/>
  <c r="BB48" i="9"/>
  <c r="BC93" i="9"/>
  <c r="S38" i="9"/>
  <c r="P102" i="9"/>
  <c r="Z95" i="2"/>
  <c r="AQ92" i="2"/>
  <c r="C107" i="9"/>
  <c r="AO23" i="2"/>
  <c r="AZ10" i="9"/>
  <c r="C48" i="2"/>
  <c r="BB45" i="9"/>
  <c r="R102" i="9"/>
  <c r="AX70" i="9"/>
  <c r="AF91" i="2"/>
  <c r="AF21" i="2"/>
  <c r="AF87" i="9"/>
  <c r="H17" i="9"/>
  <c r="J62" i="2"/>
  <c r="H84" i="9"/>
  <c r="BB98" i="9"/>
  <c r="AO80" i="2"/>
  <c r="AO97" i="2"/>
  <c r="AN23" i="2"/>
  <c r="AQ37" i="2"/>
  <c r="BB81" i="9"/>
  <c r="AU105" i="2"/>
  <c r="AX54" i="9"/>
  <c r="AY70" i="9"/>
  <c r="AX60" i="9"/>
  <c r="AF68" i="2"/>
  <c r="Z89" i="2"/>
  <c r="Z49" i="2"/>
  <c r="S78" i="9"/>
  <c r="AU89" i="2"/>
  <c r="Z68" i="2"/>
  <c r="AF41" i="2"/>
  <c r="O31" i="2"/>
  <c r="O90" i="2"/>
  <c r="H18" i="9"/>
  <c r="Y31" i="2"/>
  <c r="AE23" i="2"/>
  <c r="AE35" i="2"/>
  <c r="Y29" i="2"/>
  <c r="Y25" i="2"/>
  <c r="Y15" i="2"/>
  <c r="Y37" i="2"/>
  <c r="Y33" i="2"/>
  <c r="Z45" i="2"/>
  <c r="Z21" i="2"/>
  <c r="AQ29" i="2"/>
  <c r="AQ20" i="2"/>
  <c r="N34" i="9"/>
  <c r="AY84" i="9"/>
  <c r="AQ50" i="2"/>
  <c r="Z57" i="2"/>
  <c r="Z69" i="2"/>
  <c r="AY85" i="9"/>
  <c r="AY110" i="9"/>
  <c r="Y18" i="2"/>
  <c r="Y32" i="2"/>
  <c r="Y94" i="2"/>
  <c r="AQ96" i="2"/>
  <c r="AU45" i="2"/>
  <c r="AU69" i="2"/>
  <c r="Y103" i="2"/>
  <c r="Y50" i="2"/>
  <c r="AU106" i="2"/>
  <c r="Y84" i="2"/>
  <c r="Y68" i="2"/>
  <c r="Y54" i="2"/>
  <c r="Y44" i="2"/>
  <c r="AU54" i="2"/>
  <c r="AU58" i="2"/>
  <c r="AU23" i="2"/>
  <c r="AU67" i="2"/>
  <c r="AU20" i="2"/>
  <c r="AU22" i="2"/>
  <c r="AU28" i="2"/>
  <c r="AU97" i="2"/>
  <c r="AU91" i="2"/>
  <c r="AU103" i="2"/>
  <c r="AU76" i="2"/>
  <c r="AU77" i="2"/>
  <c r="AU17" i="2"/>
  <c r="AU30" i="2"/>
  <c r="AU64" i="2"/>
  <c r="AW102" i="2"/>
  <c r="AW67" i="2"/>
  <c r="BA20" i="9"/>
  <c r="BA27" i="9"/>
  <c r="BA76" i="2"/>
  <c r="U89" i="2"/>
  <c r="AP23" i="9"/>
  <c r="BA40" i="2"/>
  <c r="Q69" i="9"/>
  <c r="Q42" i="9"/>
  <c r="Q34" i="9"/>
  <c r="AL55" i="9"/>
  <c r="BA58" i="9"/>
  <c r="BA67" i="2"/>
  <c r="U59" i="2"/>
  <c r="O84" i="9"/>
  <c r="R71" i="9"/>
  <c r="AL81" i="9"/>
  <c r="Y47" i="9"/>
  <c r="F92" i="9"/>
  <c r="R90" i="9"/>
  <c r="BA64" i="2"/>
  <c r="BA36" i="9"/>
  <c r="AD29" i="2"/>
  <c r="AY106" i="2"/>
  <c r="AW33" i="2"/>
  <c r="AP95" i="9"/>
  <c r="J38" i="2"/>
  <c r="AY89" i="2"/>
  <c r="Q54" i="9"/>
  <c r="BA102" i="2"/>
  <c r="Y80" i="9"/>
  <c r="AW24" i="9"/>
  <c r="Q58" i="2"/>
  <c r="BA80" i="9"/>
  <c r="Q54" i="2"/>
  <c r="J17" i="2"/>
  <c r="W79" i="9"/>
  <c r="AW20" i="9"/>
  <c r="U82" i="2"/>
  <c r="Y37" i="9"/>
  <c r="AH29" i="2"/>
  <c r="R43" i="9"/>
  <c r="W74" i="2"/>
  <c r="O10" i="9"/>
  <c r="AP26" i="9"/>
  <c r="AW16" i="9"/>
  <c r="AD44" i="2"/>
  <c r="R68" i="9"/>
  <c r="BC84" i="2"/>
  <c r="R60" i="9"/>
  <c r="Y105" i="9"/>
  <c r="R58" i="9"/>
  <c r="Y100" i="2"/>
  <c r="R79" i="9"/>
  <c r="Q65" i="2"/>
  <c r="BA56" i="9"/>
  <c r="AW83" i="2"/>
  <c r="R20" i="9"/>
  <c r="AD80" i="2"/>
  <c r="Y39" i="9"/>
  <c r="Y58" i="9"/>
  <c r="C60" i="2"/>
  <c r="J87" i="9"/>
  <c r="U105" i="2"/>
  <c r="U20" i="2"/>
  <c r="AP71" i="9"/>
  <c r="BD98" i="9"/>
  <c r="AP40" i="9"/>
  <c r="Q38" i="9"/>
  <c r="Q77" i="9"/>
  <c r="BD26" i="9"/>
  <c r="AY96" i="2"/>
  <c r="C80" i="2"/>
  <c r="BA25" i="9"/>
  <c r="AY30" i="2"/>
  <c r="AH48" i="9"/>
  <c r="J92" i="2"/>
  <c r="BC24" i="2"/>
  <c r="AY71" i="2"/>
  <c r="BA98" i="2"/>
  <c r="AL59" i="9"/>
  <c r="BC33" i="2"/>
  <c r="O83" i="9"/>
  <c r="BC106" i="2"/>
  <c r="AD55" i="2"/>
  <c r="AD43" i="2"/>
  <c r="AC31" i="9"/>
  <c r="O58" i="9"/>
  <c r="AH57" i="2"/>
  <c r="BD69" i="9"/>
  <c r="AW21" i="9"/>
  <c r="AL20" i="9"/>
  <c r="AL26" i="9"/>
  <c r="Q97" i="9"/>
  <c r="AL90" i="9"/>
  <c r="C71" i="2"/>
  <c r="Q64" i="2"/>
  <c r="W64" i="9"/>
  <c r="W50" i="9"/>
  <c r="AN62" i="2"/>
  <c r="AW49" i="9"/>
  <c r="E46" i="9"/>
  <c r="O46" i="9"/>
  <c r="BC66" i="2"/>
  <c r="F60" i="9"/>
  <c r="AT54" i="9"/>
  <c r="AK16" i="9"/>
  <c r="E47" i="9"/>
  <c r="AC39" i="9"/>
  <c r="Q40" i="2"/>
  <c r="U77" i="2"/>
  <c r="AP58" i="9"/>
  <c r="AH67" i="2"/>
  <c r="Y79" i="9"/>
  <c r="R70" i="9"/>
  <c r="AY64" i="2"/>
  <c r="O32" i="9"/>
  <c r="O68" i="9"/>
  <c r="AZ35" i="2"/>
  <c r="AH58" i="2"/>
  <c r="O79" i="9"/>
  <c r="AW106" i="2"/>
  <c r="AL44" i="9"/>
  <c r="AC72" i="9"/>
  <c r="AW108" i="2"/>
  <c r="O31" i="9"/>
  <c r="Y84" i="9"/>
  <c r="C33" i="2"/>
  <c r="E102" i="9"/>
  <c r="Q27" i="2"/>
  <c r="BD48" i="9"/>
  <c r="C13" i="9"/>
  <c r="O105" i="9"/>
  <c r="M87" i="2"/>
  <c r="AH20" i="2"/>
  <c r="BC78" i="2"/>
  <c r="F36" i="9"/>
  <c r="AF62" i="9"/>
  <c r="F64" i="9"/>
  <c r="J85" i="2"/>
  <c r="C96" i="2"/>
  <c r="AH48" i="2"/>
  <c r="AC32" i="9"/>
  <c r="Y95" i="9"/>
  <c r="AC107" i="9"/>
  <c r="AW55" i="9"/>
  <c r="Q23" i="9"/>
  <c r="E67" i="9"/>
  <c r="AK48" i="9"/>
  <c r="AT76" i="9"/>
  <c r="O56" i="9"/>
  <c r="Q48" i="9"/>
  <c r="Q96" i="9"/>
  <c r="AW29" i="9"/>
  <c r="AW17" i="2"/>
  <c r="AW65" i="2"/>
  <c r="BA93" i="9"/>
  <c r="R36" i="9"/>
  <c r="AW44" i="2"/>
  <c r="BD50" i="9"/>
  <c r="U26" i="2"/>
  <c r="AD87" i="2"/>
  <c r="T100" i="2"/>
  <c r="AW97" i="2"/>
  <c r="AW21" i="2"/>
  <c r="W105" i="9"/>
  <c r="W55" i="9"/>
  <c r="AY45" i="2"/>
  <c r="U30" i="2"/>
  <c r="BA82" i="2"/>
  <c r="AP96" i="9"/>
  <c r="Y46" i="9"/>
  <c r="AW22" i="9"/>
  <c r="AL66" i="9"/>
  <c r="C67" i="9"/>
  <c r="BD16" i="9"/>
  <c r="Y90" i="9"/>
  <c r="C60" i="9"/>
  <c r="AY70" i="2"/>
  <c r="AL85" i="9"/>
  <c r="AW82" i="2"/>
  <c r="AL31" i="9"/>
  <c r="BB89" i="9"/>
  <c r="BB87" i="9"/>
  <c r="AD42" i="2"/>
  <c r="U48" i="2"/>
  <c r="AL105" i="9"/>
  <c r="AR63" i="9"/>
  <c r="AR62" i="9"/>
  <c r="AW15" i="9"/>
  <c r="BA85" i="9"/>
  <c r="AP57" i="9"/>
  <c r="AY26" i="2"/>
  <c r="U44" i="2"/>
  <c r="AW30" i="9"/>
  <c r="U70" i="2"/>
  <c r="AL67" i="9"/>
  <c r="AQ34" i="9"/>
  <c r="W80" i="9"/>
  <c r="AP19" i="9"/>
  <c r="AW56" i="2"/>
  <c r="M10" i="9"/>
  <c r="O98" i="9"/>
  <c r="AP22" i="9"/>
  <c r="AW85" i="9"/>
  <c r="AW14" i="9"/>
  <c r="BA37" i="9"/>
  <c r="AP14" i="9"/>
  <c r="BA107" i="9"/>
  <c r="W29" i="9"/>
  <c r="AW80" i="2"/>
  <c r="T59" i="9"/>
  <c r="F52" i="2"/>
  <c r="AW23" i="2"/>
  <c r="T77" i="9"/>
  <c r="BA43" i="2"/>
  <c r="AT103" i="2"/>
  <c r="N104" i="2"/>
  <c r="W81" i="9"/>
  <c r="AE87" i="9"/>
  <c r="AW41" i="2"/>
  <c r="AW104" i="9"/>
  <c r="AT77" i="2"/>
  <c r="F55" i="9"/>
  <c r="R96" i="9"/>
  <c r="AY95" i="2"/>
  <c r="O85" i="9"/>
  <c r="N80" i="2"/>
  <c r="BA90" i="9"/>
  <c r="W107" i="9"/>
  <c r="AY25" i="2"/>
  <c r="U39" i="2"/>
  <c r="I87" i="2"/>
  <c r="R46" i="9"/>
  <c r="AP60" i="9"/>
  <c r="Y55" i="9"/>
  <c r="F107" i="9"/>
  <c r="AU11" i="2"/>
  <c r="AP37" i="9"/>
  <c r="R85" i="9"/>
  <c r="AW39" i="9"/>
  <c r="AU62" i="2"/>
  <c r="BA91" i="9"/>
  <c r="AL69" i="9"/>
  <c r="BC45" i="2"/>
  <c r="N32" i="2"/>
  <c r="AH80" i="2"/>
  <c r="AY42" i="2"/>
  <c r="BC72" i="2"/>
  <c r="Y69" i="9"/>
  <c r="AF108" i="9"/>
  <c r="AC14" i="9"/>
  <c r="AT21" i="9"/>
  <c r="BD82" i="9"/>
  <c r="O106" i="9"/>
  <c r="S89" i="9"/>
  <c r="S87" i="9"/>
  <c r="AW37" i="9"/>
  <c r="C62" i="2"/>
  <c r="T69" i="9"/>
  <c r="BA95" i="9"/>
  <c r="BD85" i="9"/>
  <c r="BA93" i="2"/>
  <c r="L56" i="2"/>
  <c r="C93" i="2"/>
  <c r="BC89" i="2"/>
  <c r="AH42" i="9"/>
  <c r="Q21" i="2"/>
  <c r="W36" i="9"/>
  <c r="BA17" i="2"/>
  <c r="N62" i="9"/>
  <c r="AL40" i="9"/>
  <c r="AL25" i="9"/>
  <c r="E52" i="2"/>
  <c r="J35" i="2"/>
  <c r="AN11" i="2"/>
  <c r="AL48" i="9"/>
  <c r="J78" i="2"/>
  <c r="AT56" i="2"/>
  <c r="C89" i="9"/>
  <c r="R98" i="9"/>
  <c r="C37" i="2"/>
  <c r="F39" i="9"/>
  <c r="BC100" i="2"/>
  <c r="W31" i="9"/>
  <c r="E105" i="9"/>
  <c r="N72" i="2"/>
  <c r="N45" i="2"/>
  <c r="P14" i="9"/>
  <c r="P32" i="9"/>
  <c r="Q69" i="2"/>
  <c r="J45" i="2"/>
  <c r="Q17" i="2"/>
  <c r="S100" i="2"/>
  <c r="P39" i="2"/>
  <c r="P41" i="2"/>
  <c r="Q97" i="2"/>
  <c r="K100" i="2"/>
  <c r="AJ66" i="9"/>
  <c r="AJ42" i="9"/>
  <c r="AJ47" i="9"/>
  <c r="J67" i="2"/>
  <c r="P48" i="2"/>
  <c r="Q60" i="9"/>
  <c r="J97" i="2"/>
  <c r="P29" i="9"/>
  <c r="AJ95" i="9"/>
  <c r="P85" i="9"/>
  <c r="Q95" i="9"/>
  <c r="AJ84" i="9"/>
  <c r="Q83" i="9"/>
  <c r="AJ49" i="9"/>
  <c r="P80" i="9"/>
  <c r="P108" i="9"/>
  <c r="P71" i="9"/>
  <c r="P22" i="9"/>
  <c r="Q93" i="9"/>
  <c r="Q66" i="9"/>
  <c r="BD97" i="9"/>
  <c r="Q64" i="9"/>
  <c r="AD25" i="2"/>
  <c r="K34" i="9"/>
  <c r="N76" i="2"/>
  <c r="L44" i="2"/>
  <c r="AT105" i="2"/>
  <c r="AR105" i="9"/>
  <c r="AE25" i="2"/>
  <c r="L94" i="2"/>
  <c r="AF50" i="9"/>
  <c r="AR69" i="9"/>
  <c r="AY49" i="9"/>
  <c r="AY65" i="9"/>
  <c r="N71" i="2"/>
  <c r="AE19" i="2"/>
  <c r="B95" i="9"/>
  <c r="C95" i="9"/>
  <c r="T98" i="9"/>
  <c r="AF90" i="9"/>
  <c r="Z54" i="2"/>
  <c r="AE90" i="2"/>
  <c r="AE47" i="2"/>
  <c r="T62" i="9"/>
  <c r="AT83" i="2"/>
  <c r="N40" i="2"/>
  <c r="AF66" i="9"/>
  <c r="AF44" i="9"/>
  <c r="AE20" i="2"/>
  <c r="AR58" i="9"/>
  <c r="O66" i="2"/>
  <c r="C24" i="9"/>
  <c r="AE66" i="2"/>
  <c r="AR72" i="9"/>
  <c r="L43" i="2"/>
  <c r="C65" i="9"/>
  <c r="AE49" i="2"/>
  <c r="AE74" i="2"/>
  <c r="AE43" i="2"/>
  <c r="O43" i="2"/>
  <c r="AE33" i="2"/>
  <c r="P25" i="9"/>
  <c r="P78" i="9"/>
  <c r="AX19" i="9"/>
  <c r="Y78" i="2"/>
  <c r="P68" i="9"/>
  <c r="BC90" i="9"/>
  <c r="AJ41" i="9"/>
  <c r="AG62" i="2"/>
  <c r="BB96" i="9"/>
  <c r="AX110" i="9"/>
  <c r="AT26" i="2"/>
  <c r="Z74" i="2"/>
  <c r="AF20" i="2"/>
  <c r="AF81" i="2"/>
  <c r="Z66" i="2"/>
  <c r="AF30" i="2"/>
  <c r="AQ64" i="2"/>
  <c r="S60" i="9"/>
  <c r="BB15" i="9"/>
  <c r="T38" i="9"/>
  <c r="C45" i="2"/>
  <c r="AF106" i="2"/>
  <c r="Z67" i="2"/>
  <c r="R52" i="2"/>
  <c r="AT60" i="2"/>
  <c r="AR79" i="9"/>
  <c r="T90" i="9"/>
  <c r="T70" i="9"/>
  <c r="Z47" i="2"/>
  <c r="AS11" i="2"/>
  <c r="AR84" i="9"/>
  <c r="H30" i="9"/>
  <c r="C72" i="9"/>
  <c r="H58" i="9"/>
  <c r="AO19" i="2"/>
  <c r="AX36" i="9"/>
  <c r="AO58" i="2"/>
  <c r="AR45" i="9"/>
  <c r="AO17" i="2"/>
  <c r="AO95" i="2"/>
  <c r="Z27" i="2"/>
  <c r="BB70" i="9"/>
  <c r="AR15" i="9"/>
  <c r="AR21" i="9"/>
  <c r="AJ24" i="9"/>
  <c r="AX55" i="9"/>
  <c r="O20" i="2"/>
  <c r="AE32" i="2"/>
  <c r="L59" i="2"/>
  <c r="AU78" i="2"/>
  <c r="AT85" i="2"/>
  <c r="AX10" i="9"/>
  <c r="Y22" i="2"/>
  <c r="Y108" i="2"/>
  <c r="Y30" i="2"/>
  <c r="T72" i="9"/>
  <c r="AX45" i="9"/>
  <c r="AX90" i="9"/>
  <c r="AW100" i="2"/>
  <c r="N66" i="2"/>
  <c r="H47" i="9"/>
  <c r="AQ69" i="2"/>
  <c r="AT46" i="2"/>
  <c r="L96" i="2"/>
  <c r="AT38" i="2"/>
  <c r="V102" i="9"/>
  <c r="H92" i="9"/>
  <c r="P92" i="9"/>
  <c r="AF95" i="9"/>
  <c r="L84" i="2"/>
  <c r="Y49" i="2"/>
  <c r="Y97" i="2"/>
  <c r="P104" i="9"/>
  <c r="S28" i="9"/>
  <c r="C27" i="2"/>
  <c r="AO77" i="2"/>
  <c r="AX69" i="9"/>
  <c r="B109" i="2"/>
  <c r="T17" i="9"/>
  <c r="BB67" i="9"/>
  <c r="Z70" i="2"/>
  <c r="BC72" i="9"/>
  <c r="AT95" i="2"/>
  <c r="AR83" i="9"/>
  <c r="Z109" i="2"/>
  <c r="AX28" i="9"/>
  <c r="AJ18" i="9"/>
  <c r="AF39" i="2"/>
  <c r="H24" i="9"/>
  <c r="AE37" i="2"/>
  <c r="AE79" i="2"/>
  <c r="AE84" i="2"/>
  <c r="AY46" i="9"/>
  <c r="AF44" i="2"/>
  <c r="S85" i="9"/>
  <c r="AF40" i="2"/>
  <c r="S95" i="9"/>
  <c r="AQ76" i="2"/>
  <c r="AQ80" i="2"/>
  <c r="H40" i="9"/>
  <c r="AQ21" i="2"/>
  <c r="AU62" i="9"/>
  <c r="AF48" i="2"/>
  <c r="H93" i="9"/>
  <c r="S44" i="9"/>
  <c r="AN74" i="9"/>
  <c r="C66" i="2"/>
  <c r="AF33" i="2"/>
  <c r="S46" i="9"/>
  <c r="BC24" i="9"/>
  <c r="Y106" i="2"/>
  <c r="S107" i="9"/>
  <c r="AE72" i="2"/>
  <c r="AX24" i="9"/>
  <c r="AX111" i="9"/>
  <c r="AY39" i="9"/>
  <c r="AO92" i="2"/>
  <c r="AH35" i="2"/>
  <c r="AY19" i="9"/>
  <c r="AU90" i="2"/>
  <c r="AY69" i="9"/>
  <c r="AY56" i="9"/>
  <c r="AF59" i="2"/>
  <c r="S41" i="9"/>
  <c r="Y104" i="2"/>
  <c r="Y76" i="2"/>
  <c r="Y38" i="2"/>
  <c r="Y24" i="2"/>
  <c r="Z28" i="2"/>
  <c r="AQ60" i="2"/>
  <c r="Z55" i="2"/>
  <c r="Z93" i="2"/>
  <c r="Y98" i="2"/>
  <c r="Y82" i="2"/>
  <c r="AU83" i="2"/>
  <c r="AU27" i="2"/>
  <c r="AU29" i="2"/>
  <c r="AU24" i="2"/>
  <c r="AU21" i="2"/>
  <c r="AU66" i="2"/>
  <c r="AU60" i="2"/>
  <c r="AU70" i="2"/>
  <c r="AU38" i="2"/>
  <c r="AU65" i="2"/>
  <c r="AU109" i="2"/>
  <c r="AU79" i="2"/>
  <c r="AU102" i="2"/>
  <c r="Q56" i="9"/>
  <c r="P24" i="2"/>
  <c r="P15" i="2"/>
  <c r="AE62" i="2"/>
  <c r="J46" i="2"/>
  <c r="P90" i="2"/>
  <c r="Q92" i="9"/>
  <c r="Q20" i="9"/>
  <c r="AA11" i="2"/>
  <c r="BC87" i="2"/>
  <c r="BD80" i="9"/>
  <c r="BC77" i="2"/>
  <c r="P76" i="2"/>
  <c r="AE62" i="9"/>
  <c r="BD56" i="9"/>
  <c r="AT34" i="9"/>
  <c r="T50" i="9"/>
  <c r="AT102" i="2"/>
  <c r="N49" i="2"/>
  <c r="AJ17" i="9"/>
  <c r="AA74" i="2"/>
  <c r="AT22" i="2"/>
  <c r="T29" i="9"/>
  <c r="BD54" i="9"/>
  <c r="N29" i="2"/>
  <c r="N57" i="2"/>
  <c r="AF92" i="9"/>
  <c r="T40" i="9"/>
  <c r="E39" i="9"/>
  <c r="AT17" i="9"/>
  <c r="T15" i="9"/>
  <c r="AD52" i="2"/>
  <c r="C77" i="9"/>
  <c r="P77" i="2"/>
  <c r="AT25" i="2"/>
  <c r="N83" i="2"/>
  <c r="L65" i="2"/>
  <c r="BC69" i="2"/>
  <c r="J22" i="2"/>
  <c r="AT41" i="9"/>
  <c r="AT70" i="9"/>
  <c r="J93" i="2"/>
  <c r="J55" i="2"/>
  <c r="AJ55" i="9"/>
  <c r="R62" i="2"/>
  <c r="J20" i="2"/>
  <c r="J49" i="2"/>
  <c r="P60" i="2"/>
  <c r="P56" i="2"/>
  <c r="AJ69" i="9"/>
  <c r="P91" i="2"/>
  <c r="P28" i="2"/>
  <c r="J43" i="2"/>
  <c r="P26" i="9"/>
  <c r="Q71" i="9"/>
  <c r="P59" i="9"/>
  <c r="AJ68" i="9"/>
  <c r="AJ97" i="9"/>
  <c r="P45" i="9"/>
  <c r="Q30" i="9"/>
  <c r="P36" i="9"/>
  <c r="AL12" i="9"/>
  <c r="AL10" i="9"/>
  <c r="BD81" i="9"/>
  <c r="AC11" i="2"/>
  <c r="O93" i="2"/>
  <c r="AR65" i="9"/>
  <c r="AE29" i="2"/>
  <c r="N44" i="2"/>
  <c r="AF49" i="9"/>
  <c r="AE22" i="2"/>
  <c r="O50" i="2"/>
  <c r="O72" i="2"/>
  <c r="L21" i="2"/>
  <c r="O56" i="2"/>
  <c r="AE78" i="2"/>
  <c r="AT18" i="2"/>
  <c r="AF81" i="9"/>
  <c r="N69" i="2"/>
  <c r="L31" i="2"/>
  <c r="AR37" i="9"/>
  <c r="O91" i="2"/>
  <c r="L38" i="2"/>
  <c r="L54" i="2"/>
  <c r="AE69" i="2"/>
  <c r="O81" i="2"/>
  <c r="AE30" i="2"/>
  <c r="L81" i="2"/>
  <c r="L40" i="2"/>
  <c r="AJ10" i="9"/>
  <c r="Y70" i="2"/>
  <c r="AX64" i="9"/>
  <c r="P50" i="9"/>
  <c r="S90" i="9"/>
  <c r="AX18" i="9"/>
  <c r="T111" i="9"/>
  <c r="C47" i="2"/>
  <c r="H107" i="9"/>
  <c r="S16" i="9"/>
  <c r="AX16" i="9"/>
  <c r="M35" i="2"/>
  <c r="S79" i="9"/>
  <c r="AO28" i="2"/>
  <c r="T43" i="9"/>
  <c r="C66" i="9"/>
  <c r="AQ95" i="2"/>
  <c r="AT15" i="2"/>
  <c r="BB26" i="9"/>
  <c r="AQ26" i="2"/>
  <c r="AR36" i="9"/>
  <c r="T18" i="9"/>
  <c r="AR60" i="9"/>
  <c r="AR17" i="9"/>
  <c r="AO56" i="2"/>
  <c r="AT19" i="2"/>
  <c r="AY81" i="9"/>
  <c r="AT96" i="2"/>
  <c r="O70" i="2"/>
  <c r="AE106" i="2"/>
  <c r="O19" i="2"/>
  <c r="AJ77" i="9"/>
  <c r="AX14" i="9"/>
  <c r="AX20" i="9"/>
  <c r="S110" i="9"/>
  <c r="AQ108" i="2"/>
  <c r="AU80" i="2"/>
  <c r="N42" i="2"/>
  <c r="AJ15" i="9"/>
  <c r="O26" i="2"/>
  <c r="AF43" i="9"/>
  <c r="O68" i="2"/>
  <c r="AQ87" i="2"/>
  <c r="H105" i="9"/>
  <c r="AY57" i="9"/>
  <c r="AE103" i="2"/>
  <c r="Y81" i="2"/>
  <c r="Y72" i="2"/>
  <c r="BB66" i="9"/>
  <c r="BB41" i="9"/>
  <c r="P20" i="9"/>
  <c r="BC19" i="9"/>
  <c r="AX50" i="9"/>
  <c r="T91" i="9"/>
  <c r="N21" i="2"/>
  <c r="AQ71" i="2"/>
  <c r="AR80" i="9"/>
  <c r="BC67" i="9"/>
  <c r="AO44" i="2"/>
  <c r="O23" i="2"/>
  <c r="H44" i="9"/>
  <c r="BC81" i="9"/>
  <c r="BB65" i="9"/>
  <c r="AY29" i="9"/>
  <c r="AQ102" i="2"/>
  <c r="C23" i="9"/>
  <c r="Y87" i="9"/>
  <c r="S77" i="9"/>
  <c r="BA52" i="2"/>
  <c r="AY106" i="9"/>
  <c r="H31" i="9"/>
  <c r="BC37" i="9"/>
  <c r="AQ40" i="2"/>
  <c r="AO102" i="2"/>
  <c r="O79" i="2"/>
  <c r="AX83" i="9"/>
  <c r="AY71" i="9"/>
  <c r="S42" i="9"/>
  <c r="AY98" i="9"/>
  <c r="AU32" i="2"/>
  <c r="O95" i="2"/>
  <c r="H23" i="9"/>
  <c r="BC50" i="9"/>
  <c r="AU31" i="2"/>
  <c r="Y92" i="2"/>
  <c r="Y83" i="2"/>
  <c r="Y21" i="2"/>
  <c r="AQ18" i="2"/>
  <c r="U11" i="2"/>
  <c r="AQ94" i="2"/>
  <c r="AY36" i="9"/>
  <c r="AU71" i="2"/>
  <c r="Y27" i="2"/>
  <c r="AU19" i="2"/>
  <c r="AQ23" i="2"/>
  <c r="Y48" i="2"/>
  <c r="AY64" i="9"/>
  <c r="AY60" i="9"/>
  <c r="Y41" i="2"/>
  <c r="Y43" i="2"/>
  <c r="Y64" i="2"/>
  <c r="Y91" i="2"/>
  <c r="Y23" i="2"/>
  <c r="Y109" i="2"/>
  <c r="Y19" i="2"/>
  <c r="AU33" i="2"/>
  <c r="AU42" i="2"/>
  <c r="Y39" i="2"/>
  <c r="AU44" i="2"/>
  <c r="Y58" i="2"/>
  <c r="Y56" i="2"/>
  <c r="AU26" i="2"/>
  <c r="AU81" i="2"/>
  <c r="AU25" i="2"/>
  <c r="AU96" i="2"/>
  <c r="AU98" i="2"/>
  <c r="AU85" i="2"/>
  <c r="AU95" i="2"/>
  <c r="AU50" i="2"/>
  <c r="AU18" i="2"/>
  <c r="L35" i="2"/>
  <c r="C14" i="9"/>
  <c r="G87" i="9"/>
  <c r="AN74" i="2"/>
  <c r="C65" i="2"/>
  <c r="AW35" i="2"/>
  <c r="BA87" i="9"/>
  <c r="AF11" i="2"/>
  <c r="I100" i="2"/>
  <c r="C46" i="2"/>
  <c r="AN102" i="9"/>
  <c r="K102" i="9"/>
  <c r="AK62" i="9"/>
  <c r="C38" i="2"/>
  <c r="C49" i="2"/>
  <c r="BB62" i="9"/>
  <c r="V87" i="9"/>
  <c r="AN35" i="2"/>
  <c r="AN10" i="9"/>
  <c r="C21" i="2"/>
  <c r="C79" i="9"/>
  <c r="AZ87" i="9"/>
  <c r="BC62" i="9"/>
  <c r="AJ74" i="9"/>
  <c r="AQ100" i="2"/>
  <c r="BC102" i="9"/>
  <c r="AU102" i="9"/>
</calcChain>
</file>

<file path=xl/sharedStrings.xml><?xml version="1.0" encoding="utf-8"?>
<sst xmlns="http://schemas.openxmlformats.org/spreadsheetml/2006/main" count="1074" uniqueCount="310">
  <si>
    <t>COSTA RICA: INCIDENCIA DENGUE CLASICO</t>
  </si>
  <si>
    <t>SEGÚN CANTÓN DE PROCEDENCIA Y SEMANA EPIDEMIOLÓGICA DE INICIO DE SINTOMAS</t>
  </si>
  <si>
    <t>NÚMEROS ABSOLUTOS Y TASAS SOLO DE TOTAL. (Tasa p/100.000 habitantes)</t>
  </si>
  <si>
    <t>AÑO 2017</t>
  </si>
  <si>
    <t>PROVICIA Y CANTON</t>
  </si>
  <si>
    <t>TOTAL</t>
  </si>
  <si>
    <t>SEMANA EPIDEMIOLÓGICA</t>
  </si>
  <si>
    <t>Nº</t>
  </si>
  <si>
    <t>TASA</t>
  </si>
  <si>
    <t xml:space="preserve">   TOTAL DEL PAIS  </t>
  </si>
  <si>
    <t>SAN JOSE</t>
  </si>
  <si>
    <t xml:space="preserve">SAN JOSE </t>
  </si>
  <si>
    <t xml:space="preserve">ESCAZU          </t>
  </si>
  <si>
    <t>DESAMPARADOS</t>
  </si>
  <si>
    <t xml:space="preserve">PURISCAL             </t>
  </si>
  <si>
    <t xml:space="preserve">TARRAZU         </t>
  </si>
  <si>
    <t xml:space="preserve">ASERRI         </t>
  </si>
  <si>
    <t xml:space="preserve">MORA              </t>
  </si>
  <si>
    <t xml:space="preserve">GOICOECHEA      </t>
  </si>
  <si>
    <t xml:space="preserve">SANTA ANA        </t>
  </si>
  <si>
    <t xml:space="preserve">ALAJUELITA       </t>
  </si>
  <si>
    <t xml:space="preserve">CORONADO         </t>
  </si>
  <si>
    <t xml:space="preserve">ACOSTA         </t>
  </si>
  <si>
    <t xml:space="preserve">TIBAS              </t>
  </si>
  <si>
    <t xml:space="preserve">MORAVIA         </t>
  </si>
  <si>
    <t xml:space="preserve">MONTES DE OCA       </t>
  </si>
  <si>
    <t>TURRUBARES</t>
  </si>
  <si>
    <t xml:space="preserve">DOTA             </t>
  </si>
  <si>
    <t xml:space="preserve">CURRIDABAT         </t>
  </si>
  <si>
    <t xml:space="preserve">PEREZ ZELEDON         </t>
  </si>
  <si>
    <t xml:space="preserve">LEON CORTES     </t>
  </si>
  <si>
    <t>ALAJUELA</t>
  </si>
  <si>
    <t xml:space="preserve">ALAJUELA </t>
  </si>
  <si>
    <t xml:space="preserve">SAN RAMON        </t>
  </si>
  <si>
    <t xml:space="preserve">GRECIA         </t>
  </si>
  <si>
    <t xml:space="preserve">SAN MATEO          </t>
  </si>
  <si>
    <t xml:space="preserve">ATENAS            </t>
  </si>
  <si>
    <t xml:space="preserve">NARANJO           </t>
  </si>
  <si>
    <t xml:space="preserve">PALMARES          </t>
  </si>
  <si>
    <t xml:space="preserve">POAS             </t>
  </si>
  <si>
    <t xml:space="preserve">OROTINA             </t>
  </si>
  <si>
    <t xml:space="preserve">SAN CARLOS          </t>
  </si>
  <si>
    <t xml:space="preserve">ALFARO RUIZ        </t>
  </si>
  <si>
    <t xml:space="preserve">VALVERDE VEGA     </t>
  </si>
  <si>
    <t xml:space="preserve">UPALA             </t>
  </si>
  <si>
    <t xml:space="preserve">LOS CHILES         </t>
  </si>
  <si>
    <t xml:space="preserve">GUATUSO             </t>
  </si>
  <si>
    <t>CARTAGO</t>
  </si>
  <si>
    <t xml:space="preserve">CARTAGO </t>
  </si>
  <si>
    <t xml:space="preserve">PARAISO            </t>
  </si>
  <si>
    <t xml:space="preserve">LA UNION           </t>
  </si>
  <si>
    <t xml:space="preserve">JIMENEZ              </t>
  </si>
  <si>
    <t xml:space="preserve">TURRIALBA        </t>
  </si>
  <si>
    <t xml:space="preserve">ALVARADO           </t>
  </si>
  <si>
    <t xml:space="preserve">OREAMUNO           </t>
  </si>
  <si>
    <t xml:space="preserve">EL GUARCO         </t>
  </si>
  <si>
    <t>HEREDIA</t>
  </si>
  <si>
    <t xml:space="preserve">HEREDIA </t>
  </si>
  <si>
    <t xml:space="preserve">BARVA               </t>
  </si>
  <si>
    <t xml:space="preserve">SANTO DOMINGO      </t>
  </si>
  <si>
    <t xml:space="preserve">SANTA BARBARA        </t>
  </si>
  <si>
    <t xml:space="preserve">SAN RAFAEL         </t>
  </si>
  <si>
    <t xml:space="preserve">SAN ISIDRO           </t>
  </si>
  <si>
    <t xml:space="preserve">BELEN               </t>
  </si>
  <si>
    <t xml:space="preserve">FLORES             </t>
  </si>
  <si>
    <t xml:space="preserve">SAN PABLO           </t>
  </si>
  <si>
    <t xml:space="preserve">SARAPIQUI         </t>
  </si>
  <si>
    <t>GUANACASTE</t>
  </si>
  <si>
    <t xml:space="preserve">LIBERIA          </t>
  </si>
  <si>
    <t xml:space="preserve">NICOYA             </t>
  </si>
  <si>
    <t xml:space="preserve">SANTA CRUZ         </t>
  </si>
  <si>
    <t>BAGACES</t>
  </si>
  <si>
    <t xml:space="preserve">CARRILLO             </t>
  </si>
  <si>
    <t xml:space="preserve">CAÑAS             </t>
  </si>
  <si>
    <t xml:space="preserve">ABANGARES           </t>
  </si>
  <si>
    <t>TILARAN</t>
  </si>
  <si>
    <t xml:space="preserve">NANDAYURE          </t>
  </si>
  <si>
    <t xml:space="preserve">LA CRUZ              </t>
  </si>
  <si>
    <t xml:space="preserve">HOJANCHA           </t>
  </si>
  <si>
    <t>PUNTARENAS</t>
  </si>
  <si>
    <t xml:space="preserve">PUNTARENAS </t>
  </si>
  <si>
    <t xml:space="preserve">ESPARZA          </t>
  </si>
  <si>
    <t xml:space="preserve">BUENOS AIRES        </t>
  </si>
  <si>
    <t xml:space="preserve">MONTES DE ORO       </t>
  </si>
  <si>
    <t xml:space="preserve">OSA                 </t>
  </si>
  <si>
    <t>QUEPOS</t>
  </si>
  <si>
    <t xml:space="preserve">GOLFITO             </t>
  </si>
  <si>
    <t>COTO BRUS</t>
  </si>
  <si>
    <t xml:space="preserve">PARRITA             </t>
  </si>
  <si>
    <t xml:space="preserve">CORREDORES          </t>
  </si>
  <si>
    <t xml:space="preserve">GARABITO          </t>
  </si>
  <si>
    <t>LIMON</t>
  </si>
  <si>
    <t xml:space="preserve">LIMON    </t>
  </si>
  <si>
    <t xml:space="preserve">POCOCI            </t>
  </si>
  <si>
    <t xml:space="preserve">SIQUIRRES           </t>
  </si>
  <si>
    <t xml:space="preserve">TALAMANCA         </t>
  </si>
  <si>
    <t xml:space="preserve">MATINA              </t>
  </si>
  <si>
    <t xml:space="preserve">GUACIMO             </t>
  </si>
  <si>
    <t>IGNORADO</t>
  </si>
  <si>
    <t xml:space="preserve">EXTRANJERO        </t>
  </si>
  <si>
    <t>Fuente: Dirección Vigilancia de la Salud, Ministerio de Salud.</t>
  </si>
  <si>
    <t>AÑO 2018</t>
  </si>
  <si>
    <t>AÑO 2019</t>
  </si>
  <si>
    <t>* Nacimientos Año 2019 y subsecuentes se obtuvieron del Grupo de 0-4 Años Mediante apertura del rango a edades simples con los Multiplicadores de Karup-King.</t>
  </si>
  <si>
    <t>AÑO 2020</t>
  </si>
  <si>
    <t>RIO CUARTO</t>
  </si>
  <si>
    <t>N/D</t>
  </si>
  <si>
    <t>AÑO 2021</t>
  </si>
  <si>
    <t>AÑO 2022</t>
  </si>
  <si>
    <t>AÑO 2023</t>
  </si>
  <si>
    <t>1: San Jose</t>
  </si>
  <si>
    <t>101: San Jose</t>
  </si>
  <si>
    <t>102: Escazu</t>
  </si>
  <si>
    <t>103: Desamparados</t>
  </si>
  <si>
    <t>104: Puriscal</t>
  </si>
  <si>
    <t>105: Tarrazu</t>
  </si>
  <si>
    <t>106: Aserri</t>
  </si>
  <si>
    <t>107: Mora</t>
  </si>
  <si>
    <t>108: Goicoechea</t>
  </si>
  <si>
    <t>109: Santa Ana</t>
  </si>
  <si>
    <t>110: Alajuelita</t>
  </si>
  <si>
    <t>111: Vazquez de Coronado</t>
  </si>
  <si>
    <t>112: Acosta</t>
  </si>
  <si>
    <t>113: Tibas</t>
  </si>
  <si>
    <t>114: Moravia</t>
  </si>
  <si>
    <t>115: Montes de Oca</t>
  </si>
  <si>
    <t>116: Turrubares</t>
  </si>
  <si>
    <t>117: Dota</t>
  </si>
  <si>
    <t>118: Curridabat</t>
  </si>
  <si>
    <t>119: Perez Zeledon</t>
  </si>
  <si>
    <t>120: Leon Cortes</t>
  </si>
  <si>
    <t>2: Alajuela</t>
  </si>
  <si>
    <t>201: Alajuela</t>
  </si>
  <si>
    <t>202: San Ramon</t>
  </si>
  <si>
    <t>203: Grecia</t>
  </si>
  <si>
    <t>204: San Mateo</t>
  </si>
  <si>
    <t>205: Atenas</t>
  </si>
  <si>
    <t>206: Naranjo</t>
  </si>
  <si>
    <t>207: Palmares</t>
  </si>
  <si>
    <t>208: Poas</t>
  </si>
  <si>
    <t>209: Orotina</t>
  </si>
  <si>
    <t>210: San Carlos</t>
  </si>
  <si>
    <t>211: Zarcero</t>
  </si>
  <si>
    <t>212: Valverde Vega</t>
  </si>
  <si>
    <t>213: Upala</t>
  </si>
  <si>
    <t>214: Los Chiles</t>
  </si>
  <si>
    <t>215: Guatuso</t>
  </si>
  <si>
    <t>216: Rio Cuarto</t>
  </si>
  <si>
    <t>3: Cartago</t>
  </si>
  <si>
    <t>301: Cartago</t>
  </si>
  <si>
    <t>302: Paraiso</t>
  </si>
  <si>
    <t>303: La Union</t>
  </si>
  <si>
    <t>304: Jimenez</t>
  </si>
  <si>
    <t>305: Turrialba</t>
  </si>
  <si>
    <t>306: Alvarado</t>
  </si>
  <si>
    <t>307: Oreamuno</t>
  </si>
  <si>
    <t>308: El Guarco</t>
  </si>
  <si>
    <t>4: Heredia</t>
  </si>
  <si>
    <t>401: Heredia</t>
  </si>
  <si>
    <t>402: Barva</t>
  </si>
  <si>
    <t>403: Santo Domingo</t>
  </si>
  <si>
    <t>404: Santa Barbara</t>
  </si>
  <si>
    <t>405: San Rafael</t>
  </si>
  <si>
    <t>406: San Isidro</t>
  </si>
  <si>
    <t>407: Belen</t>
  </si>
  <si>
    <t>408: Flores</t>
  </si>
  <si>
    <t>409: San Pablo</t>
  </si>
  <si>
    <t>410: Sarapiqui</t>
  </si>
  <si>
    <t>5: Guanacaste</t>
  </si>
  <si>
    <t>501: Liberia</t>
  </si>
  <si>
    <t>502: Nicoya</t>
  </si>
  <si>
    <t>503: Santa Cruz</t>
  </si>
  <si>
    <t>504: Bagaces</t>
  </si>
  <si>
    <t>505: Carrillo</t>
  </si>
  <si>
    <t>506: Cañas</t>
  </si>
  <si>
    <t>507: Abangares</t>
  </si>
  <si>
    <t>508: Tilaran</t>
  </si>
  <si>
    <t>509: Nandayure</t>
  </si>
  <si>
    <t>510: La Cruz</t>
  </si>
  <si>
    <t>511: Hojancha</t>
  </si>
  <si>
    <t>6: Puntarenas</t>
  </si>
  <si>
    <t>601: Puntarenas</t>
  </si>
  <si>
    <t>602: Esparza</t>
  </si>
  <si>
    <t>603: Buenos Aires</t>
  </si>
  <si>
    <t>604: Montes de Oro</t>
  </si>
  <si>
    <t>605: Osa</t>
  </si>
  <si>
    <t>606: Quepos</t>
  </si>
  <si>
    <t>607: Golfito</t>
  </si>
  <si>
    <t>608: Coto Brus</t>
  </si>
  <si>
    <t>609: Parrita</t>
  </si>
  <si>
    <t>610: Corredores</t>
  </si>
  <si>
    <t>611: Garabito</t>
  </si>
  <si>
    <t>612: Monteverde</t>
  </si>
  <si>
    <t>7: Limon</t>
  </si>
  <si>
    <t>701: Limon</t>
  </si>
  <si>
    <t>702: Pococi</t>
  </si>
  <si>
    <t>703: Siquirres</t>
  </si>
  <si>
    <t>704: Talamanca</t>
  </si>
  <si>
    <t>705: Matina</t>
  </si>
  <si>
    <t>706: Guacimo</t>
  </si>
  <si>
    <t>AÑO 2024</t>
  </si>
  <si>
    <t>613: Puerto Jimenez</t>
  </si>
  <si>
    <t>AÑO 2025</t>
  </si>
  <si>
    <t>2011"</t>
  </si>
  <si>
    <t>y</t>
  </si>
  <si>
    <t>Total del País</t>
  </si>
  <si>
    <t>*Datos 2020 a la Última base recibida el 11/01/2021</t>
  </si>
  <si>
    <t>**2022 Cifras preliminares</t>
  </si>
  <si>
    <t>"2011 actualizado el 2/6/23 con depuración del 2017</t>
  </si>
  <si>
    <t>CASOS NOTIFICADOS DE DENGUE</t>
  </si>
  <si>
    <t>(Tasa p/100.000 habitantes)</t>
  </si>
  <si>
    <t>SEGÚN PROVINCIA Y CANTÓN DE PROCEDENCIA.</t>
  </si>
  <si>
    <t>COSTA RICA  2011 - 2023</t>
  </si>
  <si>
    <t>Provincia</t>
  </si>
  <si>
    <t>Cantón</t>
  </si>
  <si>
    <t>San José</t>
  </si>
  <si>
    <t xml:space="preserve"> San José</t>
  </si>
  <si>
    <t xml:space="preserve"> Escazú</t>
  </si>
  <si>
    <t xml:space="preserve"> Desamparados</t>
  </si>
  <si>
    <t xml:space="preserve"> Puriscal</t>
  </si>
  <si>
    <t xml:space="preserve"> Tarrazú</t>
  </si>
  <si>
    <t xml:space="preserve"> Aserrí</t>
  </si>
  <si>
    <t xml:space="preserve"> Mora</t>
  </si>
  <si>
    <t xml:space="preserve"> Goicoechea</t>
  </si>
  <si>
    <t xml:space="preserve"> Santa Ana</t>
  </si>
  <si>
    <t xml:space="preserve"> Alajuelita</t>
  </si>
  <si>
    <t xml:space="preserve"> Vázquez de Coronado</t>
  </si>
  <si>
    <t xml:space="preserve"> Acosta</t>
  </si>
  <si>
    <t xml:space="preserve"> Tibás</t>
  </si>
  <si>
    <t xml:space="preserve"> Moravia</t>
  </si>
  <si>
    <t xml:space="preserve"> Montes de Oca</t>
  </si>
  <si>
    <t xml:space="preserve"> Turrubares</t>
  </si>
  <si>
    <t xml:space="preserve"> Dota</t>
  </si>
  <si>
    <t xml:space="preserve"> Curridabat</t>
  </si>
  <si>
    <t xml:space="preserve"> Pérez Zeledón</t>
  </si>
  <si>
    <t xml:space="preserve"> León Cortés</t>
  </si>
  <si>
    <t>Alajuela</t>
  </si>
  <si>
    <t xml:space="preserve"> Alajuela</t>
  </si>
  <si>
    <t xml:space="preserve"> San Ramón</t>
  </si>
  <si>
    <t xml:space="preserve"> Grecia</t>
  </si>
  <si>
    <t xml:space="preserve"> San Mateo</t>
  </si>
  <si>
    <t xml:space="preserve"> Atenas</t>
  </si>
  <si>
    <t xml:space="preserve"> Naranjo</t>
  </si>
  <si>
    <t xml:space="preserve"> Palmares</t>
  </si>
  <si>
    <t xml:space="preserve"> Poás</t>
  </si>
  <si>
    <t xml:space="preserve"> Orotina</t>
  </si>
  <si>
    <t xml:space="preserve"> San Carlos</t>
  </si>
  <si>
    <t xml:space="preserve"> Alfaro Ruíz</t>
  </si>
  <si>
    <t xml:space="preserve"> Valverde Vega</t>
  </si>
  <si>
    <t xml:space="preserve"> Upala</t>
  </si>
  <si>
    <t xml:space="preserve"> Los Chiles</t>
  </si>
  <si>
    <t xml:space="preserve"> Guatuso</t>
  </si>
  <si>
    <t>Rio Cuarto</t>
  </si>
  <si>
    <t>Cartago</t>
  </si>
  <si>
    <t xml:space="preserve"> Cartago</t>
  </si>
  <si>
    <t xml:space="preserve"> Paraíso</t>
  </si>
  <si>
    <t xml:space="preserve"> La Union</t>
  </si>
  <si>
    <t xml:space="preserve"> Jiménez</t>
  </si>
  <si>
    <t xml:space="preserve"> Turrialba</t>
  </si>
  <si>
    <t xml:space="preserve"> Alvarado</t>
  </si>
  <si>
    <t xml:space="preserve"> Oreamuno</t>
  </si>
  <si>
    <t xml:space="preserve"> El Guarco</t>
  </si>
  <si>
    <t>Heredia</t>
  </si>
  <si>
    <t xml:space="preserve"> Heredia</t>
  </si>
  <si>
    <t xml:space="preserve"> Barva</t>
  </si>
  <si>
    <t xml:space="preserve"> Santo Domingo</t>
  </si>
  <si>
    <t xml:space="preserve"> Santa Bárbara</t>
  </si>
  <si>
    <t xml:space="preserve"> San Rafael</t>
  </si>
  <si>
    <t xml:space="preserve"> San Isidro</t>
  </si>
  <si>
    <t xml:space="preserve"> Belén</t>
  </si>
  <si>
    <t xml:space="preserve"> Flores</t>
  </si>
  <si>
    <t xml:space="preserve"> San Pablo</t>
  </si>
  <si>
    <t xml:space="preserve"> Sarapiquí</t>
  </si>
  <si>
    <t>Guanacaste</t>
  </si>
  <si>
    <t xml:space="preserve"> Liberia</t>
  </si>
  <si>
    <t xml:space="preserve"> Nicoya</t>
  </si>
  <si>
    <t xml:space="preserve"> Santa Cruz</t>
  </si>
  <si>
    <t xml:space="preserve"> Bagaces</t>
  </si>
  <si>
    <t xml:space="preserve"> Carrillo</t>
  </si>
  <si>
    <t xml:space="preserve"> Cañas</t>
  </si>
  <si>
    <t xml:space="preserve"> Abangares</t>
  </si>
  <si>
    <t xml:space="preserve"> Tilarán</t>
  </si>
  <si>
    <t xml:space="preserve"> Nandayure</t>
  </si>
  <si>
    <t xml:space="preserve"> La Cruz</t>
  </si>
  <si>
    <t xml:space="preserve"> Hojancha</t>
  </si>
  <si>
    <t>Puntarenas</t>
  </si>
  <si>
    <t xml:space="preserve"> Puntarenas</t>
  </si>
  <si>
    <t xml:space="preserve"> Esparza</t>
  </si>
  <si>
    <t xml:space="preserve"> Buenos Aires</t>
  </si>
  <si>
    <t xml:space="preserve"> Montes de Oro</t>
  </si>
  <si>
    <t xml:space="preserve"> Osa</t>
  </si>
  <si>
    <t xml:space="preserve"> Aguirre</t>
  </si>
  <si>
    <t xml:space="preserve"> Golfito</t>
  </si>
  <si>
    <t xml:space="preserve"> Coto Brus</t>
  </si>
  <si>
    <t xml:space="preserve"> Parrita</t>
  </si>
  <si>
    <t xml:space="preserve"> Corredores</t>
  </si>
  <si>
    <t xml:space="preserve"> Garabito</t>
  </si>
  <si>
    <t>Monteverde</t>
  </si>
  <si>
    <t>Limón</t>
  </si>
  <si>
    <t xml:space="preserve"> Limón</t>
  </si>
  <si>
    <t xml:space="preserve"> Pococí</t>
  </si>
  <si>
    <t xml:space="preserve"> Siquirres</t>
  </si>
  <si>
    <t xml:space="preserve"> Talamanca</t>
  </si>
  <si>
    <t xml:space="preserve"> Matina</t>
  </si>
  <si>
    <t xml:space="preserve"> Guácimo</t>
  </si>
  <si>
    <t>Ignorado</t>
  </si>
  <si>
    <t>Extranjero</t>
  </si>
  <si>
    <t>Fuente: Ministerio de Salud, Dirección Vigilancia de la Salud, USIS</t>
  </si>
  <si>
    <t>Puntarenas_Monteverde</t>
  </si>
  <si>
    <t>Golfito_Pjimenez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</si>
</sst>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1" x14ac:knownFonts="1">
    <font>
      <sz val="11"/>
      <color theme="1"/>
      <name val="Calibri"/>
      <family val="2"/>
      <scheme val="minor"/>
    </font>
    <font>
      <b/>
      <sz val="11"/>
      <color theme="1"/>
      <name val="Arial"/>
      <family val="2"/>
    </font>
    <font>
      <b/>
      <sz val="11"/>
      <color rgb="FF000000"/>
      <name val="Arial"/>
      <family val="2"/>
    </font>
    <font>
      <sz val="11"/>
      <color theme="1"/>
      <name val="Arial"/>
      <family val="2"/>
    </font>
    <font>
      <b/>
      <sz val="11"/>
      <color theme="1"/>
      <name val="Calibri"/>
      <family val="2"/>
      <scheme val="minor"/>
    </font>
    <font>
      <sz val="12"/>
      <color indexed="22"/>
      <name val="Arial"/>
      <family val="2"/>
    </font>
    <font>
      <b/>
      <sz val="11"/>
      <color indexed="8"/>
      <name val="Arial"/>
      <family val="2"/>
    </font>
    <font>
      <sz val="11"/>
      <color indexed="8"/>
      <name val="Arial"/>
      <family val="2"/>
    </font>
    <font>
      <b/>
      <sz val="11"/>
      <name val="Arial"/>
      <family val="2"/>
    </font>
    <font>
      <sz val="10"/>
      <name val="Arial"/>
      <family val="2"/>
    </font>
    <font>
      <sz val="1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theme="0" tint="-0.249977111117893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/>
      <top/>
      <bottom style="thin">
        <color theme="4" tint="0.39997558519241921"/>
      </bottom>
      <diagonal/>
    </border>
  </borders>
  <cellStyleXfs count="3">
    <xf numFmtId="0" fontId="0" fillId="0" borderId="0"/>
    <xf numFmtId="0" fontId="5" fillId="0" borderId="0"/>
    <xf numFmtId="0" fontId="9" fillId="0" borderId="0"/>
  </cellStyleXfs>
  <cellXfs count="100">
    <xf numFmtId="0" fontId="0" fillId="0" borderId="0" xfId="0"/>
    <xf numFmtId="0" fontId="1" fillId="2" borderId="0" xfId="0" applyFont="1" applyFill="1" applyAlignment="1">
      <alignment horizontal="left"/>
    </xf>
    <xf numFmtId="0" fontId="0" fillId="2" borderId="0" xfId="0" applyFill="1" applyAlignment="1">
      <alignment horizontal="center"/>
    </xf>
    <xf numFmtId="164" fontId="0" fillId="2" borderId="0" xfId="0" applyNumberFormat="1" applyFill="1" applyAlignment="1">
      <alignment horizontal="center"/>
    </xf>
    <xf numFmtId="0" fontId="1" fillId="2" borderId="0" xfId="0" applyFont="1" applyFill="1"/>
    <xf numFmtId="0" fontId="1" fillId="2" borderId="1" xfId="0" applyFont="1" applyFill="1" applyBorder="1" applyAlignment="1">
      <alignment horizontal="left"/>
    </xf>
    <xf numFmtId="0" fontId="0" fillId="2" borderId="1" xfId="0" applyFill="1" applyBorder="1" applyAlignment="1">
      <alignment horizontal="center"/>
    </xf>
    <xf numFmtId="164" fontId="0" fillId="2" borderId="1" xfId="0" applyNumberFormat="1" applyFill="1" applyBorder="1" applyAlignment="1">
      <alignment horizontal="center"/>
    </xf>
    <xf numFmtId="0" fontId="1" fillId="2" borderId="0" xfId="0" applyFont="1" applyFill="1" applyAlignment="1">
      <alignment horizontal="left" vertical="center" wrapText="1"/>
    </xf>
    <xf numFmtId="0" fontId="1" fillId="2" borderId="0" xfId="0" applyFont="1" applyFill="1" applyAlignment="1">
      <alignment horizontal="left" vertical="center"/>
    </xf>
    <xf numFmtId="0" fontId="1" fillId="2" borderId="0" xfId="0" applyFont="1" applyFill="1" applyAlignment="1" applyProtection="1">
      <alignment horizontal="center"/>
      <protection hidden="1"/>
    </xf>
    <xf numFmtId="164" fontId="1" fillId="2" borderId="0" xfId="0" applyNumberFormat="1" applyFont="1" applyFill="1" applyAlignment="1" applyProtection="1">
      <alignment horizontal="center"/>
      <protection hidden="1"/>
    </xf>
    <xf numFmtId="0" fontId="1" fillId="2" borderId="0" xfId="0" applyFont="1" applyFill="1" applyAlignment="1">
      <alignment horizontal="center"/>
    </xf>
    <xf numFmtId="164" fontId="1" fillId="2" borderId="0" xfId="0" applyNumberFormat="1" applyFont="1" applyFill="1" applyAlignment="1">
      <alignment horizontal="center"/>
    </xf>
    <xf numFmtId="0" fontId="0" fillId="2" borderId="0" xfId="0" applyFill="1" applyAlignment="1">
      <alignment horizontal="left"/>
    </xf>
    <xf numFmtId="0" fontId="0" fillId="2" borderId="0" xfId="0" applyFill="1" applyAlignment="1" applyProtection="1">
      <alignment horizontal="center"/>
      <protection hidden="1"/>
    </xf>
    <xf numFmtId="164" fontId="0" fillId="2" borderId="0" xfId="0" applyNumberFormat="1" applyFill="1" applyAlignment="1" applyProtection="1">
      <alignment horizontal="center"/>
      <protection hidden="1"/>
    </xf>
    <xf numFmtId="2" fontId="0" fillId="2" borderId="2" xfId="0" applyNumberFormat="1" applyFill="1" applyBorder="1" applyAlignment="1">
      <alignment horizontal="left"/>
    </xf>
    <xf numFmtId="0" fontId="0" fillId="2" borderId="2" xfId="0" applyFill="1" applyBorder="1" applyAlignment="1">
      <alignment horizontal="center"/>
    </xf>
    <xf numFmtId="0" fontId="0" fillId="0" borderId="0" xfId="0" applyAlignment="1">
      <alignment horizontal="center"/>
    </xf>
    <xf numFmtId="0" fontId="2" fillId="3" borderId="0" xfId="0" applyFont="1" applyFill="1" applyAlignment="1">
      <alignment horizontal="left"/>
    </xf>
    <xf numFmtId="0" fontId="3" fillId="3" borderId="0" xfId="0" applyFont="1" applyFill="1" applyAlignment="1">
      <alignment horizontal="center"/>
    </xf>
    <xf numFmtId="164" fontId="3" fillId="3" borderId="0" xfId="0" applyNumberFormat="1" applyFont="1" applyFill="1" applyAlignment="1">
      <alignment horizontal="center"/>
    </xf>
    <xf numFmtId="0" fontId="2" fillId="3" borderId="0" xfId="0" applyFont="1" applyFill="1"/>
    <xf numFmtId="0" fontId="2" fillId="3" borderId="1" xfId="0" applyFont="1" applyFill="1" applyBorder="1" applyAlignment="1">
      <alignment horizontal="left"/>
    </xf>
    <xf numFmtId="0" fontId="3" fillId="3" borderId="1" xfId="0" applyFont="1" applyFill="1" applyBorder="1" applyAlignment="1">
      <alignment horizontal="center"/>
    </xf>
    <xf numFmtId="164" fontId="3" fillId="3" borderId="1" xfId="0" applyNumberFormat="1" applyFont="1" applyFill="1" applyBorder="1" applyAlignment="1">
      <alignment horizontal="center"/>
    </xf>
    <xf numFmtId="0" fontId="2" fillId="3" borderId="0" xfId="0" applyFont="1" applyFill="1" applyAlignment="1">
      <alignment horizontal="left" vertical="center" wrapText="1"/>
    </xf>
    <xf numFmtId="0" fontId="2" fillId="3" borderId="0" xfId="0" applyFont="1" applyFill="1" applyAlignment="1">
      <alignment horizontal="left" vertical="center"/>
    </xf>
    <xf numFmtId="0" fontId="2" fillId="3" borderId="0" xfId="0" applyFont="1" applyFill="1" applyAlignment="1" applyProtection="1">
      <alignment horizontal="center"/>
      <protection hidden="1"/>
    </xf>
    <xf numFmtId="164" fontId="2" fillId="3" borderId="0" xfId="0" applyNumberFormat="1" applyFont="1" applyFill="1" applyAlignment="1" applyProtection="1">
      <alignment horizontal="center"/>
      <protection hidden="1"/>
    </xf>
    <xf numFmtId="0" fontId="2" fillId="3" borderId="0" xfId="0" applyFont="1" applyFill="1" applyAlignment="1">
      <alignment horizontal="center"/>
    </xf>
    <xf numFmtId="164" fontId="2" fillId="3" borderId="0" xfId="0" applyNumberFormat="1" applyFont="1" applyFill="1" applyAlignment="1">
      <alignment horizontal="center"/>
    </xf>
    <xf numFmtId="0" fontId="3" fillId="3" borderId="0" xfId="0" applyFont="1" applyFill="1" applyAlignment="1">
      <alignment horizontal="left"/>
    </xf>
    <xf numFmtId="0" fontId="3" fillId="3" borderId="0" xfId="0" applyFont="1" applyFill="1" applyAlignment="1" applyProtection="1">
      <alignment horizontal="center"/>
      <protection hidden="1"/>
    </xf>
    <xf numFmtId="164" fontId="3" fillId="3" borderId="0" xfId="0" applyNumberFormat="1" applyFont="1" applyFill="1" applyAlignment="1" applyProtection="1">
      <alignment horizontal="center"/>
      <protection hidden="1"/>
    </xf>
    <xf numFmtId="0" fontId="3" fillId="0" borderId="0" xfId="0" applyFont="1" applyAlignment="1">
      <alignment horizontal="center"/>
    </xf>
    <xf numFmtId="2" fontId="3" fillId="3" borderId="2" xfId="0" applyNumberFormat="1" applyFont="1" applyFill="1" applyBorder="1" applyAlignment="1">
      <alignment horizontal="left"/>
    </xf>
    <xf numFmtId="0" fontId="3" fillId="3" borderId="2" xfId="0" applyFont="1" applyFill="1" applyBorder="1" applyAlignment="1">
      <alignment horizontal="center"/>
    </xf>
    <xf numFmtId="0" fontId="0" fillId="2" borderId="0" xfId="0" applyFill="1"/>
    <xf numFmtId="0" fontId="6" fillId="4" borderId="0" xfId="1" applyFont="1" applyFill="1" applyAlignment="1">
      <alignment horizontal="center"/>
    </xf>
    <xf numFmtId="0" fontId="4" fillId="4" borderId="5" xfId="0" applyFont="1" applyFill="1" applyBorder="1"/>
    <xf numFmtId="0" fontId="6" fillId="4" borderId="6" xfId="1" applyFont="1" applyFill="1" applyBorder="1" applyAlignment="1">
      <alignment horizontal="center"/>
    </xf>
    <xf numFmtId="0" fontId="4" fillId="4" borderId="7" xfId="0" applyFont="1" applyFill="1" applyBorder="1" applyAlignment="1">
      <alignment horizontal="center"/>
    </xf>
    <xf numFmtId="0" fontId="0" fillId="4" borderId="8" xfId="0" applyFill="1" applyBorder="1"/>
    <xf numFmtId="0" fontId="4" fillId="4" borderId="9" xfId="0" applyFont="1" applyFill="1" applyBorder="1"/>
    <xf numFmtId="0" fontId="0" fillId="2" borderId="0" xfId="0" applyFill="1" applyAlignment="1">
      <alignment horizontal="right"/>
    </xf>
    <xf numFmtId="0" fontId="0" fillId="2" borderId="10" xfId="0" applyFill="1" applyBorder="1" applyAlignment="1">
      <alignment horizontal="right"/>
    </xf>
    <xf numFmtId="0" fontId="1" fillId="2" borderId="0" xfId="0" applyFont="1" applyFill="1" applyAlignment="1" applyProtection="1">
      <alignment horizontal="left"/>
      <protection locked="0"/>
    </xf>
    <xf numFmtId="164" fontId="4" fillId="2" borderId="0" xfId="0" applyNumberFormat="1" applyFont="1" applyFill="1"/>
    <xf numFmtId="164" fontId="4" fillId="2" borderId="0" xfId="0" applyNumberFormat="1" applyFont="1" applyFill="1" applyAlignment="1">
      <alignment horizontal="right"/>
    </xf>
    <xf numFmtId="0" fontId="4" fillId="2" borderId="0" xfId="0" applyFont="1" applyFill="1" applyAlignment="1">
      <alignment horizontal="right"/>
    </xf>
    <xf numFmtId="0" fontId="4" fillId="2" borderId="0" xfId="0" applyFont="1" applyFill="1"/>
    <xf numFmtId="0" fontId="0" fillId="2" borderId="10" xfId="0" applyFill="1" applyBorder="1"/>
    <xf numFmtId="0" fontId="4" fillId="4" borderId="0" xfId="0" applyFont="1" applyFill="1"/>
    <xf numFmtId="0" fontId="4" fillId="4" borderId="6" xfId="0" applyFont="1" applyFill="1" applyBorder="1" applyAlignment="1">
      <alignment horizontal="center"/>
    </xf>
    <xf numFmtId="0" fontId="4" fillId="4" borderId="0" xfId="0" applyFont="1" applyFill="1" applyAlignment="1">
      <alignment horizontal="center"/>
    </xf>
    <xf numFmtId="0" fontId="4" fillId="4" borderId="10" xfId="0" applyFont="1" applyFill="1" applyBorder="1"/>
    <xf numFmtId="0" fontId="4" fillId="4" borderId="0" xfId="0" applyFont="1" applyFill="1" applyAlignment="1">
      <alignment horizontal="right"/>
    </xf>
    <xf numFmtId="164" fontId="4" fillId="4" borderId="0" xfId="0" applyNumberFormat="1" applyFont="1" applyFill="1" applyAlignment="1">
      <alignment horizontal="right"/>
    </xf>
    <xf numFmtId="0" fontId="8" fillId="4" borderId="0" xfId="2" applyFont="1" applyFill="1" applyAlignment="1">
      <alignment horizontal="right"/>
    </xf>
    <xf numFmtId="164" fontId="8" fillId="4" borderId="0" xfId="2" applyNumberFormat="1" applyFont="1" applyFill="1" applyAlignment="1">
      <alignment horizontal="right"/>
    </xf>
    <xf numFmtId="0" fontId="6" fillId="2" borderId="0" xfId="1" applyFont="1" applyFill="1" applyAlignment="1">
      <alignment horizontal="center"/>
    </xf>
    <xf numFmtId="164" fontId="0" fillId="2" borderId="0" xfId="0" applyNumberFormat="1" applyFill="1" applyAlignment="1">
      <alignment horizontal="right"/>
    </xf>
    <xf numFmtId="0" fontId="8" fillId="2" borderId="0" xfId="2" applyFont="1" applyFill="1" applyAlignment="1">
      <alignment horizontal="right"/>
    </xf>
    <xf numFmtId="164" fontId="8" fillId="2" borderId="0" xfId="2" applyNumberFormat="1" applyFont="1" applyFill="1" applyAlignment="1">
      <alignment horizontal="right"/>
    </xf>
    <xf numFmtId="0" fontId="4" fillId="4" borderId="12" xfId="0" applyFont="1" applyFill="1" applyBorder="1"/>
    <xf numFmtId="0" fontId="7" fillId="2" borderId="0" xfId="1" applyFont="1" applyFill="1"/>
    <xf numFmtId="0" fontId="10" fillId="2" borderId="0" xfId="2" applyFont="1" applyFill="1" applyAlignment="1">
      <alignment horizontal="right"/>
    </xf>
    <xf numFmtId="164" fontId="10" fillId="2" borderId="0" xfId="2" applyNumberFormat="1" applyFont="1" applyFill="1" applyAlignment="1">
      <alignment horizontal="right"/>
    </xf>
    <xf numFmtId="0" fontId="1" fillId="4" borderId="0" xfId="0" applyFont="1" applyFill="1" applyAlignment="1">
      <alignment horizontal="right"/>
    </xf>
    <xf numFmtId="0" fontId="7" fillId="2" borderId="10" xfId="1" applyFont="1" applyFill="1" applyBorder="1"/>
    <xf numFmtId="164" fontId="0" fillId="2" borderId="10" xfId="0" applyNumberFormat="1" applyFill="1" applyBorder="1" applyAlignment="1">
      <alignment horizontal="right"/>
    </xf>
    <xf numFmtId="0" fontId="10" fillId="2" borderId="10" xfId="2" applyFont="1" applyFill="1" applyBorder="1" applyAlignment="1">
      <alignment horizontal="right"/>
    </xf>
    <xf numFmtId="164" fontId="10" fillId="2" borderId="10" xfId="2" applyNumberFormat="1" applyFont="1" applyFill="1" applyBorder="1" applyAlignment="1">
      <alignment horizontal="right"/>
    </xf>
    <xf numFmtId="0" fontId="1" fillId="2" borderId="2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left" vertical="center" wrapText="1"/>
    </xf>
    <xf numFmtId="0" fontId="1" fillId="2" borderId="0" xfId="0" applyFont="1" applyFill="1" applyAlignment="1">
      <alignment horizontal="left" vertical="center" wrapText="1"/>
    </xf>
    <xf numFmtId="0" fontId="1" fillId="2" borderId="1" xfId="0" applyFont="1" applyFill="1" applyBorder="1" applyAlignment="1">
      <alignment horizontal="left" vertical="center" wrapText="1"/>
    </xf>
    <xf numFmtId="0" fontId="1" fillId="2" borderId="3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164" fontId="1" fillId="2" borderId="2" xfId="0" applyNumberFormat="1" applyFont="1" applyFill="1" applyBorder="1" applyAlignment="1">
      <alignment horizontal="center" vertical="center"/>
    </xf>
    <xf numFmtId="164" fontId="1" fillId="2" borderId="1" xfId="0" applyNumberFormat="1" applyFont="1" applyFill="1" applyBorder="1" applyAlignment="1">
      <alignment horizontal="center" vertical="center"/>
    </xf>
    <xf numFmtId="0" fontId="4" fillId="4" borderId="4" xfId="0" applyFont="1" applyFill="1" applyBorder="1" applyAlignment="1">
      <alignment horizontal="center"/>
    </xf>
    <xf numFmtId="0" fontId="4" fillId="4" borderId="11" xfId="0" applyFont="1" applyFill="1" applyBorder="1" applyAlignment="1">
      <alignment horizontal="center"/>
    </xf>
    <xf numFmtId="0" fontId="2" fillId="3" borderId="2" xfId="0" applyFont="1" applyFill="1" applyBorder="1" applyAlignment="1">
      <alignment horizontal="left" vertical="center" wrapText="1"/>
    </xf>
    <xf numFmtId="0" fontId="2" fillId="3" borderId="0" xfId="0" applyFont="1" applyFill="1" applyAlignment="1">
      <alignment horizontal="left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2" fillId="3" borderId="3" xfId="0" applyFont="1" applyFill="1" applyBorder="1" applyAlignment="1">
      <alignment horizontal="center" vertical="center"/>
    </xf>
    <xf numFmtId="0" fontId="2" fillId="3" borderId="3" xfId="0" applyFont="1" applyFill="1" applyBorder="1" applyAlignment="1">
      <alignment horizontal="center"/>
    </xf>
    <xf numFmtId="0" fontId="2" fillId="3" borderId="2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164" fontId="2" fillId="3" borderId="2" xfId="0" applyNumberFormat="1" applyFont="1" applyFill="1" applyBorder="1" applyAlignment="1">
      <alignment horizontal="center" vertical="center"/>
    </xf>
    <xf numFmtId="164" fontId="2" fillId="3" borderId="1" xfId="0" applyNumberFormat="1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164" fontId="0" fillId="0" borderId="0" xfId="0" applyNumberFormat="1"/>
  </cellXfs>
  <cellStyles count="3">
    <cellStyle name="Normal" xfId="0" builtinId="0"/>
    <cellStyle name="Normal_4mortalidad CANTONES 02" xfId="1" xr:uid="{C443327F-11BA-4E9D-B381-0D153CA7119C}"/>
    <cellStyle name="Normal_MORTA edad02" xfId="2" xr:uid="{DCD8B966-3CEB-4304-AB62-FE9DDC58823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externalLink" Target="externalLinks/externalLink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crmisalud-my.sharepoint.com/personal/adrian_montero_misalud_go_cr/Documents/PLANTILLAS%20EVENTOS%202018-2022/PLANTILLA%20VE01%20DENGUE%20%20CLASICO%202018%20Machote%20Ver%202000-2018%20Ver%201.0.xlsm" TargetMode="External"/><Relationship Id="rId1" Type="http://schemas.openxmlformats.org/officeDocument/2006/relationships/externalLinkPath" Target="https://6f33fa7f78ea46e2aaca-my.sharepoint.com/personal/adrian_montero_misalud_go_cr/Documents/PLANTILLAS%20EVENTOS%202018-2022/PLANTILLA%20VE01%20DENGUE%20%20CLASICO%202018%20Machote%20Ver%202000-2018%20Ver%201.0.xlsm" TargetMode="External"/></Relationships>
</file>

<file path=xl/externalLinks/_rels/externalLink2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../../../../../Adriana/Downloads/PLANTILLA%20VE01-2%20DENGUE%202025%20Poblacion%20actualizada%202025%20Ver%201.0%20-2025%20Preliminar%202%20(14).xlsm" TargetMode="External"/><Relationship Id="rId2" Type="http://schemas.openxmlformats.org/officeDocument/2006/relationships/externalLinkPath" Target="file:///C:\Users\Adriana\Downloads\PLANTILLA%20VE01-2%20DENGUE%202025%20Poblacion%20actualizada%202025%20Ver%201.0%20-2025%20Preliminar%202%20(14).xlsm" TargetMode="External"/><Relationship Id="rId1" Type="http://schemas.openxmlformats.org/officeDocument/2006/relationships/externalLinkPath" Target="/Users/Adriana/Downloads/PLANTILLA%20VE01-2%20DENGUE%202025%20Poblacion%20actualizada%202025%20Ver%201.0%20-2025%20Preliminar%202%20(14)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BASE"/>
      <sheetName val="EVENTO"/>
      <sheetName val="Dinamica"/>
      <sheetName val="Tablas"/>
      <sheetName val="Poblaciones"/>
      <sheetName val="Distribucion CPD"/>
    </sheetNames>
    <sheetDataSet>
      <sheetData sheetId="0" refreshError="1"/>
      <sheetData sheetId="1" refreshError="1"/>
      <sheetData sheetId="2" refreshError="1">
        <row r="39">
          <cell r="EA39" t="str">
            <v>Cuenta de CANT</v>
          </cell>
        </row>
      </sheetData>
      <sheetData sheetId="3" refreshError="1">
        <row r="1">
          <cell r="A1" t="str">
            <v>Año 2018</v>
          </cell>
          <cell r="B1" t="str">
            <v>Total General</v>
          </cell>
        </row>
        <row r="3">
          <cell r="A3" t="str">
            <v>TOTAL</v>
          </cell>
          <cell r="B3">
            <v>5003393</v>
          </cell>
        </row>
        <row r="6">
          <cell r="B6">
            <v>297286</v>
          </cell>
        </row>
        <row r="7">
          <cell r="A7" t="str">
            <v>de 5 a 9 años</v>
          </cell>
          <cell r="B7">
            <v>371857</v>
          </cell>
        </row>
        <row r="8">
          <cell r="A8" t="str">
            <v>de 10 a 14 años</v>
          </cell>
          <cell r="B8">
            <v>370066</v>
          </cell>
        </row>
        <row r="9">
          <cell r="A9" t="str">
            <v>de 15 a 19 años</v>
          </cell>
          <cell r="B9">
            <v>394326</v>
          </cell>
        </row>
        <row r="10">
          <cell r="A10" t="str">
            <v>de 20 a 24 años</v>
          </cell>
          <cell r="B10">
            <v>427191</v>
          </cell>
        </row>
        <row r="11">
          <cell r="A11" t="str">
            <v>de 25 a 29 años</v>
          </cell>
          <cell r="B11">
            <v>448200</v>
          </cell>
        </row>
        <row r="12">
          <cell r="A12" t="str">
            <v>de 30 a 34 años</v>
          </cell>
          <cell r="B12">
            <v>445139</v>
          </cell>
        </row>
        <row r="13">
          <cell r="A13" t="str">
            <v>de 35 a 39 años</v>
          </cell>
          <cell r="B13">
            <v>388111</v>
          </cell>
        </row>
        <row r="14">
          <cell r="A14" t="str">
            <v>de 40 a 44 años</v>
          </cell>
          <cell r="B14">
            <v>328625</v>
          </cell>
        </row>
        <row r="15">
          <cell r="A15" t="str">
            <v>de 45 a 49 años</v>
          </cell>
          <cell r="B15">
            <v>293736</v>
          </cell>
        </row>
        <row r="16">
          <cell r="A16" t="str">
            <v>de 50 a 54 años</v>
          </cell>
          <cell r="B16">
            <v>288257</v>
          </cell>
        </row>
        <row r="17">
          <cell r="A17" t="str">
            <v>de 55 a 59 años</v>
          </cell>
          <cell r="B17">
            <v>259917</v>
          </cell>
        </row>
        <row r="18">
          <cell r="A18" t="str">
            <v>de 60 a 64 años</v>
          </cell>
          <cell r="B18">
            <v>208953</v>
          </cell>
        </row>
        <row r="19">
          <cell r="A19" t="str">
            <v>de 65 a 69 años</v>
          </cell>
          <cell r="B19">
            <v>149763</v>
          </cell>
        </row>
        <row r="20">
          <cell r="A20" t="str">
            <v>de 70 a 74 años</v>
          </cell>
          <cell r="B20">
            <v>102233</v>
          </cell>
        </row>
        <row r="21">
          <cell r="A21" t="str">
            <v>75 años y más</v>
          </cell>
          <cell r="B21">
            <v>157255</v>
          </cell>
        </row>
        <row r="23">
          <cell r="B23" t="str">
            <v/>
          </cell>
        </row>
        <row r="24">
          <cell r="A24" t="str">
            <v>Año 2018</v>
          </cell>
          <cell r="B24" t="str">
            <v>Total General</v>
          </cell>
        </row>
        <row r="25">
          <cell r="B25">
            <v>5003393</v>
          </cell>
        </row>
        <row r="27">
          <cell r="A27" t="str">
            <v>1: San Jose</v>
          </cell>
          <cell r="B27">
            <v>1635144</v>
          </cell>
        </row>
        <row r="28">
          <cell r="A28" t="str">
            <v>101: San Jose</v>
          </cell>
          <cell r="B28">
            <v>342188</v>
          </cell>
        </row>
        <row r="29">
          <cell r="A29" t="str">
            <v>102: Escazu</v>
          </cell>
          <cell r="B29">
            <v>68728</v>
          </cell>
        </row>
        <row r="30">
          <cell r="A30" t="str">
            <v>103: Desamparados</v>
          </cell>
          <cell r="B30">
            <v>240671</v>
          </cell>
        </row>
        <row r="31">
          <cell r="A31" t="str">
            <v>104: Puriscal</v>
          </cell>
          <cell r="B31">
            <v>37345</v>
          </cell>
        </row>
        <row r="33">
          <cell r="B33">
            <v>62477</v>
          </cell>
        </row>
        <row r="34">
          <cell r="A34" t="str">
            <v>107: Mora</v>
          </cell>
          <cell r="B34">
            <v>29821</v>
          </cell>
        </row>
        <row r="35">
          <cell r="A35" t="str">
            <v>108: Goicoechea</v>
          </cell>
          <cell r="B35">
            <v>136112</v>
          </cell>
        </row>
        <row r="36">
          <cell r="A36" t="str">
            <v>109: Santa Ana</v>
          </cell>
          <cell r="B36">
            <v>58946</v>
          </cell>
        </row>
        <row r="37">
          <cell r="A37" t="str">
            <v>110: Alajuelita</v>
          </cell>
          <cell r="B37">
            <v>91917</v>
          </cell>
        </row>
        <row r="38">
          <cell r="A38" t="str">
            <v>111: Vazquez de Coronado</v>
          </cell>
          <cell r="B38">
            <v>70247</v>
          </cell>
        </row>
        <row r="39">
          <cell r="A39" t="str">
            <v>112: Acosta</v>
          </cell>
          <cell r="B39">
            <v>21677</v>
          </cell>
        </row>
        <row r="40">
          <cell r="A40" t="str">
            <v>113: Tibas</v>
          </cell>
          <cell r="B40">
            <v>83564</v>
          </cell>
        </row>
        <row r="41">
          <cell r="A41" t="str">
            <v>114: Moravia</v>
          </cell>
          <cell r="B41">
            <v>61918</v>
          </cell>
        </row>
        <row r="42">
          <cell r="A42" t="str">
            <v>115: Montes de Oca</v>
          </cell>
          <cell r="B42">
            <v>62107</v>
          </cell>
        </row>
        <row r="43">
          <cell r="A43" t="str">
            <v>116: Turrubares</v>
          </cell>
          <cell r="B43">
            <v>6703</v>
          </cell>
        </row>
        <row r="45">
          <cell r="B45">
            <v>78331</v>
          </cell>
        </row>
        <row r="46">
          <cell r="A46" t="str">
            <v>119: Perez Zeledon</v>
          </cell>
          <cell r="B46">
            <v>142789</v>
          </cell>
        </row>
        <row r="47">
          <cell r="A47" t="str">
            <v>120: Leon Cortes</v>
          </cell>
          <cell r="B47">
            <v>13493</v>
          </cell>
        </row>
        <row r="49">
          <cell r="A49" t="str">
            <v>2: Alajuela</v>
          </cell>
          <cell r="B49">
            <v>1002917</v>
          </cell>
        </row>
        <row r="50">
          <cell r="A50" t="str">
            <v>201: Alajuela</v>
          </cell>
          <cell r="B50">
            <v>306206</v>
          </cell>
        </row>
        <row r="51">
          <cell r="A51" t="str">
            <v>202: San Ramon</v>
          </cell>
          <cell r="B51">
            <v>91853</v>
          </cell>
        </row>
        <row r="52">
          <cell r="A52" t="str">
            <v>203: Grecia</v>
          </cell>
          <cell r="B52">
            <v>91443</v>
          </cell>
        </row>
        <row r="53">
          <cell r="A53" t="str">
            <v>204: San Mateo</v>
          </cell>
          <cell r="B53">
            <v>6997</v>
          </cell>
        </row>
        <row r="54">
          <cell r="A54" t="str">
            <v>205: Atenas</v>
          </cell>
          <cell r="B54">
            <v>28747</v>
          </cell>
        </row>
        <row r="55">
          <cell r="A55" t="str">
            <v>206: Naranjo</v>
          </cell>
          <cell r="B55">
            <v>47801</v>
          </cell>
        </row>
        <row r="56">
          <cell r="A56" t="str">
            <v>207: Palmares</v>
          </cell>
          <cell r="B56">
            <v>40000</v>
          </cell>
        </row>
        <row r="58">
          <cell r="B58">
            <v>23126</v>
          </cell>
        </row>
        <row r="59">
          <cell r="A59" t="str">
            <v>210: San Carlos</v>
          </cell>
          <cell r="B59">
            <v>194207</v>
          </cell>
        </row>
        <row r="60">
          <cell r="A60" t="str">
            <v>211: Zarcero</v>
          </cell>
          <cell r="B60">
            <v>14046</v>
          </cell>
        </row>
        <row r="61">
          <cell r="A61" t="str">
            <v>212: Valverde Vega</v>
          </cell>
          <cell r="B61">
            <v>21724</v>
          </cell>
        </row>
        <row r="62">
          <cell r="A62" t="str">
            <v>213: Upala</v>
          </cell>
          <cell r="B62">
            <v>52651</v>
          </cell>
        </row>
        <row r="63">
          <cell r="A63" t="str">
            <v>214: Los Chiles</v>
          </cell>
          <cell r="B63">
            <v>32270</v>
          </cell>
        </row>
        <row r="64">
          <cell r="A64" t="str">
            <v>215: Guatuso</v>
          </cell>
          <cell r="B64">
            <v>18776</v>
          </cell>
        </row>
        <row r="66">
          <cell r="A66" t="str">
            <v>3: Cartago</v>
          </cell>
          <cell r="B66">
            <v>533795</v>
          </cell>
        </row>
        <row r="67">
          <cell r="A67" t="str">
            <v>301: Cartago</v>
          </cell>
          <cell r="B67">
            <v>161727</v>
          </cell>
        </row>
        <row r="68">
          <cell r="A68" t="str">
            <v>302: Paraiso</v>
          </cell>
          <cell r="B68">
            <v>62007</v>
          </cell>
        </row>
        <row r="69">
          <cell r="A69" t="str">
            <v>303: La Union</v>
          </cell>
          <cell r="B69">
            <v>110194</v>
          </cell>
        </row>
        <row r="71">
          <cell r="B71">
            <v>73616</v>
          </cell>
        </row>
        <row r="72">
          <cell r="A72" t="str">
            <v>306: Alvarado</v>
          </cell>
          <cell r="B72">
            <v>15219</v>
          </cell>
        </row>
        <row r="73">
          <cell r="A73" t="str">
            <v>307: Oreamuno</v>
          </cell>
          <cell r="B73">
            <v>49229</v>
          </cell>
        </row>
        <row r="74">
          <cell r="A74" t="str">
            <v>308: El Guarco</v>
          </cell>
          <cell r="B74">
            <v>45548</v>
          </cell>
        </row>
        <row r="76">
          <cell r="A76" t="str">
            <v>4: Heredia</v>
          </cell>
          <cell r="B76">
            <v>512172</v>
          </cell>
        </row>
        <row r="77">
          <cell r="A77" t="str">
            <v>401: Heredia</v>
          </cell>
          <cell r="B77">
            <v>140131</v>
          </cell>
        </row>
        <row r="79">
          <cell r="A79" t="str">
            <v>403: Santo Domingo</v>
          </cell>
        </row>
        <row r="80">
          <cell r="A80" t="str">
            <v>404: Santa Barbara</v>
          </cell>
        </row>
        <row r="88">
          <cell r="A88" t="str">
            <v>5: Guanacaste</v>
          </cell>
        </row>
        <row r="101">
          <cell r="A101" t="str">
            <v>6: Puntarenas</v>
          </cell>
        </row>
        <row r="114">
          <cell r="A114" t="str">
            <v>7: Limon</v>
          </cell>
        </row>
      </sheetData>
      <sheetData sheetId="4" refreshError="1"/>
      <sheetData sheetId="5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BASE"/>
      <sheetName val="EVENTO"/>
      <sheetName val="Curso de Vida"/>
      <sheetName val="Dinamica"/>
      <sheetName val="Tablas"/>
      <sheetName val="Poblaciones"/>
    </sheetNames>
    <sheetDataSet>
      <sheetData sheetId="0"/>
      <sheetData sheetId="1"/>
      <sheetData sheetId="2"/>
      <sheetData sheetId="3"/>
      <sheetData sheetId="4">
        <row r="1">
          <cell r="A1" t="str">
            <v>Año 2025</v>
          </cell>
          <cell r="B1" t="str">
            <v>Total General</v>
          </cell>
        </row>
        <row r="5">
          <cell r="A5" t="str">
            <v>de Menos de 1 año</v>
          </cell>
          <cell r="B5">
            <v>50371</v>
          </cell>
        </row>
        <row r="6">
          <cell r="A6" t="str">
            <v>de 1 a 4 años</v>
          </cell>
          <cell r="B6">
            <v>212090</v>
          </cell>
        </row>
        <row r="7">
          <cell r="A7" t="str">
            <v>de 5 a 9 años</v>
          </cell>
          <cell r="B7">
            <v>331707</v>
          </cell>
        </row>
        <row r="8">
          <cell r="A8" t="str">
            <v>de 10 a 14 años</v>
          </cell>
          <cell r="B8">
            <v>380256</v>
          </cell>
        </row>
        <row r="9">
          <cell r="A9" t="str">
            <v>de 15 a 19 años</v>
          </cell>
          <cell r="B9">
            <v>379894</v>
          </cell>
        </row>
        <row r="10">
          <cell r="A10" t="str">
            <v>de 20 a 24 años</v>
          </cell>
          <cell r="B10">
            <v>384945</v>
          </cell>
        </row>
        <row r="11">
          <cell r="A11" t="str">
            <v>de 25 a 29 años</v>
          </cell>
          <cell r="B11">
            <v>414561</v>
          </cell>
        </row>
        <row r="12">
          <cell r="A12" t="str">
            <v>de 30 a 34 años</v>
          </cell>
          <cell r="B12">
            <v>434933</v>
          </cell>
        </row>
        <row r="13">
          <cell r="A13" t="str">
            <v>de 35 a 39 años</v>
          </cell>
          <cell r="B13">
            <v>440990</v>
          </cell>
        </row>
        <row r="14">
          <cell r="A14" t="str">
            <v>de 40 a 44 años</v>
          </cell>
          <cell r="B14">
            <v>395063</v>
          </cell>
        </row>
        <row r="15">
          <cell r="A15" t="str">
            <v>de 45 a 49 años</v>
          </cell>
          <cell r="B15">
            <v>331923</v>
          </cell>
        </row>
        <row r="16">
          <cell r="A16" t="str">
            <v>de 50 a 54 años</v>
          </cell>
          <cell r="B16">
            <v>285829</v>
          </cell>
        </row>
        <row r="17">
          <cell r="A17" t="str">
            <v>de 55 a 59 años</v>
          </cell>
          <cell r="B17">
            <v>280734</v>
          </cell>
        </row>
        <row r="18">
          <cell r="A18" t="str">
            <v>de 60 a 64 años</v>
          </cell>
          <cell r="B18">
            <v>262677</v>
          </cell>
        </row>
        <row r="19">
          <cell r="A19" t="str">
            <v>de 65 a 69 años</v>
          </cell>
          <cell r="B19">
            <v>212593</v>
          </cell>
        </row>
        <row r="20">
          <cell r="A20" t="str">
            <v>de 70 a 74 años</v>
          </cell>
          <cell r="B20">
            <v>157182</v>
          </cell>
        </row>
        <row r="22">
          <cell r="B22" t="str">
            <v/>
          </cell>
        </row>
        <row r="23">
          <cell r="A23">
            <v>999</v>
          </cell>
          <cell r="B23" t="str">
            <v/>
          </cell>
        </row>
        <row r="24">
          <cell r="A24" t="str">
            <v>Año 2025</v>
          </cell>
          <cell r="B24" t="str">
            <v>Total General</v>
          </cell>
        </row>
        <row r="25">
          <cell r="B25">
            <v>5191820</v>
          </cell>
        </row>
        <row r="27">
          <cell r="A27" t="str">
            <v>1: San Jose</v>
          </cell>
          <cell r="B27">
            <v>1662141</v>
          </cell>
        </row>
        <row r="28">
          <cell r="A28" t="str">
            <v>101: San Jose</v>
          </cell>
          <cell r="B28">
            <v>353211</v>
          </cell>
        </row>
        <row r="29">
          <cell r="A29" t="str">
            <v>102: Escazu</v>
          </cell>
          <cell r="B29">
            <v>71202</v>
          </cell>
        </row>
        <row r="30">
          <cell r="A30" t="str">
            <v>103: Desamparados</v>
          </cell>
          <cell r="B30">
            <v>245126</v>
          </cell>
        </row>
        <row r="32">
          <cell r="B32">
            <v>18013</v>
          </cell>
        </row>
        <row r="33">
          <cell r="A33" t="str">
            <v>106: Aserri</v>
          </cell>
          <cell r="B33">
            <v>62856</v>
          </cell>
        </row>
        <row r="34">
          <cell r="A34" t="str">
            <v>107: Mora</v>
          </cell>
          <cell r="B34">
            <v>28805</v>
          </cell>
        </row>
        <row r="35">
          <cell r="A35" t="str">
            <v>108: Goicoechea</v>
          </cell>
          <cell r="B35">
            <v>140176</v>
          </cell>
        </row>
        <row r="36">
          <cell r="A36" t="str">
            <v>109: Santa Ana</v>
          </cell>
          <cell r="B36">
            <v>62141</v>
          </cell>
        </row>
        <row r="37">
          <cell r="A37" t="str">
            <v>110: Alajuelita</v>
          </cell>
          <cell r="B37">
            <v>97473</v>
          </cell>
        </row>
        <row r="38">
          <cell r="A38" t="str">
            <v>111: Vazquez de Coronado</v>
          </cell>
          <cell r="B38">
            <v>72021</v>
          </cell>
        </row>
        <row r="39">
          <cell r="A39" t="str">
            <v>112: Acosta</v>
          </cell>
          <cell r="B39">
            <v>21999</v>
          </cell>
        </row>
        <row r="40">
          <cell r="A40" t="str">
            <v>113: Tibas</v>
          </cell>
          <cell r="B40">
            <v>85393</v>
          </cell>
        </row>
        <row r="41">
          <cell r="A41" t="str">
            <v>114: Moravia</v>
          </cell>
          <cell r="B41">
            <v>61645</v>
          </cell>
        </row>
        <row r="42">
          <cell r="A42" t="str">
            <v>115: Montes de Oca</v>
          </cell>
          <cell r="B42">
            <v>61146</v>
          </cell>
        </row>
        <row r="44">
          <cell r="B44">
            <v>7804</v>
          </cell>
        </row>
        <row r="45">
          <cell r="A45" t="str">
            <v>118: Curridabat</v>
          </cell>
          <cell r="B45">
            <v>79446</v>
          </cell>
        </row>
        <row r="46">
          <cell r="A46" t="str">
            <v>119: Perez Zeledon</v>
          </cell>
          <cell r="B46">
            <v>133564</v>
          </cell>
        </row>
        <row r="47">
          <cell r="A47" t="str">
            <v>120: Leon Cortes</v>
          </cell>
          <cell r="B47">
            <v>13503</v>
          </cell>
        </row>
        <row r="49">
          <cell r="A49" t="str">
            <v>2: Alajuela</v>
          </cell>
          <cell r="B49">
            <v>1075126</v>
          </cell>
        </row>
        <row r="50">
          <cell r="A50" t="str">
            <v>201: Alajuela</v>
          </cell>
          <cell r="B50">
            <v>327911</v>
          </cell>
        </row>
        <row r="51">
          <cell r="A51" t="str">
            <v>202: San Ramon</v>
          </cell>
          <cell r="B51">
            <v>92499</v>
          </cell>
        </row>
        <row r="52">
          <cell r="A52" t="str">
            <v>203: Grecia</v>
          </cell>
          <cell r="B52">
            <v>80918</v>
          </cell>
        </row>
        <row r="53">
          <cell r="A53" t="str">
            <v>204: San Mateo</v>
          </cell>
          <cell r="B53">
            <v>7544</v>
          </cell>
        </row>
        <row r="54">
          <cell r="A54" t="str">
            <v>205: Atenas</v>
          </cell>
          <cell r="B54">
            <v>30550</v>
          </cell>
        </row>
        <row r="55">
          <cell r="A55" t="str">
            <v>206: Naranjo</v>
          </cell>
          <cell r="B55">
            <v>50352</v>
          </cell>
        </row>
        <row r="57">
          <cell r="B57">
            <v>35610</v>
          </cell>
        </row>
        <row r="59">
          <cell r="A59" t="str">
            <v>210: San Carlos</v>
          </cell>
          <cell r="B59">
            <v>211735</v>
          </cell>
        </row>
        <row r="60">
          <cell r="A60" t="str">
            <v>211: Zarcero</v>
          </cell>
          <cell r="B60">
            <v>14841</v>
          </cell>
        </row>
        <row r="61">
          <cell r="A61" t="str">
            <v>212: Valverde Vega</v>
          </cell>
          <cell r="B61">
            <v>22846</v>
          </cell>
        </row>
        <row r="62">
          <cell r="A62" t="str">
            <v>213: Upala</v>
          </cell>
          <cell r="B62">
            <v>56980</v>
          </cell>
        </row>
        <row r="63">
          <cell r="A63" t="str">
            <v>214: Los Chiles</v>
          </cell>
          <cell r="B63">
            <v>37377</v>
          </cell>
        </row>
        <row r="65">
          <cell r="A65" t="str">
            <v>216: Rio Cuarto</v>
          </cell>
          <cell r="B65">
            <v>18029</v>
          </cell>
        </row>
        <row r="67">
          <cell r="A67" t="str">
            <v>3: Cartago</v>
          </cell>
          <cell r="B67">
            <v>532914</v>
          </cell>
        </row>
        <row r="68">
          <cell r="A68" t="str">
            <v>301: Cartago</v>
          </cell>
          <cell r="B68">
            <v>163270</v>
          </cell>
        </row>
        <row r="72">
          <cell r="B72">
            <v>68679</v>
          </cell>
        </row>
        <row r="73">
          <cell r="A73" t="str">
            <v>306: Alvarado</v>
          </cell>
          <cell r="B73">
            <v>15197</v>
          </cell>
        </row>
        <row r="74">
          <cell r="A74" t="str">
            <v>307: Oreamuno</v>
          </cell>
          <cell r="B74">
            <v>48839</v>
          </cell>
        </row>
        <row r="75">
          <cell r="A75" t="str">
            <v>308: El Guarco</v>
          </cell>
          <cell r="B75">
            <v>45286</v>
          </cell>
        </row>
        <row r="77">
          <cell r="A77" t="str">
            <v>4: Heredia</v>
          </cell>
          <cell r="B77">
            <v>546438</v>
          </cell>
        </row>
        <row r="78">
          <cell r="A78" t="str">
            <v>401: Heredia</v>
          </cell>
          <cell r="B78">
            <v>146600</v>
          </cell>
        </row>
        <row r="81">
          <cell r="A81" t="str">
            <v>404: Santa Barbara</v>
          </cell>
        </row>
        <row r="83">
          <cell r="A83" t="str">
            <v>406: San Isidro</v>
          </cell>
        </row>
        <row r="89">
          <cell r="A89" t="str">
            <v>5: Guanacaste</v>
          </cell>
        </row>
        <row r="102">
          <cell r="A102" t="str">
            <v>6: Puntarenas</v>
          </cell>
        </row>
        <row r="117">
          <cell r="A117" t="str">
            <v>7: Limon</v>
          </cell>
        </row>
      </sheetData>
      <sheetData sheetId="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9B67D3-B193-457D-A68C-AA51D5F4EDC7}">
  <dimension ref="A1:M115"/>
  <sheetViews>
    <sheetView workbookViewId="0">
      <selection activeCell="P14" sqref="P14"/>
    </sheetView>
  </sheetViews>
  <sheetFormatPr baseColWidth="10" defaultColWidth="8.90625" defaultRowHeight="14.5" x14ac:dyDescent="0.35"/>
  <cols>
    <col min="1" max="1" width="17.1796875" customWidth="1"/>
  </cols>
  <sheetData>
    <row r="1" spans="1:13" x14ac:dyDescent="0.35">
      <c r="A1" s="52" t="s">
        <v>209</v>
      </c>
      <c r="B1" s="39"/>
      <c r="C1" s="39"/>
      <c r="D1" s="39"/>
      <c r="E1" s="39"/>
      <c r="F1" s="39"/>
      <c r="G1" s="39"/>
      <c r="H1" s="39"/>
      <c r="I1" s="39"/>
      <c r="J1" s="39"/>
      <c r="K1" s="39"/>
      <c r="L1" s="39"/>
      <c r="M1" s="39"/>
    </row>
    <row r="2" spans="1:13" x14ac:dyDescent="0.35">
      <c r="A2" s="52" t="s">
        <v>211</v>
      </c>
      <c r="B2" s="39"/>
      <c r="C2" s="39"/>
      <c r="D2" s="39"/>
      <c r="E2" s="39"/>
      <c r="F2" s="39"/>
      <c r="G2" s="39"/>
      <c r="H2" s="39"/>
      <c r="I2" s="39"/>
      <c r="J2" s="39"/>
      <c r="K2" s="39"/>
      <c r="L2" s="39"/>
      <c r="M2" s="39"/>
    </row>
    <row r="3" spans="1:13" x14ac:dyDescent="0.35">
      <c r="A3" s="52" t="s">
        <v>212</v>
      </c>
      <c r="B3" s="39"/>
      <c r="C3" s="39"/>
      <c r="D3" s="39"/>
      <c r="E3" s="39"/>
      <c r="F3" s="39"/>
      <c r="G3" s="39"/>
      <c r="H3" s="39"/>
      <c r="I3" s="39"/>
      <c r="J3" s="39"/>
      <c r="K3" s="39"/>
      <c r="L3" s="39"/>
      <c r="M3" s="39"/>
    </row>
    <row r="4" spans="1:13" x14ac:dyDescent="0.35">
      <c r="A4" s="52" t="s">
        <v>210</v>
      </c>
      <c r="B4" s="39"/>
      <c r="C4" s="39"/>
      <c r="D4" s="39"/>
      <c r="E4" s="39"/>
      <c r="F4" s="39"/>
      <c r="G4" s="39"/>
      <c r="H4" s="39"/>
      <c r="I4" s="39"/>
      <c r="J4" s="39"/>
      <c r="K4" s="39"/>
      <c r="L4" s="39"/>
      <c r="M4" s="39"/>
    </row>
    <row r="5" spans="1:13" ht="15" thickBot="1" x14ac:dyDescent="0.4">
      <c r="A5" s="53"/>
      <c r="B5" s="39"/>
      <c r="C5" s="39"/>
      <c r="D5" s="39"/>
      <c r="E5" s="39"/>
      <c r="F5" s="39"/>
      <c r="G5" s="39"/>
      <c r="H5" s="39"/>
      <c r="I5" s="39"/>
      <c r="J5" s="39"/>
      <c r="K5" s="39"/>
      <c r="L5" s="39"/>
      <c r="M5" s="39"/>
    </row>
    <row r="6" spans="1:13" ht="15" thickTop="1" x14ac:dyDescent="0.35">
      <c r="A6" s="40" t="s">
        <v>213</v>
      </c>
      <c r="B6" s="86" t="s">
        <v>203</v>
      </c>
      <c r="C6" s="87"/>
      <c r="D6" s="86">
        <v>2012</v>
      </c>
      <c r="E6" s="87"/>
      <c r="F6" s="86">
        <v>2013</v>
      </c>
      <c r="G6" s="87"/>
      <c r="H6" s="86">
        <v>2014</v>
      </c>
      <c r="I6" s="87"/>
      <c r="J6" s="86">
        <v>2015</v>
      </c>
      <c r="K6" s="87"/>
      <c r="L6" s="86">
        <v>2016</v>
      </c>
      <c r="M6" s="87"/>
    </row>
    <row r="7" spans="1:13" x14ac:dyDescent="0.35">
      <c r="A7" s="40" t="s">
        <v>204</v>
      </c>
      <c r="B7" s="41"/>
      <c r="C7" s="54"/>
      <c r="D7" s="41"/>
      <c r="E7" s="54"/>
      <c r="F7" s="41"/>
      <c r="G7" s="54"/>
      <c r="H7" s="41"/>
      <c r="I7" s="54"/>
      <c r="J7" s="41"/>
      <c r="K7" s="54"/>
      <c r="L7" s="41"/>
      <c r="M7" s="54"/>
    </row>
    <row r="8" spans="1:13" x14ac:dyDescent="0.35">
      <c r="A8" s="42" t="s">
        <v>214</v>
      </c>
      <c r="B8" s="55" t="s">
        <v>7</v>
      </c>
      <c r="C8" s="56" t="s">
        <v>8</v>
      </c>
      <c r="D8" s="43" t="s">
        <v>7</v>
      </c>
      <c r="E8" s="56" t="s">
        <v>8</v>
      </c>
      <c r="F8" s="43" t="s">
        <v>7</v>
      </c>
      <c r="G8" s="56" t="s">
        <v>8</v>
      </c>
      <c r="H8" s="43" t="s">
        <v>7</v>
      </c>
      <c r="I8" s="56" t="s">
        <v>8</v>
      </c>
      <c r="J8" s="43" t="s">
        <v>7</v>
      </c>
      <c r="K8" s="56" t="s">
        <v>8</v>
      </c>
      <c r="L8" s="43" t="s">
        <v>7</v>
      </c>
      <c r="M8" s="56" t="s">
        <v>8</v>
      </c>
    </row>
    <row r="9" spans="1:13" ht="15" thickBot="1" x14ac:dyDescent="0.4">
      <c r="A9" s="44"/>
      <c r="B9" s="45"/>
      <c r="C9" s="57"/>
      <c r="D9" s="45"/>
      <c r="E9" s="57"/>
      <c r="F9" s="45"/>
      <c r="G9" s="57"/>
      <c r="H9" s="45"/>
      <c r="I9" s="57"/>
      <c r="J9" s="45"/>
      <c r="K9" s="57"/>
      <c r="L9" s="45"/>
      <c r="M9" s="57"/>
    </row>
    <row r="10" spans="1:13" ht="15" thickTop="1" x14ac:dyDescent="0.35">
      <c r="A10" s="39"/>
      <c r="B10" s="52"/>
      <c r="C10" s="52"/>
      <c r="D10" s="52"/>
      <c r="E10" s="52"/>
      <c r="F10" s="52"/>
      <c r="G10" s="52"/>
      <c r="H10" s="52"/>
      <c r="I10" s="52"/>
      <c r="J10" s="52"/>
      <c r="K10" s="52"/>
      <c r="L10" s="52"/>
      <c r="M10" s="52"/>
    </row>
    <row r="11" spans="1:13" x14ac:dyDescent="0.35">
      <c r="A11" s="40" t="s">
        <v>205</v>
      </c>
      <c r="B11" s="58">
        <v>12136</v>
      </c>
      <c r="C11" s="59">
        <v>299.80635430013479</v>
      </c>
      <c r="D11" s="58">
        <v>20519</v>
      </c>
      <c r="E11" s="59">
        <v>441.03634836777434</v>
      </c>
      <c r="F11" s="58">
        <v>44933</v>
      </c>
      <c r="G11" s="59">
        <v>953.35108220295331</v>
      </c>
      <c r="H11" s="60">
        <v>9430</v>
      </c>
      <c r="I11" s="61">
        <v>197.56473701996535</v>
      </c>
      <c r="J11" s="60">
        <v>14886</v>
      </c>
      <c r="K11" s="59">
        <v>308.05672001749917</v>
      </c>
      <c r="L11" s="58">
        <v>13366</v>
      </c>
      <c r="M11" s="59">
        <v>273.31254145901374</v>
      </c>
    </row>
    <row r="12" spans="1:13" x14ac:dyDescent="0.35">
      <c r="A12" s="62"/>
      <c r="B12" s="51"/>
      <c r="C12" s="50"/>
      <c r="D12" s="46"/>
      <c r="E12" s="63"/>
      <c r="F12" s="46"/>
      <c r="G12" s="63"/>
      <c r="H12" s="64"/>
      <c r="I12" s="65"/>
      <c r="J12" s="64"/>
      <c r="K12" s="50"/>
      <c r="L12" s="51"/>
      <c r="M12" s="50"/>
    </row>
    <row r="13" spans="1:13" x14ac:dyDescent="0.35">
      <c r="A13" s="40" t="s">
        <v>215</v>
      </c>
      <c r="B13" s="66">
        <v>366</v>
      </c>
      <c r="C13" s="59">
        <v>23.935898878021089</v>
      </c>
      <c r="D13" s="58">
        <v>294</v>
      </c>
      <c r="E13" s="59">
        <v>19.028005470227967</v>
      </c>
      <c r="F13" s="58">
        <v>3769</v>
      </c>
      <c r="G13" s="59">
        <v>241.42598266268072</v>
      </c>
      <c r="H13" s="60">
        <v>706</v>
      </c>
      <c r="I13" s="61">
        <v>44.771841175381326</v>
      </c>
      <c r="J13" s="60">
        <v>820</v>
      </c>
      <c r="K13" s="59">
        <v>51.490686779012655</v>
      </c>
      <c r="L13" s="58">
        <v>3309</v>
      </c>
      <c r="M13" s="59">
        <v>205.88985608243061</v>
      </c>
    </row>
    <row r="14" spans="1:13" x14ac:dyDescent="0.35">
      <c r="A14" s="67" t="s">
        <v>216</v>
      </c>
      <c r="B14">
        <v>92</v>
      </c>
      <c r="C14" s="63">
        <v>28.557681861215876</v>
      </c>
      <c r="D14" s="46">
        <v>94</v>
      </c>
      <c r="E14" s="63">
        <v>28.909289415817071</v>
      </c>
      <c r="F14" s="46">
        <v>753</v>
      </c>
      <c r="G14" s="63">
        <v>229.4668324435018</v>
      </c>
      <c r="H14" s="68">
        <v>189</v>
      </c>
      <c r="I14" s="69">
        <v>57.096420447164661</v>
      </c>
      <c r="J14" s="68">
        <v>427</v>
      </c>
      <c r="K14" s="63">
        <v>127.8519671836637</v>
      </c>
      <c r="L14" s="46">
        <v>672</v>
      </c>
      <c r="M14" s="63">
        <v>199.52968003990591</v>
      </c>
    </row>
    <row r="15" spans="1:13" x14ac:dyDescent="0.35">
      <c r="A15" s="67" t="s">
        <v>217</v>
      </c>
      <c r="B15">
        <v>6</v>
      </c>
      <c r="C15" s="63">
        <v>9.4135366657253137</v>
      </c>
      <c r="D15" s="46">
        <v>4</v>
      </c>
      <c r="E15" s="63">
        <v>6.2042437026926418</v>
      </c>
      <c r="F15" s="46">
        <v>44</v>
      </c>
      <c r="G15" s="63">
        <v>67.483627551724666</v>
      </c>
      <c r="H15" s="68">
        <v>10</v>
      </c>
      <c r="I15" s="69">
        <v>15.168752370117556</v>
      </c>
      <c r="J15" s="68">
        <v>12</v>
      </c>
      <c r="K15" s="63">
        <v>18.003960871391705</v>
      </c>
      <c r="L15" s="46">
        <v>16</v>
      </c>
      <c r="M15" s="63">
        <v>23.752263887651793</v>
      </c>
    </row>
    <row r="16" spans="1:13" x14ac:dyDescent="0.35">
      <c r="A16" s="67" t="s">
        <v>218</v>
      </c>
      <c r="B16">
        <v>24</v>
      </c>
      <c r="C16" s="63">
        <v>10.771606046461526</v>
      </c>
      <c r="D16" s="46">
        <v>96</v>
      </c>
      <c r="E16" s="63">
        <v>42.577915367522806</v>
      </c>
      <c r="F16" s="46">
        <v>624</v>
      </c>
      <c r="G16" s="63">
        <v>273.51386417231373</v>
      </c>
      <c r="H16" s="68">
        <v>267</v>
      </c>
      <c r="I16" s="69">
        <v>115.69961433461889</v>
      </c>
      <c r="J16" s="68">
        <v>135</v>
      </c>
      <c r="K16" s="63">
        <v>57.850531367843672</v>
      </c>
      <c r="L16" s="46">
        <v>357</v>
      </c>
      <c r="M16" s="63">
        <v>151.3590516528663</v>
      </c>
    </row>
    <row r="17" spans="1:13" x14ac:dyDescent="0.35">
      <c r="A17" s="67" t="s">
        <v>219</v>
      </c>
      <c r="B17" s="46">
        <v>0</v>
      </c>
      <c r="C17" s="63">
        <v>0</v>
      </c>
      <c r="D17" s="46">
        <v>0</v>
      </c>
      <c r="E17" s="63">
        <v>0</v>
      </c>
      <c r="F17" s="46">
        <v>118</v>
      </c>
      <c r="G17" s="63">
        <v>333.34274979519193</v>
      </c>
      <c r="H17" s="68">
        <v>25</v>
      </c>
      <c r="I17" s="69">
        <v>69.75251806590218</v>
      </c>
      <c r="J17" s="68">
        <v>31</v>
      </c>
      <c r="K17" s="63">
        <v>85.465372739303035</v>
      </c>
      <c r="L17" s="46">
        <v>0</v>
      </c>
      <c r="M17" s="63">
        <v>0</v>
      </c>
    </row>
    <row r="18" spans="1:13" x14ac:dyDescent="0.35">
      <c r="A18" s="67" t="s">
        <v>220</v>
      </c>
      <c r="B18" s="46">
        <v>1</v>
      </c>
      <c r="C18" s="63">
        <v>5.8288645371881556</v>
      </c>
      <c r="D18" s="46">
        <v>0</v>
      </c>
      <c r="E18" s="63">
        <v>0</v>
      </c>
      <c r="F18" s="46">
        <v>3</v>
      </c>
      <c r="G18" s="63">
        <v>17.169346992502721</v>
      </c>
      <c r="H18" s="68">
        <v>1</v>
      </c>
      <c r="I18" s="69">
        <v>5.6708631053646368</v>
      </c>
      <c r="J18" s="68">
        <v>4</v>
      </c>
      <c r="K18" s="63">
        <v>22.493392565933757</v>
      </c>
      <c r="L18" s="46">
        <v>4</v>
      </c>
      <c r="M18" s="63">
        <v>22.291573785109229</v>
      </c>
    </row>
    <row r="19" spans="1:13" x14ac:dyDescent="0.35">
      <c r="A19" s="67" t="s">
        <v>221</v>
      </c>
      <c r="B19" s="46">
        <v>0</v>
      </c>
      <c r="C19" s="63">
        <v>0</v>
      </c>
      <c r="D19" s="46">
        <v>0</v>
      </c>
      <c r="E19" s="63">
        <v>0</v>
      </c>
      <c r="F19" s="46">
        <v>13</v>
      </c>
      <c r="G19" s="63">
        <v>21.876314682372737</v>
      </c>
      <c r="H19" s="68">
        <v>40</v>
      </c>
      <c r="I19" s="69">
        <v>66.575679904131022</v>
      </c>
      <c r="J19" s="68">
        <v>3</v>
      </c>
      <c r="K19" s="63">
        <v>4.9390846229832075</v>
      </c>
      <c r="L19" s="46">
        <v>1</v>
      </c>
      <c r="M19" s="63">
        <v>1.6303107372265155</v>
      </c>
    </row>
    <row r="20" spans="1:13" x14ac:dyDescent="0.35">
      <c r="A20" s="67" t="s">
        <v>222</v>
      </c>
      <c r="B20">
        <v>13</v>
      </c>
      <c r="C20" s="63">
        <v>46.845158733018636</v>
      </c>
      <c r="D20" s="46">
        <v>0</v>
      </c>
      <c r="E20" s="63">
        <v>0</v>
      </c>
      <c r="F20" s="46">
        <v>8</v>
      </c>
      <c r="G20" s="63">
        <v>28.184892897406989</v>
      </c>
      <c r="H20" s="68">
        <v>0</v>
      </c>
      <c r="I20" s="69">
        <v>0</v>
      </c>
      <c r="J20" s="68">
        <v>0</v>
      </c>
      <c r="K20" s="63">
        <v>0</v>
      </c>
      <c r="L20" s="46">
        <v>0</v>
      </c>
      <c r="M20" s="63">
        <v>0</v>
      </c>
    </row>
    <row r="21" spans="1:13" x14ac:dyDescent="0.35">
      <c r="A21" s="67" t="s">
        <v>223</v>
      </c>
      <c r="B21">
        <v>39</v>
      </c>
      <c r="C21" s="63">
        <v>30.762920426579164</v>
      </c>
      <c r="D21" s="46">
        <v>57</v>
      </c>
      <c r="E21" s="63">
        <v>44.48155576192223</v>
      </c>
      <c r="F21" s="46">
        <v>164</v>
      </c>
      <c r="G21" s="63">
        <v>126.62723720987692</v>
      </c>
      <c r="H21" s="68">
        <v>48</v>
      </c>
      <c r="I21" s="69">
        <v>36.682103718648264</v>
      </c>
      <c r="J21" s="68">
        <v>29</v>
      </c>
      <c r="K21" s="63">
        <v>21.934800695862641</v>
      </c>
      <c r="L21" s="46">
        <v>36</v>
      </c>
      <c r="M21" s="63">
        <v>26.954783350928814</v>
      </c>
    </row>
    <row r="22" spans="1:13" x14ac:dyDescent="0.35">
      <c r="A22" s="67" t="s">
        <v>224</v>
      </c>
      <c r="B22" s="46">
        <v>0</v>
      </c>
      <c r="C22" s="63">
        <v>0</v>
      </c>
      <c r="D22" s="46">
        <v>0</v>
      </c>
      <c r="E22" s="63">
        <v>0</v>
      </c>
      <c r="F22" s="46">
        <v>9</v>
      </c>
      <c r="G22" s="63">
        <v>16.396130513198887</v>
      </c>
      <c r="H22" s="68">
        <v>0</v>
      </c>
      <c r="I22" s="69">
        <v>0</v>
      </c>
      <c r="J22" s="68">
        <v>0</v>
      </c>
      <c r="K22" s="63">
        <v>0</v>
      </c>
      <c r="L22" s="46">
        <v>0</v>
      </c>
      <c r="M22" s="63">
        <v>0</v>
      </c>
    </row>
    <row r="23" spans="1:13" x14ac:dyDescent="0.35">
      <c r="A23" s="67" t="s">
        <v>225</v>
      </c>
      <c r="B23" s="46">
        <v>26</v>
      </c>
      <c r="C23" s="63">
        <v>31.583294866499845</v>
      </c>
      <c r="D23" s="46">
        <v>0</v>
      </c>
      <c r="E23" s="63">
        <v>0</v>
      </c>
      <c r="F23" s="46">
        <v>0</v>
      </c>
      <c r="G23" s="63">
        <v>0</v>
      </c>
      <c r="H23" s="68">
        <v>0</v>
      </c>
      <c r="I23" s="69">
        <v>0</v>
      </c>
      <c r="J23" s="68">
        <v>6</v>
      </c>
      <c r="K23" s="63">
        <v>6.8388538081017618</v>
      </c>
      <c r="L23" s="46">
        <v>0</v>
      </c>
      <c r="M23" s="63">
        <v>0</v>
      </c>
    </row>
    <row r="24" spans="1:13" x14ac:dyDescent="0.35">
      <c r="A24" s="67" t="s">
        <v>226</v>
      </c>
      <c r="B24" s="46">
        <v>5</v>
      </c>
      <c r="C24" s="63">
        <v>7.7365847620226535</v>
      </c>
      <c r="D24" s="46">
        <v>3</v>
      </c>
      <c r="E24" s="63">
        <v>4.5823913973238835</v>
      </c>
      <c r="F24" s="46">
        <v>57</v>
      </c>
      <c r="G24" s="63">
        <v>85.961181740035286</v>
      </c>
      <c r="H24" s="68">
        <v>6</v>
      </c>
      <c r="I24" s="69">
        <v>8.9366835967172591</v>
      </c>
      <c r="J24" s="68">
        <v>19</v>
      </c>
      <c r="K24" s="63">
        <v>27.967087154275283</v>
      </c>
      <c r="L24" s="46">
        <v>40</v>
      </c>
      <c r="M24" s="63">
        <v>58.202982902873778</v>
      </c>
    </row>
    <row r="25" spans="1:13" x14ac:dyDescent="0.35">
      <c r="A25" s="67" t="s">
        <v>227</v>
      </c>
      <c r="B25" s="46">
        <v>0</v>
      </c>
      <c r="C25" s="63">
        <v>0</v>
      </c>
      <c r="D25" s="46">
        <v>0</v>
      </c>
      <c r="E25" s="63">
        <v>0</v>
      </c>
      <c r="F25" s="46">
        <v>1</v>
      </c>
      <c r="G25" s="63">
        <v>4.824159390226253</v>
      </c>
      <c r="H25" s="68">
        <v>0</v>
      </c>
      <c r="I25" s="69">
        <v>0</v>
      </c>
      <c r="J25" s="68">
        <v>0</v>
      </c>
      <c r="K25" s="63">
        <v>0</v>
      </c>
      <c r="L25" s="46">
        <v>1</v>
      </c>
      <c r="M25" s="63">
        <v>4.6871338176704951</v>
      </c>
    </row>
    <row r="26" spans="1:13" x14ac:dyDescent="0.35">
      <c r="A26" s="67" t="s">
        <v>228</v>
      </c>
      <c r="B26" s="46">
        <v>0</v>
      </c>
      <c r="C26" s="63">
        <v>0</v>
      </c>
      <c r="D26" s="46">
        <v>0</v>
      </c>
      <c r="E26" s="63">
        <v>0</v>
      </c>
      <c r="F26" s="46">
        <v>0</v>
      </c>
      <c r="G26" s="63">
        <v>0</v>
      </c>
      <c r="H26" s="68">
        <v>0</v>
      </c>
      <c r="I26" s="69">
        <v>0</v>
      </c>
      <c r="J26" s="68">
        <v>0</v>
      </c>
      <c r="K26" s="63">
        <v>0</v>
      </c>
      <c r="L26" s="46">
        <v>4</v>
      </c>
      <c r="M26" s="63">
        <v>4.8652330446628396</v>
      </c>
    </row>
    <row r="27" spans="1:13" x14ac:dyDescent="0.35">
      <c r="A27" s="67" t="s">
        <v>229</v>
      </c>
      <c r="B27">
        <v>28</v>
      </c>
      <c r="C27" s="63">
        <v>47.696920141727993</v>
      </c>
      <c r="D27" s="46">
        <v>0</v>
      </c>
      <c r="E27" s="63">
        <v>0</v>
      </c>
      <c r="F27" s="46">
        <v>72</v>
      </c>
      <c r="G27" s="63">
        <v>120.59291516623399</v>
      </c>
      <c r="H27" s="68">
        <v>23</v>
      </c>
      <c r="I27" s="69">
        <v>38.19519404819237</v>
      </c>
      <c r="J27" s="68">
        <v>25</v>
      </c>
      <c r="K27" s="63">
        <v>41.166493767392843</v>
      </c>
      <c r="L27" s="46">
        <v>26</v>
      </c>
      <c r="M27" s="63">
        <v>42.519788055210313</v>
      </c>
    </row>
    <row r="28" spans="1:13" x14ac:dyDescent="0.35">
      <c r="A28" s="67" t="s">
        <v>230</v>
      </c>
      <c r="B28">
        <v>7</v>
      </c>
      <c r="C28" s="63">
        <v>11.663362047419898</v>
      </c>
      <c r="D28" s="46">
        <v>0</v>
      </c>
      <c r="E28" s="63">
        <v>0</v>
      </c>
      <c r="F28" s="46">
        <v>29</v>
      </c>
      <c r="G28" s="63">
        <v>47.771225249563471</v>
      </c>
      <c r="H28" s="68">
        <v>0</v>
      </c>
      <c r="I28" s="69">
        <v>0</v>
      </c>
      <c r="J28" s="68">
        <v>1</v>
      </c>
      <c r="K28" s="63">
        <v>1.62903593653276</v>
      </c>
      <c r="L28" s="46">
        <v>16</v>
      </c>
      <c r="M28" s="63">
        <v>25.948330387116652</v>
      </c>
    </row>
    <row r="29" spans="1:13" x14ac:dyDescent="0.35">
      <c r="A29" s="67" t="s">
        <v>231</v>
      </c>
      <c r="B29">
        <v>1</v>
      </c>
      <c r="C29" s="63">
        <v>16.485328058028355</v>
      </c>
      <c r="D29" s="46">
        <v>0</v>
      </c>
      <c r="E29" s="63">
        <v>0</v>
      </c>
      <c r="F29" s="46">
        <v>89</v>
      </c>
      <c r="G29" s="63">
        <v>1422.6342710997442</v>
      </c>
      <c r="H29" s="68">
        <v>4</v>
      </c>
      <c r="I29" s="69">
        <v>62.942564909520065</v>
      </c>
      <c r="J29" s="68">
        <v>52</v>
      </c>
      <c r="K29" s="63">
        <v>806.95220360024825</v>
      </c>
      <c r="L29" s="46">
        <v>0</v>
      </c>
      <c r="M29" s="63">
        <v>0</v>
      </c>
    </row>
    <row r="30" spans="1:13" x14ac:dyDescent="0.35">
      <c r="A30" s="67" t="s">
        <v>232</v>
      </c>
      <c r="B30" s="46">
        <v>0</v>
      </c>
      <c r="C30" s="63">
        <v>0</v>
      </c>
      <c r="D30" s="46">
        <v>0</v>
      </c>
      <c r="E30" s="63">
        <v>0</v>
      </c>
      <c r="F30" s="46">
        <v>0</v>
      </c>
      <c r="G30" s="63">
        <v>0</v>
      </c>
      <c r="H30" s="68">
        <v>1</v>
      </c>
      <c r="I30" s="69">
        <v>13.147515119642389</v>
      </c>
      <c r="J30" s="68">
        <v>3</v>
      </c>
      <c r="K30" s="63">
        <v>39.128733533324642</v>
      </c>
      <c r="L30" s="46">
        <v>1</v>
      </c>
      <c r="M30" s="63">
        <v>12.943308309603935</v>
      </c>
    </row>
    <row r="31" spans="1:13" x14ac:dyDescent="0.35">
      <c r="A31" s="67" t="s">
        <v>233</v>
      </c>
      <c r="B31">
        <v>30</v>
      </c>
      <c r="C31" s="63">
        <v>40.934395808317873</v>
      </c>
      <c r="D31" s="46">
        <v>6</v>
      </c>
      <c r="E31" s="63">
        <v>8.1020862872189578</v>
      </c>
      <c r="F31" s="46">
        <v>133</v>
      </c>
      <c r="G31" s="63">
        <v>177.76233309720791</v>
      </c>
      <c r="H31" s="68">
        <v>30</v>
      </c>
      <c r="I31" s="69">
        <v>39.691990156386439</v>
      </c>
      <c r="J31" s="68">
        <v>0</v>
      </c>
      <c r="K31" s="63">
        <v>0</v>
      </c>
      <c r="L31" s="46">
        <v>0</v>
      </c>
      <c r="M31" s="63">
        <v>0</v>
      </c>
    </row>
    <row r="32" spans="1:13" x14ac:dyDescent="0.35">
      <c r="A32" s="67" t="s">
        <v>234</v>
      </c>
      <c r="B32">
        <v>94</v>
      </c>
      <c r="C32" s="63">
        <v>67.497702205882348</v>
      </c>
      <c r="D32" s="46">
        <v>34</v>
      </c>
      <c r="E32" s="63">
        <v>24.28953121204761</v>
      </c>
      <c r="F32" s="46">
        <v>1650</v>
      </c>
      <c r="G32" s="63">
        <v>1172.7162239959061</v>
      </c>
      <c r="H32" s="68">
        <v>61</v>
      </c>
      <c r="I32" s="69">
        <v>43.145215478522879</v>
      </c>
      <c r="J32" s="68">
        <v>73</v>
      </c>
      <c r="K32" s="63">
        <v>51.409174777109541</v>
      </c>
      <c r="L32" s="46">
        <v>2133</v>
      </c>
      <c r="M32" s="63">
        <v>1499.0406982873126</v>
      </c>
    </row>
    <row r="33" spans="1:13" x14ac:dyDescent="0.35">
      <c r="A33" s="67" t="s">
        <v>235</v>
      </c>
      <c r="B33" s="46">
        <v>0</v>
      </c>
      <c r="C33" s="63">
        <v>0</v>
      </c>
      <c r="D33" s="46">
        <v>0</v>
      </c>
      <c r="E33" s="63">
        <v>0</v>
      </c>
      <c r="F33" s="46">
        <v>2</v>
      </c>
      <c r="G33" s="63">
        <v>15.676438313215238</v>
      </c>
      <c r="H33" s="68">
        <v>1</v>
      </c>
      <c r="I33" s="69">
        <v>7.7459333849728882</v>
      </c>
      <c r="J33" s="68">
        <v>0</v>
      </c>
      <c r="K33" s="63">
        <v>0</v>
      </c>
      <c r="L33" s="46">
        <v>2</v>
      </c>
      <c r="M33" s="63">
        <v>15.160703456640389</v>
      </c>
    </row>
    <row r="34" spans="1:13" x14ac:dyDescent="0.35">
      <c r="A34" s="67"/>
      <c r="B34" s="46"/>
      <c r="C34" s="63"/>
      <c r="D34" s="46"/>
      <c r="E34" s="63"/>
      <c r="F34" s="46"/>
      <c r="G34" s="63"/>
      <c r="H34" s="64"/>
      <c r="I34" s="65"/>
      <c r="J34" s="64"/>
      <c r="K34" s="63"/>
      <c r="L34" s="46"/>
      <c r="M34" s="63"/>
    </row>
    <row r="35" spans="1:13" x14ac:dyDescent="0.35">
      <c r="A35" s="40" t="s">
        <v>236</v>
      </c>
      <c r="B35" s="66">
        <v>887</v>
      </c>
      <c r="C35" s="59">
        <v>78.141673564287899</v>
      </c>
      <c r="D35" s="58">
        <v>2228</v>
      </c>
      <c r="E35" s="59">
        <v>242.79885618635794</v>
      </c>
      <c r="F35" s="58">
        <v>6968</v>
      </c>
      <c r="G35" s="59">
        <v>747.47266704426477</v>
      </c>
      <c r="H35" s="60">
        <v>391</v>
      </c>
      <c r="I35" s="61">
        <v>41.305420306420721</v>
      </c>
      <c r="J35" s="60">
        <v>759</v>
      </c>
      <c r="K35" s="59">
        <v>79.000945096945301</v>
      </c>
      <c r="L35" s="58">
        <v>605</v>
      </c>
      <c r="M35" s="59">
        <v>62.049818311978285</v>
      </c>
    </row>
    <row r="36" spans="1:13" x14ac:dyDescent="0.35">
      <c r="A36" s="67" t="s">
        <v>237</v>
      </c>
      <c r="B36">
        <v>430</v>
      </c>
      <c r="C36" s="63">
        <v>144.49307303689622</v>
      </c>
      <c r="D36" s="46">
        <v>755</v>
      </c>
      <c r="E36" s="63">
        <v>268.66988833296563</v>
      </c>
      <c r="F36" s="46">
        <v>1395</v>
      </c>
      <c r="G36" s="63">
        <v>489.02926813877917</v>
      </c>
      <c r="H36" s="68">
        <v>164</v>
      </c>
      <c r="I36" s="69">
        <v>56.658985458678671</v>
      </c>
      <c r="J36" s="68">
        <v>262</v>
      </c>
      <c r="K36" s="63">
        <v>89.236753280813076</v>
      </c>
      <c r="L36" s="46">
        <v>0</v>
      </c>
      <c r="M36" s="63">
        <v>0</v>
      </c>
    </row>
    <row r="37" spans="1:13" x14ac:dyDescent="0.35">
      <c r="A37" s="67" t="s">
        <v>238</v>
      </c>
      <c r="B37">
        <v>6</v>
      </c>
      <c r="C37" s="63">
        <v>1.1128421989761852</v>
      </c>
      <c r="D37" s="46">
        <v>4</v>
      </c>
      <c r="E37" s="63">
        <v>4.6989168996546296</v>
      </c>
      <c r="F37" s="46">
        <v>76</v>
      </c>
      <c r="G37" s="63">
        <v>88.05264621373621</v>
      </c>
      <c r="H37" s="68">
        <v>31</v>
      </c>
      <c r="I37" s="69">
        <v>35.436266160652025</v>
      </c>
      <c r="J37" s="68">
        <v>1</v>
      </c>
      <c r="K37" s="63">
        <v>1.1285407967498025</v>
      </c>
      <c r="L37" s="46">
        <v>12</v>
      </c>
      <c r="M37" s="63">
        <v>13.377777282304546</v>
      </c>
    </row>
    <row r="38" spans="1:13" x14ac:dyDescent="0.35">
      <c r="A38" s="67" t="s">
        <v>239</v>
      </c>
      <c r="B38">
        <v>14</v>
      </c>
      <c r="C38" s="63">
        <v>2.4090290408450872</v>
      </c>
      <c r="D38" s="46">
        <v>105</v>
      </c>
      <c r="E38" s="63">
        <v>125.31029215199541</v>
      </c>
      <c r="F38" s="46">
        <v>326</v>
      </c>
      <c r="G38" s="63">
        <v>383.1372595108536</v>
      </c>
      <c r="H38" s="68">
        <v>14</v>
      </c>
      <c r="I38" s="69">
        <v>16.206517335185506</v>
      </c>
      <c r="J38" s="68">
        <v>84</v>
      </c>
      <c r="K38" s="63">
        <v>95.826963882360999</v>
      </c>
      <c r="L38" s="46">
        <v>0</v>
      </c>
      <c r="M38" s="63">
        <v>0</v>
      </c>
    </row>
    <row r="39" spans="1:13" x14ac:dyDescent="0.35">
      <c r="A39" s="67" t="s">
        <v>240</v>
      </c>
      <c r="B39">
        <v>11</v>
      </c>
      <c r="C39" s="63">
        <v>206.93222969477495</v>
      </c>
      <c r="D39" s="46">
        <v>140</v>
      </c>
      <c r="E39" s="63">
        <v>2137.0783086551673</v>
      </c>
      <c r="F39" s="46">
        <v>183</v>
      </c>
      <c r="G39" s="63">
        <v>2760.1809954751129</v>
      </c>
      <c r="H39" s="68">
        <v>6</v>
      </c>
      <c r="I39" s="69">
        <v>89.538874794806745</v>
      </c>
      <c r="J39" s="68">
        <v>9</v>
      </c>
      <c r="K39" s="63">
        <v>132.64554163596168</v>
      </c>
      <c r="L39" s="46">
        <v>53</v>
      </c>
      <c r="M39" s="63">
        <v>773.27108257951568</v>
      </c>
    </row>
    <row r="40" spans="1:13" x14ac:dyDescent="0.35">
      <c r="A40" s="67" t="s">
        <v>241</v>
      </c>
      <c r="B40">
        <v>21</v>
      </c>
      <c r="C40" s="63">
        <v>87.552341073467844</v>
      </c>
      <c r="D40" s="46">
        <v>126</v>
      </c>
      <c r="E40" s="63">
        <v>470.85201793721973</v>
      </c>
      <c r="F40" s="46">
        <v>1673</v>
      </c>
      <c r="G40" s="63">
        <v>6170.6993213337264</v>
      </c>
      <c r="H40" s="68">
        <v>8</v>
      </c>
      <c r="I40" s="69">
        <v>29.142836326545481</v>
      </c>
      <c r="J40" s="68">
        <v>237</v>
      </c>
      <c r="K40" s="63">
        <v>852.57932225339948</v>
      </c>
      <c r="L40" s="46">
        <v>0</v>
      </c>
      <c r="M40" s="63">
        <v>0</v>
      </c>
    </row>
    <row r="41" spans="1:13" x14ac:dyDescent="0.35">
      <c r="A41" s="67" t="s">
        <v>242</v>
      </c>
      <c r="B41">
        <v>5</v>
      </c>
      <c r="C41" s="63">
        <v>0</v>
      </c>
      <c r="D41" s="46">
        <v>2</v>
      </c>
      <c r="E41" s="63">
        <v>4.5043016080356741</v>
      </c>
      <c r="F41" s="46">
        <v>34</v>
      </c>
      <c r="G41" s="63">
        <v>75.547161426508168</v>
      </c>
      <c r="H41" s="68">
        <v>15</v>
      </c>
      <c r="I41" s="69">
        <v>32.900508861203718</v>
      </c>
      <c r="J41" s="68">
        <v>2</v>
      </c>
      <c r="K41" s="63">
        <v>4.3318171973142734</v>
      </c>
      <c r="L41" s="46">
        <v>74</v>
      </c>
      <c r="M41" s="63">
        <v>158.41075480583979</v>
      </c>
    </row>
    <row r="42" spans="1:13" x14ac:dyDescent="0.35">
      <c r="A42" s="67" t="s">
        <v>243</v>
      </c>
      <c r="B42">
        <v>1</v>
      </c>
      <c r="C42" s="63">
        <v>7.7758482154428341</v>
      </c>
      <c r="D42" s="46">
        <v>0</v>
      </c>
      <c r="E42" s="63">
        <v>0</v>
      </c>
      <c r="F42" s="46">
        <v>81</v>
      </c>
      <c r="G42" s="63">
        <v>216.16716927757466</v>
      </c>
      <c r="H42" s="68">
        <v>28</v>
      </c>
      <c r="I42" s="69">
        <v>73.657073709685903</v>
      </c>
      <c r="J42" s="68">
        <v>1</v>
      </c>
      <c r="K42" s="63">
        <v>2.5946394748449704</v>
      </c>
      <c r="L42" s="46">
        <v>9</v>
      </c>
      <c r="M42" s="63">
        <v>23.052097740894421</v>
      </c>
    </row>
    <row r="43" spans="1:13" x14ac:dyDescent="0.35">
      <c r="A43" s="67" t="s">
        <v>244</v>
      </c>
      <c r="B43">
        <v>8</v>
      </c>
      <c r="C43" s="63">
        <v>47.22475836665302</v>
      </c>
      <c r="D43" s="46">
        <v>38</v>
      </c>
      <c r="E43" s="63">
        <v>125.9696346880594</v>
      </c>
      <c r="F43" s="46">
        <v>109</v>
      </c>
      <c r="G43" s="63">
        <v>355.62805872756934</v>
      </c>
      <c r="H43" s="68">
        <v>5</v>
      </c>
      <c r="I43" s="69">
        <v>16.066321776292536</v>
      </c>
      <c r="J43" s="68">
        <v>12</v>
      </c>
      <c r="K43" s="63">
        <v>37.995123959091913</v>
      </c>
      <c r="L43" s="46">
        <v>0</v>
      </c>
      <c r="M43" s="63">
        <v>0</v>
      </c>
    </row>
    <row r="44" spans="1:13" x14ac:dyDescent="0.35">
      <c r="A44" s="67" t="s">
        <v>245</v>
      </c>
      <c r="B44">
        <v>46</v>
      </c>
      <c r="C44" s="63">
        <v>257.52877489882798</v>
      </c>
      <c r="D44" s="46">
        <v>397</v>
      </c>
      <c r="E44" s="63">
        <v>1882.7658161813524</v>
      </c>
      <c r="F44" s="46">
        <v>1661</v>
      </c>
      <c r="G44" s="63">
        <v>7750.8166122258508</v>
      </c>
      <c r="H44" s="68">
        <v>67</v>
      </c>
      <c r="I44" s="69">
        <v>307.7347051258497</v>
      </c>
      <c r="J44" s="68">
        <v>78</v>
      </c>
      <c r="K44" s="63">
        <v>352.9571473822345</v>
      </c>
      <c r="L44" s="46">
        <v>186</v>
      </c>
      <c r="M44" s="63">
        <v>828.80313697531403</v>
      </c>
    </row>
    <row r="45" spans="1:13" x14ac:dyDescent="0.35">
      <c r="A45" s="67" t="s">
        <v>246</v>
      </c>
      <c r="B45">
        <v>193</v>
      </c>
      <c r="C45" s="63">
        <v>52.190342804669378</v>
      </c>
      <c r="D45" s="46">
        <v>376</v>
      </c>
      <c r="E45" s="63">
        <v>214.58370191127875</v>
      </c>
      <c r="F45" s="46">
        <v>100</v>
      </c>
      <c r="G45" s="63">
        <v>56.034965818670848</v>
      </c>
      <c r="H45" s="68">
        <v>12</v>
      </c>
      <c r="I45" s="69">
        <v>6.6061833876508418</v>
      </c>
      <c r="J45" s="68">
        <v>59</v>
      </c>
      <c r="K45" s="63">
        <v>31.932800398348153</v>
      </c>
      <c r="L45" s="46">
        <v>199</v>
      </c>
      <c r="M45" s="63">
        <v>105.87753321309052</v>
      </c>
    </row>
    <row r="46" spans="1:13" x14ac:dyDescent="0.35">
      <c r="A46" s="67" t="s">
        <v>247</v>
      </c>
      <c r="B46">
        <v>4</v>
      </c>
      <c r="C46" s="63">
        <v>0</v>
      </c>
      <c r="D46" s="46">
        <v>4</v>
      </c>
      <c r="E46" s="63">
        <v>30.69603253779449</v>
      </c>
      <c r="F46" s="46">
        <v>2</v>
      </c>
      <c r="G46" s="63">
        <v>15.13431706394249</v>
      </c>
      <c r="H46" s="68">
        <v>4</v>
      </c>
      <c r="I46" s="69">
        <v>29.859659599880562</v>
      </c>
      <c r="J46" s="68">
        <v>3</v>
      </c>
      <c r="K46" s="63">
        <v>22.112478808874474</v>
      </c>
      <c r="L46" s="46">
        <v>5</v>
      </c>
      <c r="M46" s="63">
        <v>36.390101892285301</v>
      </c>
    </row>
    <row r="47" spans="1:13" x14ac:dyDescent="0.35">
      <c r="A47" s="67" t="s">
        <v>248</v>
      </c>
      <c r="B47" s="46">
        <v>0</v>
      </c>
      <c r="C47" s="63">
        <v>0</v>
      </c>
      <c r="D47" s="46">
        <v>1</v>
      </c>
      <c r="E47" s="63">
        <v>4.9500049500049501</v>
      </c>
      <c r="F47" s="46">
        <v>80</v>
      </c>
      <c r="G47" s="63">
        <v>390.89221147268637</v>
      </c>
      <c r="H47" s="68">
        <v>0</v>
      </c>
      <c r="I47" s="69">
        <v>0</v>
      </c>
      <c r="J47" s="68">
        <v>0</v>
      </c>
      <c r="K47" s="63">
        <v>0</v>
      </c>
      <c r="L47" s="46">
        <v>11</v>
      </c>
      <c r="M47" s="63">
        <v>51.801271485754654</v>
      </c>
    </row>
    <row r="48" spans="1:13" x14ac:dyDescent="0.35">
      <c r="A48" s="67" t="s">
        <v>249</v>
      </c>
      <c r="B48">
        <v>89</v>
      </c>
      <c r="C48" s="63">
        <v>243.49077225311973</v>
      </c>
      <c r="D48" s="46">
        <v>136</v>
      </c>
      <c r="E48" s="63">
        <v>282.5680448784542</v>
      </c>
      <c r="F48" s="46">
        <v>1103</v>
      </c>
      <c r="G48" s="63">
        <v>2255.162543447148</v>
      </c>
      <c r="H48" s="68">
        <v>6</v>
      </c>
      <c r="I48" s="69">
        <v>12.073163370022336</v>
      </c>
      <c r="J48" s="68">
        <v>6</v>
      </c>
      <c r="K48" s="63">
        <v>11.889663918833227</v>
      </c>
      <c r="L48" s="46">
        <v>19</v>
      </c>
      <c r="M48" s="63">
        <v>37.110824641587563</v>
      </c>
    </row>
    <row r="49" spans="1:13" x14ac:dyDescent="0.35">
      <c r="A49" s="67" t="s">
        <v>250</v>
      </c>
      <c r="B49">
        <v>39</v>
      </c>
      <c r="C49" s="63">
        <v>9.6932099064605239</v>
      </c>
      <c r="D49" s="46">
        <v>106</v>
      </c>
      <c r="E49" s="63">
        <v>378.73374303272828</v>
      </c>
      <c r="F49" s="46">
        <v>93</v>
      </c>
      <c r="G49" s="63">
        <v>324.10956994493625</v>
      </c>
      <c r="H49" s="68">
        <v>5</v>
      </c>
      <c r="I49" s="69">
        <v>17.012589316093909</v>
      </c>
      <c r="J49" s="68">
        <v>2</v>
      </c>
      <c r="K49" s="63">
        <v>6.650262685376072</v>
      </c>
      <c r="L49" s="46">
        <v>1</v>
      </c>
      <c r="M49" s="63">
        <v>3.2451728054518907</v>
      </c>
    </row>
    <row r="50" spans="1:13" x14ac:dyDescent="0.35">
      <c r="A50" s="67" t="s">
        <v>251</v>
      </c>
      <c r="B50">
        <v>20</v>
      </c>
      <c r="C50" s="63">
        <v>18.09299800977022</v>
      </c>
      <c r="D50" s="46">
        <v>38</v>
      </c>
      <c r="E50" s="63">
        <v>220.53276072195465</v>
      </c>
      <c r="F50" s="46">
        <v>52</v>
      </c>
      <c r="G50" s="63">
        <v>297.02404752384763</v>
      </c>
      <c r="H50" s="68">
        <v>26</v>
      </c>
      <c r="I50" s="69">
        <v>146.23172103487065</v>
      </c>
      <c r="J50" s="68">
        <v>3</v>
      </c>
      <c r="K50" s="63">
        <v>16.612215515809289</v>
      </c>
      <c r="L50" s="46">
        <v>36</v>
      </c>
      <c r="M50" s="63">
        <v>196.66757716470912</v>
      </c>
    </row>
    <row r="51" spans="1:13" x14ac:dyDescent="0.35">
      <c r="A51" s="67" t="s">
        <v>252</v>
      </c>
      <c r="B51" s="46" t="s">
        <v>106</v>
      </c>
      <c r="C51" s="46" t="s">
        <v>106</v>
      </c>
      <c r="D51" s="46" t="s">
        <v>106</v>
      </c>
      <c r="E51" s="46" t="s">
        <v>106</v>
      </c>
      <c r="F51" s="46" t="s">
        <v>106</v>
      </c>
      <c r="G51" s="46" t="s">
        <v>106</v>
      </c>
      <c r="H51" s="46" t="s">
        <v>106</v>
      </c>
      <c r="I51" s="46" t="s">
        <v>106</v>
      </c>
      <c r="J51" s="46" t="s">
        <v>106</v>
      </c>
      <c r="K51" s="46" t="s">
        <v>106</v>
      </c>
      <c r="L51" s="46" t="s">
        <v>106</v>
      </c>
      <c r="M51" s="46" t="s">
        <v>106</v>
      </c>
    </row>
    <row r="52" spans="1:13" x14ac:dyDescent="0.35">
      <c r="A52" s="67"/>
      <c r="B52" s="46"/>
      <c r="C52" s="63"/>
      <c r="D52" s="46"/>
      <c r="E52" s="63"/>
      <c r="F52" s="46"/>
      <c r="G52" s="63"/>
      <c r="H52" s="68"/>
      <c r="I52" s="65"/>
      <c r="J52" s="68"/>
      <c r="K52" s="63"/>
      <c r="L52" s="46"/>
      <c r="M52" s="63"/>
    </row>
    <row r="53" spans="1:13" x14ac:dyDescent="0.35">
      <c r="A53" s="40" t="s">
        <v>253</v>
      </c>
      <c r="B53" s="66">
        <v>147</v>
      </c>
      <c r="C53" s="59">
        <v>36.28355501227238</v>
      </c>
      <c r="D53" s="58">
        <v>151</v>
      </c>
      <c r="E53" s="59">
        <v>29.774698210757538</v>
      </c>
      <c r="F53" s="58">
        <v>721</v>
      </c>
      <c r="G53" s="59">
        <v>140.81398687168348</v>
      </c>
      <c r="H53" s="60">
        <v>90</v>
      </c>
      <c r="I53" s="61">
        <v>17.413816121710965</v>
      </c>
      <c r="J53" s="60">
        <v>54</v>
      </c>
      <c r="K53" s="59">
        <v>10.35466650303737</v>
      </c>
      <c r="L53" s="58">
        <v>86</v>
      </c>
      <c r="M53" s="59">
        <v>16.358393377513679</v>
      </c>
    </row>
    <row r="54" spans="1:13" x14ac:dyDescent="0.35">
      <c r="A54" s="67" t="s">
        <v>254</v>
      </c>
      <c r="B54">
        <v>29</v>
      </c>
      <c r="C54" s="63">
        <v>12.107617603201509</v>
      </c>
      <c r="D54" s="46">
        <v>13</v>
      </c>
      <c r="E54" s="63">
        <v>8.4797724811814277</v>
      </c>
      <c r="F54" s="46">
        <v>27</v>
      </c>
      <c r="G54" s="63">
        <v>17.439381999974163</v>
      </c>
      <c r="H54" s="68">
        <v>5</v>
      </c>
      <c r="I54" s="69">
        <v>3.1984647369262755</v>
      </c>
      <c r="J54" s="68">
        <v>6</v>
      </c>
      <c r="K54" s="63">
        <v>3.8024259477546676</v>
      </c>
      <c r="L54" s="46">
        <v>18</v>
      </c>
      <c r="M54" s="63">
        <v>11.310653378743512</v>
      </c>
    </row>
    <row r="55" spans="1:13" x14ac:dyDescent="0.35">
      <c r="A55" s="67" t="s">
        <v>255</v>
      </c>
      <c r="B55">
        <v>3</v>
      </c>
      <c r="C55" s="50">
        <v>5.7184520150395288</v>
      </c>
      <c r="D55" s="46">
        <v>4</v>
      </c>
      <c r="E55" s="63">
        <v>6.8211660783410926</v>
      </c>
      <c r="F55" s="46">
        <v>32</v>
      </c>
      <c r="G55" s="63">
        <v>54.000236251033606</v>
      </c>
      <c r="H55" s="68">
        <v>2</v>
      </c>
      <c r="I55" s="69">
        <v>3.3410734869113443</v>
      </c>
      <c r="J55" s="68">
        <v>3</v>
      </c>
      <c r="K55" s="63">
        <v>4.9629433562731604</v>
      </c>
      <c r="L55" s="46">
        <v>4</v>
      </c>
      <c r="M55" s="63">
        <v>6.5595277140045924</v>
      </c>
    </row>
    <row r="56" spans="1:13" x14ac:dyDescent="0.35">
      <c r="A56" s="67" t="s">
        <v>256</v>
      </c>
      <c r="B56">
        <v>4</v>
      </c>
      <c r="C56" s="63">
        <v>6.5007429420505201</v>
      </c>
      <c r="D56" s="46">
        <v>9</v>
      </c>
      <c r="E56" s="63">
        <v>8.7777474349471394</v>
      </c>
      <c r="F56" s="46">
        <v>39</v>
      </c>
      <c r="G56" s="63">
        <v>37.548741154383094</v>
      </c>
      <c r="H56" s="68">
        <v>9</v>
      </c>
      <c r="I56" s="69">
        <v>8.555621043025269</v>
      </c>
      <c r="J56" s="68">
        <v>17</v>
      </c>
      <c r="K56" s="63">
        <v>15.963940276082262</v>
      </c>
      <c r="L56" s="46">
        <v>26</v>
      </c>
      <c r="M56" s="63">
        <v>24.128810728040463</v>
      </c>
    </row>
    <row r="57" spans="1:13" x14ac:dyDescent="0.35">
      <c r="A57" s="67" t="s">
        <v>257</v>
      </c>
      <c r="B57">
        <v>12</v>
      </c>
      <c r="C57" s="63">
        <v>0</v>
      </c>
      <c r="D57" s="46">
        <v>14</v>
      </c>
      <c r="E57" s="63">
        <v>88.467614533965246</v>
      </c>
      <c r="F57" s="46">
        <v>81</v>
      </c>
      <c r="G57" s="63">
        <v>508.5384229030638</v>
      </c>
      <c r="H57" s="68">
        <v>6</v>
      </c>
      <c r="I57" s="69">
        <v>37.434489643124529</v>
      </c>
      <c r="J57" s="68">
        <v>4</v>
      </c>
      <c r="K57" s="63">
        <v>24.810817516437165</v>
      </c>
      <c r="L57" s="46">
        <v>2</v>
      </c>
      <c r="M57" s="63">
        <v>12.370113805047009</v>
      </c>
    </row>
    <row r="58" spans="1:13" x14ac:dyDescent="0.35">
      <c r="A58" s="67" t="s">
        <v>258</v>
      </c>
      <c r="B58">
        <v>96</v>
      </c>
      <c r="C58" s="63">
        <v>214.56788018302214</v>
      </c>
      <c r="D58" s="46">
        <v>104</v>
      </c>
      <c r="E58" s="63">
        <v>142.74929654793769</v>
      </c>
      <c r="F58" s="46">
        <v>518</v>
      </c>
      <c r="G58" s="63">
        <v>708.96748056498404</v>
      </c>
      <c r="H58" s="68">
        <v>66</v>
      </c>
      <c r="I58" s="69">
        <v>90.070418690976581</v>
      </c>
      <c r="J58" s="68">
        <v>19</v>
      </c>
      <c r="K58" s="63">
        <v>25.866880862592406</v>
      </c>
      <c r="L58" s="46">
        <v>31</v>
      </c>
      <c r="M58" s="63">
        <v>42.163103204395838</v>
      </c>
    </row>
    <row r="59" spans="1:13" x14ac:dyDescent="0.35">
      <c r="A59" s="67" t="s">
        <v>259</v>
      </c>
      <c r="B59" s="46">
        <v>0</v>
      </c>
      <c r="C59" s="63">
        <v>0</v>
      </c>
      <c r="D59" s="46">
        <v>2</v>
      </c>
      <c r="E59" s="63">
        <v>13.851374748943831</v>
      </c>
      <c r="F59" s="46">
        <v>3</v>
      </c>
      <c r="G59" s="63">
        <v>20.563438206868188</v>
      </c>
      <c r="H59" s="68">
        <v>0</v>
      </c>
      <c r="I59" s="69">
        <v>0</v>
      </c>
      <c r="J59" s="68">
        <v>1</v>
      </c>
      <c r="K59" s="63">
        <v>6.7326466033797878</v>
      </c>
      <c r="L59" s="46">
        <v>0</v>
      </c>
      <c r="M59" s="63">
        <v>0</v>
      </c>
    </row>
    <row r="60" spans="1:13" x14ac:dyDescent="0.35">
      <c r="A60" s="67" t="s">
        <v>260</v>
      </c>
      <c r="B60" s="46">
        <v>0</v>
      </c>
      <c r="C60" s="63">
        <v>6.6917980861457469</v>
      </c>
      <c r="D60" s="46">
        <v>0</v>
      </c>
      <c r="E60" s="63">
        <v>0</v>
      </c>
      <c r="F60" s="46">
        <v>11</v>
      </c>
      <c r="G60" s="63">
        <v>23.363989719844522</v>
      </c>
      <c r="H60" s="68">
        <v>1</v>
      </c>
      <c r="I60" s="69">
        <v>2.1030494216614093</v>
      </c>
      <c r="J60" s="68">
        <v>3</v>
      </c>
      <c r="K60" s="63">
        <v>6.248958506915514</v>
      </c>
      <c r="L60" s="46">
        <v>2</v>
      </c>
      <c r="M60" s="63">
        <v>4.1298422400264316</v>
      </c>
    </row>
    <row r="61" spans="1:13" x14ac:dyDescent="0.35">
      <c r="A61" s="67" t="s">
        <v>261</v>
      </c>
      <c r="B61" s="46">
        <v>3</v>
      </c>
      <c r="C61" s="63">
        <v>7.8538143358291004</v>
      </c>
      <c r="D61" s="46">
        <v>5</v>
      </c>
      <c r="E61" s="63">
        <v>11.64469700498393</v>
      </c>
      <c r="F61" s="46">
        <v>10</v>
      </c>
      <c r="G61" s="63">
        <v>23.033513762524471</v>
      </c>
      <c r="H61" s="68">
        <v>1</v>
      </c>
      <c r="I61" s="69">
        <v>2.278838703796545</v>
      </c>
      <c r="J61" s="68">
        <v>1</v>
      </c>
      <c r="K61" s="63">
        <v>2.2555034283652109</v>
      </c>
      <c r="L61" s="46">
        <v>3</v>
      </c>
      <c r="M61" s="63">
        <v>6.7037608098143062</v>
      </c>
    </row>
    <row r="62" spans="1:13" x14ac:dyDescent="0.35">
      <c r="A62" s="67"/>
      <c r="B62" s="46"/>
      <c r="C62" s="63"/>
      <c r="D62" s="46"/>
      <c r="E62" s="63"/>
      <c r="F62" s="46"/>
      <c r="G62" s="63"/>
      <c r="H62" s="68"/>
      <c r="I62" s="65"/>
      <c r="J62" s="68"/>
      <c r="K62" s="63"/>
      <c r="L62" s="46"/>
      <c r="M62" s="63"/>
    </row>
    <row r="63" spans="1:13" x14ac:dyDescent="0.35">
      <c r="A63" s="40" t="s">
        <v>262</v>
      </c>
      <c r="B63" s="66">
        <v>212</v>
      </c>
      <c r="C63" s="59">
        <v>28.04993765463076</v>
      </c>
      <c r="D63" s="58">
        <v>1668</v>
      </c>
      <c r="E63" s="59">
        <v>356.03216242579992</v>
      </c>
      <c r="F63" s="58">
        <v>2308</v>
      </c>
      <c r="G63" s="59">
        <v>485.03902588696155</v>
      </c>
      <c r="H63" s="60">
        <v>437</v>
      </c>
      <c r="I63" s="61">
        <v>90.447352189984983</v>
      </c>
      <c r="J63" s="60">
        <v>213</v>
      </c>
      <c r="K63" s="59">
        <v>43.431628828814134</v>
      </c>
      <c r="L63" s="58">
        <v>1</v>
      </c>
      <c r="M63" s="59">
        <v>0.20088187141551408</v>
      </c>
    </row>
    <row r="64" spans="1:13" x14ac:dyDescent="0.35">
      <c r="A64" s="67" t="s">
        <v>263</v>
      </c>
      <c r="B64">
        <v>38</v>
      </c>
      <c r="C64" s="63">
        <v>0</v>
      </c>
      <c r="D64" s="46">
        <v>139</v>
      </c>
      <c r="E64" s="63">
        <v>106.72112771217542</v>
      </c>
      <c r="F64" s="46">
        <v>953</v>
      </c>
      <c r="G64" s="63">
        <v>722.3363373833688</v>
      </c>
      <c r="H64" s="68">
        <v>25</v>
      </c>
      <c r="I64" s="69">
        <v>18.710614157199096</v>
      </c>
      <c r="J64" s="68">
        <v>26</v>
      </c>
      <c r="K64" s="63">
        <v>19.217692103006829</v>
      </c>
      <c r="L64" s="46">
        <v>1</v>
      </c>
      <c r="M64" s="63">
        <v>0.73020416508455765</v>
      </c>
    </row>
    <row r="65" spans="1:13" x14ac:dyDescent="0.35">
      <c r="A65" s="67" t="s">
        <v>264</v>
      </c>
      <c r="B65">
        <v>2</v>
      </c>
      <c r="C65" s="63">
        <v>2.5320942951915528</v>
      </c>
      <c r="D65" s="46">
        <v>23</v>
      </c>
      <c r="E65" s="63">
        <v>55.075309499293603</v>
      </c>
      <c r="F65" s="46">
        <v>47</v>
      </c>
      <c r="G65" s="63">
        <v>110.73414381302422</v>
      </c>
      <c r="H65" s="68">
        <v>8</v>
      </c>
      <c r="I65" s="69">
        <v>18.55717930874507</v>
      </c>
      <c r="J65" s="68">
        <v>1</v>
      </c>
      <c r="K65" s="63">
        <v>2.2843567251461989</v>
      </c>
      <c r="L65" s="46">
        <v>0</v>
      </c>
      <c r="M65" s="63">
        <v>0</v>
      </c>
    </row>
    <row r="66" spans="1:13" x14ac:dyDescent="0.35">
      <c r="A66" s="67" t="s">
        <v>265</v>
      </c>
      <c r="B66">
        <v>12</v>
      </c>
      <c r="C66" s="63">
        <v>10.655301012253595</v>
      </c>
      <c r="D66" s="46">
        <v>8</v>
      </c>
      <c r="E66" s="63">
        <v>17.744260840634357</v>
      </c>
      <c r="F66" s="46">
        <v>57</v>
      </c>
      <c r="G66" s="63">
        <v>124.94793835901709</v>
      </c>
      <c r="H66" s="68">
        <v>6</v>
      </c>
      <c r="I66" s="69">
        <v>12.997985312276596</v>
      </c>
      <c r="J66" s="68">
        <v>11</v>
      </c>
      <c r="K66" s="63">
        <v>23.549561121815458</v>
      </c>
      <c r="L66" s="46">
        <v>0</v>
      </c>
      <c r="M66" s="63">
        <v>0</v>
      </c>
    </row>
    <row r="67" spans="1:13" x14ac:dyDescent="0.35">
      <c r="A67" s="67" t="s">
        <v>266</v>
      </c>
      <c r="B67">
        <v>16</v>
      </c>
      <c r="C67" s="63">
        <v>0</v>
      </c>
      <c r="D67" s="46">
        <v>40</v>
      </c>
      <c r="E67" s="63">
        <v>105.34355165784415</v>
      </c>
      <c r="F67" s="46">
        <v>44</v>
      </c>
      <c r="G67" s="63">
        <v>114.00145092755726</v>
      </c>
      <c r="H67" s="68">
        <v>3</v>
      </c>
      <c r="I67" s="69">
        <v>7.6470138410950526</v>
      </c>
      <c r="J67" s="68">
        <v>15</v>
      </c>
      <c r="K67" s="63">
        <v>37.647767487388002</v>
      </c>
      <c r="L67" s="46">
        <v>0</v>
      </c>
      <c r="M67" s="63">
        <v>0</v>
      </c>
    </row>
    <row r="68" spans="1:13" x14ac:dyDescent="0.35">
      <c r="A68" s="67" t="s">
        <v>267</v>
      </c>
      <c r="B68">
        <v>2</v>
      </c>
      <c r="C68" s="63">
        <v>4.5736239109058063</v>
      </c>
      <c r="D68" s="46">
        <v>24</v>
      </c>
      <c r="E68" s="63">
        <v>48.357848075760629</v>
      </c>
      <c r="F68" s="46">
        <v>70</v>
      </c>
      <c r="G68" s="63">
        <v>139.07653182865772</v>
      </c>
      <c r="H68" s="68">
        <v>22</v>
      </c>
      <c r="I68" s="69">
        <v>43.113584698596846</v>
      </c>
      <c r="J68" s="68">
        <v>9</v>
      </c>
      <c r="K68" s="63">
        <v>17.396010514921912</v>
      </c>
      <c r="L68" s="46">
        <v>0</v>
      </c>
      <c r="M68" s="63">
        <v>0</v>
      </c>
    </row>
    <row r="69" spans="1:13" x14ac:dyDescent="0.35">
      <c r="A69" s="67" t="s">
        <v>268</v>
      </c>
      <c r="B69">
        <v>5</v>
      </c>
      <c r="C69" s="63">
        <v>0</v>
      </c>
      <c r="D69" s="46">
        <v>0</v>
      </c>
      <c r="E69" s="63">
        <v>0</v>
      </c>
      <c r="F69" s="46">
        <v>28</v>
      </c>
      <c r="G69" s="63">
        <v>130.6396678019876</v>
      </c>
      <c r="H69" s="68">
        <v>3</v>
      </c>
      <c r="I69" s="69">
        <v>13.817243920412675</v>
      </c>
      <c r="J69" s="68">
        <v>5</v>
      </c>
      <c r="K69" s="63">
        <v>22.74277916761428</v>
      </c>
      <c r="L69" s="46">
        <v>0</v>
      </c>
      <c r="M69" s="63">
        <v>0</v>
      </c>
    </row>
    <row r="70" spans="1:13" x14ac:dyDescent="0.35">
      <c r="A70" s="67" t="s">
        <v>269</v>
      </c>
      <c r="B70">
        <v>12</v>
      </c>
      <c r="C70" s="63">
        <v>0</v>
      </c>
      <c r="D70" s="46">
        <v>11</v>
      </c>
      <c r="E70" s="63">
        <v>44.945656615183459</v>
      </c>
      <c r="F70" s="46">
        <v>126</v>
      </c>
      <c r="G70" s="63">
        <v>509.07034059229932</v>
      </c>
      <c r="H70" s="68">
        <v>3</v>
      </c>
      <c r="I70" s="69">
        <v>11.988491048593351</v>
      </c>
      <c r="J70" s="68">
        <v>12</v>
      </c>
      <c r="K70" s="63">
        <v>47.438330170777988</v>
      </c>
      <c r="L70" s="46">
        <v>0</v>
      </c>
      <c r="M70" s="63">
        <v>0</v>
      </c>
    </row>
    <row r="71" spans="1:13" x14ac:dyDescent="0.35">
      <c r="A71" s="67" t="s">
        <v>270</v>
      </c>
      <c r="B71">
        <v>14</v>
      </c>
      <c r="C71" s="63">
        <v>5.63570784490532</v>
      </c>
      <c r="D71" s="46">
        <v>74</v>
      </c>
      <c r="E71" s="63">
        <v>329.54798485860607</v>
      </c>
      <c r="F71" s="46">
        <v>182</v>
      </c>
      <c r="G71" s="63">
        <v>798.91137351301518</v>
      </c>
      <c r="H71" s="68">
        <v>18</v>
      </c>
      <c r="I71" s="69">
        <v>77.901843676967033</v>
      </c>
      <c r="J71" s="68">
        <v>15</v>
      </c>
      <c r="K71" s="63">
        <v>64.03141808247247</v>
      </c>
      <c r="L71" s="46">
        <v>0</v>
      </c>
      <c r="M71" s="63">
        <v>0</v>
      </c>
    </row>
    <row r="72" spans="1:13" x14ac:dyDescent="0.35">
      <c r="A72" s="67" t="s">
        <v>271</v>
      </c>
      <c r="B72">
        <v>9</v>
      </c>
      <c r="C72" s="63">
        <v>0</v>
      </c>
      <c r="D72" s="46">
        <v>0</v>
      </c>
      <c r="E72" s="63">
        <v>0</v>
      </c>
      <c r="F72" s="46">
        <v>43</v>
      </c>
      <c r="G72" s="63">
        <v>145.31936465021965</v>
      </c>
      <c r="H72" s="68">
        <v>3</v>
      </c>
      <c r="I72" s="69">
        <v>10.043858180722488</v>
      </c>
      <c r="J72" s="68">
        <v>15</v>
      </c>
      <c r="K72" s="63">
        <v>49.761146496815286</v>
      </c>
      <c r="L72" s="46">
        <v>0</v>
      </c>
      <c r="M72" s="63">
        <v>0</v>
      </c>
    </row>
    <row r="73" spans="1:13" x14ac:dyDescent="0.35">
      <c r="A73" s="67" t="s">
        <v>272</v>
      </c>
      <c r="B73">
        <v>102</v>
      </c>
      <c r="C73" s="63">
        <v>153.27236499259183</v>
      </c>
      <c r="D73" s="46">
        <v>1349</v>
      </c>
      <c r="E73" s="63">
        <v>2031.2288256817189</v>
      </c>
      <c r="F73" s="46">
        <v>758</v>
      </c>
      <c r="G73" s="63">
        <v>1108.8517971298586</v>
      </c>
      <c r="H73" s="68">
        <v>346</v>
      </c>
      <c r="I73" s="69">
        <v>492.18338809940394</v>
      </c>
      <c r="J73" s="68">
        <v>104</v>
      </c>
      <c r="K73" s="63">
        <v>144.00841895372346</v>
      </c>
      <c r="L73" s="46">
        <v>0</v>
      </c>
      <c r="M73" s="63">
        <v>0</v>
      </c>
    </row>
    <row r="74" spans="1:13" x14ac:dyDescent="0.35">
      <c r="A74" s="67"/>
      <c r="B74" s="46"/>
      <c r="C74" s="63"/>
      <c r="D74" s="46"/>
      <c r="E74" s="63"/>
      <c r="F74" s="46"/>
      <c r="G74" s="63"/>
      <c r="H74" s="68"/>
      <c r="I74" s="65"/>
      <c r="J74" s="68"/>
      <c r="K74" s="63"/>
      <c r="L74" s="46"/>
      <c r="M74" s="63"/>
    </row>
    <row r="75" spans="1:13" x14ac:dyDescent="0.35">
      <c r="A75" s="40" t="s">
        <v>273</v>
      </c>
      <c r="B75" s="66">
        <v>752</v>
      </c>
      <c r="C75" s="59">
        <v>278.6976505181421</v>
      </c>
      <c r="D75" s="58">
        <v>3284</v>
      </c>
      <c r="E75" s="59">
        <v>942.62177444817576</v>
      </c>
      <c r="F75" s="58">
        <v>12706</v>
      </c>
      <c r="G75" s="59">
        <v>3587.7047837946207</v>
      </c>
      <c r="H75" s="70">
        <v>2035</v>
      </c>
      <c r="I75" s="61">
        <v>565.48355095882118</v>
      </c>
      <c r="J75" s="70">
        <v>6909</v>
      </c>
      <c r="K75" s="59">
        <v>1890.07008770538</v>
      </c>
      <c r="L75" s="58">
        <v>2684</v>
      </c>
      <c r="M75" s="59">
        <v>722.71962302255133</v>
      </c>
    </row>
    <row r="76" spans="1:13" x14ac:dyDescent="0.35">
      <c r="A76" s="67" t="s">
        <v>274</v>
      </c>
      <c r="B76">
        <v>128</v>
      </c>
      <c r="C76" s="63">
        <v>256.00412553410933</v>
      </c>
      <c r="D76" s="46">
        <v>644</v>
      </c>
      <c r="E76" s="63">
        <v>973.91304347826076</v>
      </c>
      <c r="F76" s="46">
        <v>1736</v>
      </c>
      <c r="G76" s="63">
        <v>2573.2623808606199</v>
      </c>
      <c r="H76" s="68">
        <v>74</v>
      </c>
      <c r="I76" s="69">
        <v>107.58159482445302</v>
      </c>
      <c r="J76" s="68">
        <v>610</v>
      </c>
      <c r="K76" s="63">
        <v>870.0861527928339</v>
      </c>
      <c r="L76" s="46">
        <v>245</v>
      </c>
      <c r="M76" s="63">
        <v>342.5232076948887</v>
      </c>
    </row>
    <row r="77" spans="1:13" x14ac:dyDescent="0.35">
      <c r="A77" s="67" t="s">
        <v>275</v>
      </c>
      <c r="B77">
        <v>160</v>
      </c>
      <c r="C77" s="63">
        <v>374.33024245834662</v>
      </c>
      <c r="D77" s="46">
        <v>502</v>
      </c>
      <c r="E77" s="63">
        <v>965.62602189008794</v>
      </c>
      <c r="F77" s="46">
        <v>2691</v>
      </c>
      <c r="G77" s="63">
        <v>5115.3860776337306</v>
      </c>
      <c r="H77" s="68">
        <v>433</v>
      </c>
      <c r="I77" s="69">
        <v>813.72622716680451</v>
      </c>
      <c r="J77" s="68">
        <v>1386</v>
      </c>
      <c r="K77" s="63">
        <v>2574.8202641698713</v>
      </c>
      <c r="L77" s="46">
        <v>366</v>
      </c>
      <c r="M77" s="63">
        <v>672.84359144054713</v>
      </c>
    </row>
    <row r="78" spans="1:13" x14ac:dyDescent="0.35">
      <c r="A78" s="67" t="s">
        <v>276</v>
      </c>
      <c r="B78">
        <v>136</v>
      </c>
      <c r="C78" s="63">
        <v>309.09793404395555</v>
      </c>
      <c r="D78" s="46">
        <v>928</v>
      </c>
      <c r="E78" s="63">
        <v>1565.0032885306171</v>
      </c>
      <c r="F78" s="46">
        <v>2969</v>
      </c>
      <c r="G78" s="63">
        <v>4907.8436234399542</v>
      </c>
      <c r="H78" s="68">
        <v>792</v>
      </c>
      <c r="I78" s="69">
        <v>1283.5056558519432</v>
      </c>
      <c r="J78" s="68">
        <v>1552</v>
      </c>
      <c r="K78" s="63">
        <v>2467.7224448260508</v>
      </c>
      <c r="L78" s="46">
        <v>580</v>
      </c>
      <c r="M78" s="63">
        <v>904.58217661187177</v>
      </c>
    </row>
    <row r="79" spans="1:13" x14ac:dyDescent="0.35">
      <c r="A79" s="67" t="s">
        <v>277</v>
      </c>
      <c r="B79">
        <v>47</v>
      </c>
      <c r="C79" s="63">
        <v>229.63310891915873</v>
      </c>
      <c r="D79" s="46">
        <v>288</v>
      </c>
      <c r="E79" s="63">
        <v>1359.3241138433946</v>
      </c>
      <c r="F79" s="46">
        <v>610</v>
      </c>
      <c r="G79" s="63">
        <v>2828.3952334585247</v>
      </c>
      <c r="H79" s="68">
        <v>141</v>
      </c>
      <c r="I79" s="69">
        <v>642.77899343544857</v>
      </c>
      <c r="J79" s="68">
        <v>77</v>
      </c>
      <c r="K79" s="63">
        <v>345.27599659208107</v>
      </c>
      <c r="L79" s="46">
        <v>188</v>
      </c>
      <c r="M79" s="63">
        <v>828.99726607284595</v>
      </c>
    </row>
    <row r="80" spans="1:13" x14ac:dyDescent="0.35">
      <c r="A80" s="67" t="s">
        <v>278</v>
      </c>
      <c r="B80">
        <v>63</v>
      </c>
      <c r="C80" s="63">
        <v>218.33338846802738</v>
      </c>
      <c r="D80" s="46">
        <v>320</v>
      </c>
      <c r="E80" s="63">
        <v>822.7067050596462</v>
      </c>
      <c r="F80" s="46">
        <v>1311</v>
      </c>
      <c r="G80" s="63">
        <v>3299.6904180614633</v>
      </c>
      <c r="H80" s="68">
        <v>247</v>
      </c>
      <c r="I80" s="69">
        <v>609.00438877656688</v>
      </c>
      <c r="J80" s="68">
        <v>702</v>
      </c>
      <c r="K80" s="63">
        <v>1696.0618506885721</v>
      </c>
      <c r="L80" s="46">
        <v>388</v>
      </c>
      <c r="M80" s="63">
        <v>916.71588895451862</v>
      </c>
    </row>
    <row r="81" spans="1:13" x14ac:dyDescent="0.35">
      <c r="A81" s="67" t="s">
        <v>279</v>
      </c>
      <c r="B81">
        <v>109</v>
      </c>
      <c r="C81" s="63">
        <v>482.07413408952806</v>
      </c>
      <c r="D81" s="46">
        <v>65</v>
      </c>
      <c r="E81" s="63">
        <v>219.38706628864588</v>
      </c>
      <c r="F81" s="46">
        <v>1351</v>
      </c>
      <c r="G81" s="63">
        <v>4501.0827919373651</v>
      </c>
      <c r="H81" s="68">
        <v>107</v>
      </c>
      <c r="I81" s="69">
        <v>351.8000986355417</v>
      </c>
      <c r="J81" s="68">
        <v>485</v>
      </c>
      <c r="K81" s="63">
        <v>1575.0332867859579</v>
      </c>
      <c r="L81" s="46">
        <v>378</v>
      </c>
      <c r="M81" s="63">
        <v>1212.3155869146888</v>
      </c>
    </row>
    <row r="82" spans="1:13" x14ac:dyDescent="0.35">
      <c r="A82" s="67" t="s">
        <v>280</v>
      </c>
      <c r="B82">
        <v>64</v>
      </c>
      <c r="C82" s="63">
        <v>387.89759503491075</v>
      </c>
      <c r="D82" s="46">
        <v>351</v>
      </c>
      <c r="E82" s="63">
        <v>1877.4069319640564</v>
      </c>
      <c r="F82" s="46">
        <v>535</v>
      </c>
      <c r="G82" s="63">
        <v>2831.4368880656261</v>
      </c>
      <c r="H82" s="68">
        <v>56</v>
      </c>
      <c r="I82" s="69">
        <v>293.48566636968712</v>
      </c>
      <c r="J82" s="68">
        <v>1804</v>
      </c>
      <c r="K82" s="63">
        <v>9363.6458008927639</v>
      </c>
      <c r="L82" s="46">
        <v>201</v>
      </c>
      <c r="M82" s="63">
        <v>1034.5360028822893</v>
      </c>
    </row>
    <row r="83" spans="1:13" x14ac:dyDescent="0.35">
      <c r="A83" s="67" t="s">
        <v>281</v>
      </c>
      <c r="B83">
        <v>15</v>
      </c>
      <c r="C83" s="63">
        <v>90.497737556561091</v>
      </c>
      <c r="D83" s="46">
        <v>30</v>
      </c>
      <c r="E83" s="63">
        <v>146.06358634792346</v>
      </c>
      <c r="F83" s="46">
        <v>258</v>
      </c>
      <c r="G83" s="63">
        <v>1245.8953061618697</v>
      </c>
      <c r="H83" s="68">
        <v>24</v>
      </c>
      <c r="I83" s="69">
        <v>114.92601637695732</v>
      </c>
      <c r="J83" s="68">
        <v>15</v>
      </c>
      <c r="K83" s="63">
        <v>71.269064474746997</v>
      </c>
      <c r="L83" s="46">
        <v>35</v>
      </c>
      <c r="M83" s="63">
        <v>165.16445660893774</v>
      </c>
    </row>
    <row r="84" spans="1:13" x14ac:dyDescent="0.35">
      <c r="A84" s="67" t="s">
        <v>282</v>
      </c>
      <c r="B84">
        <v>3</v>
      </c>
      <c r="C84" s="63">
        <v>183.74846876276033</v>
      </c>
      <c r="D84" s="46">
        <v>16</v>
      </c>
      <c r="E84" s="63">
        <v>140.79549454417457</v>
      </c>
      <c r="F84" s="46">
        <v>522</v>
      </c>
      <c r="G84" s="63">
        <v>4557.7577927180655</v>
      </c>
      <c r="H84" s="68">
        <v>24</v>
      </c>
      <c r="I84" s="69">
        <v>208.24295010845987</v>
      </c>
      <c r="J84" s="68">
        <v>91</v>
      </c>
      <c r="K84" s="63">
        <v>784.88873555287216</v>
      </c>
      <c r="L84" s="46">
        <v>137</v>
      </c>
      <c r="M84" s="63">
        <v>1177.1782093143152</v>
      </c>
    </row>
    <row r="85" spans="1:13" x14ac:dyDescent="0.35">
      <c r="A85" s="67" t="s">
        <v>283</v>
      </c>
      <c r="B85">
        <v>18</v>
      </c>
      <c r="C85" s="63">
        <v>104.01016988327747</v>
      </c>
      <c r="D85" s="46">
        <v>102</v>
      </c>
      <c r="E85" s="63">
        <v>441.27190136275146</v>
      </c>
      <c r="F85" s="46">
        <v>388</v>
      </c>
      <c r="G85" s="63">
        <v>1644.2071361979827</v>
      </c>
      <c r="H85" s="68">
        <v>28</v>
      </c>
      <c r="I85" s="69">
        <v>116.26458497695469</v>
      </c>
      <c r="J85" s="68">
        <v>69</v>
      </c>
      <c r="K85" s="63">
        <v>280.88744148178301</v>
      </c>
      <c r="L85" s="46">
        <v>99</v>
      </c>
      <c r="M85" s="63">
        <v>394.67389571041303</v>
      </c>
    </row>
    <row r="86" spans="1:13" x14ac:dyDescent="0.35">
      <c r="A86" s="67" t="s">
        <v>284</v>
      </c>
      <c r="B86">
        <v>9</v>
      </c>
      <c r="C86" s="63">
        <v>122.04424103737605</v>
      </c>
      <c r="D86" s="46">
        <v>38</v>
      </c>
      <c r="E86" s="63">
        <v>502.91159343568029</v>
      </c>
      <c r="F86" s="46">
        <v>335</v>
      </c>
      <c r="G86" s="63">
        <v>4394.5953036862129</v>
      </c>
      <c r="H86" s="68">
        <v>109</v>
      </c>
      <c r="I86" s="69">
        <v>1418.3474300585556</v>
      </c>
      <c r="J86" s="68">
        <v>118</v>
      </c>
      <c r="K86" s="63">
        <v>1521.2066520562073</v>
      </c>
      <c r="L86" s="51">
        <v>67</v>
      </c>
      <c r="M86" s="63">
        <v>858.0942622950821</v>
      </c>
    </row>
    <row r="87" spans="1:13" x14ac:dyDescent="0.35">
      <c r="A87" s="67"/>
      <c r="B87" s="46"/>
      <c r="C87" s="63"/>
      <c r="D87" s="46"/>
      <c r="E87" s="63"/>
      <c r="F87" s="46"/>
      <c r="G87" s="63"/>
      <c r="H87" s="68"/>
      <c r="I87" s="69"/>
      <c r="J87" s="68"/>
      <c r="K87" s="63"/>
      <c r="L87" s="51"/>
      <c r="M87" s="63"/>
    </row>
    <row r="88" spans="1:13" x14ac:dyDescent="0.35">
      <c r="A88" s="40" t="s">
        <v>285</v>
      </c>
      <c r="B88" s="66">
        <v>2170</v>
      </c>
      <c r="C88" s="59">
        <v>561.31131878302938</v>
      </c>
      <c r="D88" s="58">
        <v>4862</v>
      </c>
      <c r="E88" s="59">
        <v>1083.3502305071604</v>
      </c>
      <c r="F88" s="58">
        <v>11796</v>
      </c>
      <c r="G88" s="59">
        <v>2590.9842709067784</v>
      </c>
      <c r="H88" s="70">
        <v>3597</v>
      </c>
      <c r="I88" s="61">
        <v>779.12626090874244</v>
      </c>
      <c r="J88" s="70">
        <v>5457</v>
      </c>
      <c r="K88" s="59">
        <v>1166.1178341022687</v>
      </c>
      <c r="L88" s="58">
        <v>5117</v>
      </c>
      <c r="M88" s="59">
        <v>1078.9394891431318</v>
      </c>
    </row>
    <row r="89" spans="1:13" x14ac:dyDescent="0.35">
      <c r="A89" s="67" t="s">
        <v>286</v>
      </c>
      <c r="B89">
        <v>1343</v>
      </c>
      <c r="C89" s="63">
        <v>1234.4862136436248</v>
      </c>
      <c r="D89" s="46">
        <v>2839</v>
      </c>
      <c r="E89" s="63">
        <v>2279.9550273048508</v>
      </c>
      <c r="F89" s="46">
        <v>3409</v>
      </c>
      <c r="G89" s="63">
        <v>2694.5421491522743</v>
      </c>
      <c r="H89" s="68">
        <v>1238</v>
      </c>
      <c r="I89" s="69">
        <v>963.41662710796027</v>
      </c>
      <c r="J89" s="68">
        <v>1507</v>
      </c>
      <c r="K89" s="63">
        <v>1155.125630451779</v>
      </c>
      <c r="L89" s="46">
        <v>1444</v>
      </c>
      <c r="M89" s="50">
        <v>1090.305043793416</v>
      </c>
    </row>
    <row r="90" spans="1:13" x14ac:dyDescent="0.35">
      <c r="A90" s="67" t="s">
        <v>287</v>
      </c>
      <c r="B90">
        <v>482</v>
      </c>
      <c r="C90" s="63">
        <v>1548.8525053926942</v>
      </c>
      <c r="D90" s="46">
        <v>735</v>
      </c>
      <c r="E90" s="63">
        <v>2180.7500593401378</v>
      </c>
      <c r="F90" s="46">
        <v>809</v>
      </c>
      <c r="G90" s="63">
        <v>2359.2196203085355</v>
      </c>
      <c r="H90" s="68">
        <v>67</v>
      </c>
      <c r="I90" s="69">
        <v>192.18633469106763</v>
      </c>
      <c r="J90" s="68">
        <v>373</v>
      </c>
      <c r="K90" s="63">
        <v>1052.7207044479567</v>
      </c>
      <c r="L90" s="46">
        <v>170</v>
      </c>
      <c r="M90" s="63">
        <v>472.37968211626099</v>
      </c>
    </row>
    <row r="91" spans="1:13" x14ac:dyDescent="0.35">
      <c r="A91" s="67" t="s">
        <v>288</v>
      </c>
      <c r="B91">
        <v>34</v>
      </c>
      <c r="C91" s="63">
        <v>75.923156562751643</v>
      </c>
      <c r="D91" s="46">
        <v>48</v>
      </c>
      <c r="E91" s="63">
        <v>99.993750390600596</v>
      </c>
      <c r="F91" s="46">
        <v>925</v>
      </c>
      <c r="G91" s="63">
        <v>1899.1500020531353</v>
      </c>
      <c r="H91" s="68">
        <v>867</v>
      </c>
      <c r="I91" s="69">
        <v>1755.1673178533108</v>
      </c>
      <c r="J91" s="68">
        <v>141</v>
      </c>
      <c r="K91" s="63">
        <v>281.67888606988032</v>
      </c>
      <c r="L91" s="46">
        <v>845</v>
      </c>
      <c r="M91" s="63">
        <v>1665.3856008198823</v>
      </c>
    </row>
    <row r="92" spans="1:13" x14ac:dyDescent="0.35">
      <c r="A92" s="67" t="s">
        <v>289</v>
      </c>
      <c r="B92">
        <v>130</v>
      </c>
      <c r="C92" s="63">
        <v>931.49038461538464</v>
      </c>
      <c r="D92" s="46">
        <v>377</v>
      </c>
      <c r="E92" s="63">
        <v>2877.8625954198474</v>
      </c>
      <c r="F92" s="46">
        <v>840</v>
      </c>
      <c r="G92" s="63">
        <v>6335.3194056867042</v>
      </c>
      <c r="H92" s="68">
        <v>72</v>
      </c>
      <c r="I92" s="69">
        <v>536.47269204977272</v>
      </c>
      <c r="J92" s="68">
        <v>537</v>
      </c>
      <c r="K92" s="63">
        <v>3954.0534570355649</v>
      </c>
      <c r="L92" s="46">
        <v>129</v>
      </c>
      <c r="M92" s="63">
        <v>939.41159335857844</v>
      </c>
    </row>
    <row r="93" spans="1:13" x14ac:dyDescent="0.35">
      <c r="A93" s="67" t="s">
        <v>290</v>
      </c>
      <c r="B93">
        <v>19</v>
      </c>
      <c r="C93" s="63">
        <v>81.821244645521489</v>
      </c>
      <c r="D93" s="46">
        <v>242</v>
      </c>
      <c r="E93" s="63">
        <v>815.33641049829851</v>
      </c>
      <c r="F93" s="46">
        <v>947</v>
      </c>
      <c r="G93" s="63">
        <v>3168.0717248762207</v>
      </c>
      <c r="H93" s="68">
        <v>113</v>
      </c>
      <c r="I93" s="69">
        <v>375.55252750174481</v>
      </c>
      <c r="J93" s="68">
        <v>238</v>
      </c>
      <c r="K93" s="63">
        <v>785.68598970025096</v>
      </c>
      <c r="L93" s="46">
        <v>557</v>
      </c>
      <c r="M93" s="63">
        <v>1827.9075872932526</v>
      </c>
    </row>
    <row r="94" spans="1:13" x14ac:dyDescent="0.35">
      <c r="A94" s="67" t="s">
        <v>291</v>
      </c>
      <c r="B94">
        <v>30</v>
      </c>
      <c r="C94" s="63">
        <v>184.73664764563406</v>
      </c>
      <c r="D94" s="46">
        <v>114</v>
      </c>
      <c r="E94" s="63">
        <v>392.77839029768467</v>
      </c>
      <c r="F94" s="46">
        <v>447</v>
      </c>
      <c r="G94" s="63">
        <v>1511.7183536812202</v>
      </c>
      <c r="H94" s="68">
        <v>253</v>
      </c>
      <c r="I94" s="69">
        <v>840.58741444614259</v>
      </c>
      <c r="J94" s="68">
        <v>205</v>
      </c>
      <c r="K94" s="63">
        <v>669.43147307579272</v>
      </c>
      <c r="L94" s="46">
        <v>508</v>
      </c>
      <c r="M94" s="63">
        <v>1631.7091189413165</v>
      </c>
    </row>
    <row r="95" spans="1:13" x14ac:dyDescent="0.35">
      <c r="A95" s="67" t="s">
        <v>292</v>
      </c>
      <c r="B95">
        <v>15</v>
      </c>
      <c r="C95" s="63">
        <v>20.341051632369393</v>
      </c>
      <c r="D95" s="46">
        <v>111</v>
      </c>
      <c r="E95" s="63">
        <v>267.39900267399003</v>
      </c>
      <c r="F95" s="46">
        <v>1262</v>
      </c>
      <c r="G95" s="63">
        <v>3003.9036465771683</v>
      </c>
      <c r="H95" s="68">
        <v>201</v>
      </c>
      <c r="I95" s="69">
        <v>472.76319503245833</v>
      </c>
      <c r="J95" s="68">
        <v>1047</v>
      </c>
      <c r="K95" s="63">
        <v>2434.6572411868665</v>
      </c>
      <c r="L95" s="46">
        <v>463</v>
      </c>
      <c r="M95" s="63">
        <v>1063.6098412625486</v>
      </c>
    </row>
    <row r="96" spans="1:13" x14ac:dyDescent="0.35">
      <c r="A96" s="67" t="s">
        <v>293</v>
      </c>
      <c r="B96">
        <v>3</v>
      </c>
      <c r="C96" s="63">
        <v>5.7492741541380399</v>
      </c>
      <c r="D96" s="46">
        <v>1</v>
      </c>
      <c r="E96" s="63">
        <v>2.2985335356042844</v>
      </c>
      <c r="F96" s="46">
        <v>26</v>
      </c>
      <c r="G96" s="63">
        <v>59.551076500229044</v>
      </c>
      <c r="H96" s="68">
        <v>13</v>
      </c>
      <c r="I96" s="69">
        <v>29.672913195316244</v>
      </c>
      <c r="J96" s="68">
        <v>12</v>
      </c>
      <c r="K96" s="63">
        <v>27.310589681148866</v>
      </c>
      <c r="L96" s="46">
        <v>22</v>
      </c>
      <c r="M96" s="63">
        <v>49.984095969464263</v>
      </c>
    </row>
    <row r="97" spans="1:13" x14ac:dyDescent="0.35">
      <c r="A97" s="67" t="s">
        <v>294</v>
      </c>
      <c r="B97">
        <v>13</v>
      </c>
      <c r="C97" s="63">
        <v>160.20506247997437</v>
      </c>
      <c r="D97" s="46">
        <v>22</v>
      </c>
      <c r="E97" s="63">
        <v>127.72875058058523</v>
      </c>
      <c r="F97" s="46">
        <v>1235</v>
      </c>
      <c r="G97" s="63">
        <v>7022.2323306988119</v>
      </c>
      <c r="H97" s="68">
        <v>45</v>
      </c>
      <c r="I97" s="69">
        <v>250.71034598027745</v>
      </c>
      <c r="J97" s="68">
        <v>64</v>
      </c>
      <c r="K97" s="63">
        <v>349.63124829281617</v>
      </c>
      <c r="L97" s="46">
        <v>419</v>
      </c>
      <c r="M97" s="63">
        <v>2241.6006847849349</v>
      </c>
    </row>
    <row r="98" spans="1:13" x14ac:dyDescent="0.35">
      <c r="A98" s="67" t="s">
        <v>295</v>
      </c>
      <c r="B98">
        <v>31</v>
      </c>
      <c r="C98" s="63">
        <v>71.24934171803848</v>
      </c>
      <c r="D98" s="46">
        <v>94</v>
      </c>
      <c r="E98" s="63">
        <v>197.08564839081666</v>
      </c>
      <c r="F98" s="46">
        <v>817</v>
      </c>
      <c r="G98" s="63">
        <v>1691.2662761090526</v>
      </c>
      <c r="H98" s="68">
        <v>713</v>
      </c>
      <c r="I98" s="69">
        <v>1457.8094011327157</v>
      </c>
      <c r="J98" s="68">
        <v>1225</v>
      </c>
      <c r="K98" s="63">
        <v>2474.6974808589725</v>
      </c>
      <c r="L98" s="46">
        <v>373</v>
      </c>
      <c r="M98" s="63">
        <v>744.57042478441394</v>
      </c>
    </row>
    <row r="99" spans="1:13" x14ac:dyDescent="0.35">
      <c r="A99" s="67" t="s">
        <v>296</v>
      </c>
      <c r="B99">
        <v>70</v>
      </c>
      <c r="C99" s="63">
        <v>230.87776305100687</v>
      </c>
      <c r="D99" s="46">
        <v>279</v>
      </c>
      <c r="E99" s="63">
        <v>1339.7358943577431</v>
      </c>
      <c r="F99" s="46">
        <v>1079</v>
      </c>
      <c r="G99" s="63">
        <v>5024.9150095468731</v>
      </c>
      <c r="H99" s="68">
        <v>15</v>
      </c>
      <c r="I99" s="69">
        <v>67.81806673297767</v>
      </c>
      <c r="J99" s="68">
        <v>108</v>
      </c>
      <c r="K99" s="63">
        <v>474.37079984187642</v>
      </c>
      <c r="L99" s="51">
        <v>187</v>
      </c>
      <c r="M99" s="63">
        <v>798.29242262540026</v>
      </c>
    </row>
    <row r="100" spans="1:13" x14ac:dyDescent="0.35">
      <c r="A100" s="52" t="s">
        <v>297</v>
      </c>
      <c r="C100" s="63"/>
      <c r="D100" s="46"/>
      <c r="E100" s="63"/>
      <c r="F100" s="46"/>
      <c r="G100" s="63"/>
      <c r="H100" s="68"/>
      <c r="I100" s="69"/>
      <c r="J100" s="68"/>
      <c r="K100" s="63"/>
      <c r="L100" s="51"/>
      <c r="M100" s="63"/>
    </row>
    <row r="101" spans="1:13" x14ac:dyDescent="0.35">
      <c r="A101" s="67"/>
      <c r="B101" s="46"/>
      <c r="C101" s="63"/>
      <c r="D101" s="46"/>
      <c r="E101" s="63"/>
      <c r="F101" s="46"/>
      <c r="G101" s="63"/>
      <c r="H101" s="68"/>
      <c r="I101" s="65"/>
      <c r="J101" s="68"/>
      <c r="K101" s="63"/>
      <c r="L101" s="46"/>
      <c r="M101" s="63"/>
    </row>
    <row r="102" spans="1:13" x14ac:dyDescent="0.35">
      <c r="A102" s="40" t="s">
        <v>298</v>
      </c>
      <c r="B102" s="66">
        <v>7602</v>
      </c>
      <c r="C102" s="59">
        <v>2125.1862693216367</v>
      </c>
      <c r="D102" s="58">
        <v>8032</v>
      </c>
      <c r="E102" s="59">
        <v>1926.5733762526806</v>
      </c>
      <c r="F102" s="58">
        <v>6665</v>
      </c>
      <c r="G102" s="59">
        <v>1577.4065212091953</v>
      </c>
      <c r="H102" s="70">
        <v>2174</v>
      </c>
      <c r="I102" s="61">
        <v>507.82171580203828</v>
      </c>
      <c r="J102" s="70">
        <v>674</v>
      </c>
      <c r="K102" s="59">
        <v>155.47041333447129</v>
      </c>
      <c r="L102" s="58">
        <v>1564</v>
      </c>
      <c r="M102" s="59">
        <v>356.25368724844139</v>
      </c>
    </row>
    <row r="103" spans="1:13" x14ac:dyDescent="0.35">
      <c r="A103" s="67" t="s">
        <v>299</v>
      </c>
      <c r="B103">
        <v>2411</v>
      </c>
      <c r="C103" s="63">
        <v>2220.6215465686041</v>
      </c>
      <c r="D103" s="46">
        <v>529</v>
      </c>
      <c r="E103" s="63">
        <v>546.73046911334575</v>
      </c>
      <c r="F103" s="46">
        <v>302</v>
      </c>
      <c r="G103" s="63">
        <v>310.65164840816749</v>
      </c>
      <c r="H103" s="68">
        <v>237</v>
      </c>
      <c r="I103" s="69">
        <v>242.67619622981539</v>
      </c>
      <c r="J103" s="68">
        <v>304</v>
      </c>
      <c r="K103" s="63">
        <v>217.18163957849617</v>
      </c>
      <c r="L103" s="46">
        <v>256</v>
      </c>
      <c r="M103" s="63">
        <v>260.0067032978194</v>
      </c>
    </row>
    <row r="104" spans="1:13" x14ac:dyDescent="0.35">
      <c r="A104" s="67" t="s">
        <v>300</v>
      </c>
      <c r="B104">
        <v>2470</v>
      </c>
      <c r="C104" s="63">
        <v>1662.6477909147479</v>
      </c>
      <c r="D104" s="46">
        <v>5636</v>
      </c>
      <c r="E104" s="63">
        <v>4224.6658721056619</v>
      </c>
      <c r="F104" s="46">
        <v>2232</v>
      </c>
      <c r="G104" s="63">
        <v>1645.8841834364468</v>
      </c>
      <c r="H104" s="68">
        <v>759</v>
      </c>
      <c r="I104" s="69">
        <v>550.76228693336429</v>
      </c>
      <c r="J104" s="68">
        <v>227</v>
      </c>
      <c r="K104" s="63">
        <v>362.46347422038417</v>
      </c>
      <c r="L104" s="46">
        <v>710</v>
      </c>
      <c r="M104" s="50">
        <v>499.39861153118432</v>
      </c>
    </row>
    <row r="105" spans="1:13" x14ac:dyDescent="0.35">
      <c r="A105" s="67" t="s">
        <v>301</v>
      </c>
      <c r="B105">
        <v>4</v>
      </c>
      <c r="C105" s="63">
        <v>3266.4588060529882</v>
      </c>
      <c r="D105" s="46">
        <v>326</v>
      </c>
      <c r="E105" s="63">
        <v>535.06655505769197</v>
      </c>
      <c r="F105" s="46">
        <v>2150</v>
      </c>
      <c r="G105" s="63">
        <v>3495.0256843747966</v>
      </c>
      <c r="H105" s="68">
        <v>272</v>
      </c>
      <c r="I105" s="69">
        <v>438.10198756563477</v>
      </c>
      <c r="J105" s="68">
        <v>29</v>
      </c>
      <c r="K105" s="63">
        <v>74.389493125384774</v>
      </c>
      <c r="L105" s="46">
        <v>316</v>
      </c>
      <c r="M105" s="63">
        <v>500.61785114540095</v>
      </c>
    </row>
    <row r="106" spans="1:13" x14ac:dyDescent="0.35">
      <c r="A106" s="67" t="s">
        <v>302</v>
      </c>
      <c r="B106">
        <v>725</v>
      </c>
      <c r="C106" s="63">
        <v>2267.1136203246297</v>
      </c>
      <c r="D106" s="46">
        <v>526</v>
      </c>
      <c r="E106" s="63">
        <v>1435.4719864639903</v>
      </c>
      <c r="F106" s="46">
        <v>284</v>
      </c>
      <c r="G106" s="63">
        <v>758.74966604328085</v>
      </c>
      <c r="H106" s="68">
        <v>194</v>
      </c>
      <c r="I106" s="69">
        <v>507.64077873142134</v>
      </c>
      <c r="J106" s="68">
        <v>31</v>
      </c>
      <c r="K106" s="63">
        <v>71.189087401827948</v>
      </c>
      <c r="L106" s="46">
        <v>28</v>
      </c>
      <c r="M106" s="63">
        <v>70.284652844018268</v>
      </c>
    </row>
    <row r="107" spans="1:13" x14ac:dyDescent="0.35">
      <c r="A107" s="67" t="s">
        <v>303</v>
      </c>
      <c r="B107">
        <v>621</v>
      </c>
      <c r="C107" s="63">
        <v>1333.9418708379146</v>
      </c>
      <c r="D107" s="46">
        <v>330</v>
      </c>
      <c r="E107" s="63">
        <v>790.58958817469636</v>
      </c>
      <c r="F107" s="46">
        <v>383</v>
      </c>
      <c r="G107" s="63">
        <v>904.32565168114854</v>
      </c>
      <c r="H107" s="68">
        <v>424</v>
      </c>
      <c r="I107" s="69">
        <v>987.01056846221888</v>
      </c>
      <c r="J107" s="68">
        <v>40</v>
      </c>
      <c r="K107" s="63">
        <v>79.48177880220959</v>
      </c>
      <c r="L107" s="46">
        <v>110</v>
      </c>
      <c r="M107" s="63">
        <v>249.28613515841002</v>
      </c>
    </row>
    <row r="108" spans="1:13" x14ac:dyDescent="0.35">
      <c r="A108" s="67" t="s">
        <v>304</v>
      </c>
      <c r="B108">
        <v>1371</v>
      </c>
      <c r="C108" s="63">
        <v>2635.495473148952</v>
      </c>
      <c r="D108" s="46">
        <v>685</v>
      </c>
      <c r="E108" s="63">
        <v>1444.203158272016</v>
      </c>
      <c r="F108" s="46">
        <v>1314</v>
      </c>
      <c r="G108" s="63">
        <v>2714.5955996281377</v>
      </c>
      <c r="H108" s="68">
        <v>288</v>
      </c>
      <c r="I108" s="69">
        <v>583.3147671804428</v>
      </c>
      <c r="J108" s="68">
        <v>43</v>
      </c>
      <c r="K108" s="63">
        <v>183.56456776947707</v>
      </c>
      <c r="L108" s="46">
        <v>144</v>
      </c>
      <c r="M108" s="63">
        <v>280.71817065325456</v>
      </c>
    </row>
    <row r="109" spans="1:13" x14ac:dyDescent="0.35">
      <c r="A109" s="67"/>
      <c r="B109" s="46"/>
      <c r="C109" s="63"/>
      <c r="D109" s="46"/>
      <c r="E109" s="63"/>
      <c r="F109" s="46"/>
      <c r="G109" s="63"/>
      <c r="H109" s="68"/>
      <c r="I109" s="65"/>
      <c r="J109" s="46"/>
      <c r="K109" s="63"/>
      <c r="L109" s="46"/>
      <c r="M109" s="63"/>
    </row>
    <row r="110" spans="1:13" x14ac:dyDescent="0.35">
      <c r="A110" s="67" t="s">
        <v>305</v>
      </c>
      <c r="B110" s="46">
        <v>0</v>
      </c>
      <c r="C110" s="63">
        <v>0</v>
      </c>
      <c r="D110" s="46">
        <v>0</v>
      </c>
      <c r="E110" s="63">
        <v>0</v>
      </c>
      <c r="F110" s="46">
        <v>0</v>
      </c>
      <c r="G110" s="63">
        <v>0</v>
      </c>
      <c r="H110" s="68">
        <v>0</v>
      </c>
      <c r="I110" s="69">
        <v>0</v>
      </c>
      <c r="J110" s="46"/>
      <c r="K110" s="63">
        <v>0</v>
      </c>
      <c r="L110" s="46">
        <v>0</v>
      </c>
      <c r="M110" s="63">
        <v>0</v>
      </c>
    </row>
    <row r="111" spans="1:13" ht="15" thickBot="1" x14ac:dyDescent="0.4">
      <c r="A111" s="71" t="s">
        <v>306</v>
      </c>
      <c r="B111" s="47">
        <v>0</v>
      </c>
      <c r="C111" s="72">
        <v>0</v>
      </c>
      <c r="D111" s="47">
        <v>0</v>
      </c>
      <c r="E111" s="72">
        <v>0</v>
      </c>
      <c r="F111" s="47">
        <v>0</v>
      </c>
      <c r="G111" s="72">
        <v>0</v>
      </c>
      <c r="H111" s="73">
        <v>0</v>
      </c>
      <c r="I111" s="74">
        <v>0</v>
      </c>
      <c r="J111" s="47"/>
      <c r="K111" s="72">
        <v>0</v>
      </c>
      <c r="L111" s="47">
        <v>0</v>
      </c>
      <c r="M111" s="72">
        <v>0</v>
      </c>
    </row>
    <row r="112" spans="1:13" ht="15" thickTop="1" x14ac:dyDescent="0.35">
      <c r="A112" s="48" t="s">
        <v>206</v>
      </c>
      <c r="B112" s="39"/>
      <c r="C112" s="39"/>
      <c r="D112" s="39"/>
      <c r="E112" s="39"/>
      <c r="F112" s="39"/>
      <c r="G112" s="39"/>
      <c r="H112" s="39"/>
      <c r="I112" s="39"/>
      <c r="J112" s="39"/>
      <c r="K112" s="39"/>
      <c r="L112" s="39"/>
      <c r="M112" s="39"/>
    </row>
    <row r="113" spans="1:13" x14ac:dyDescent="0.35">
      <c r="A113" s="49" t="s">
        <v>207</v>
      </c>
      <c r="B113" s="39"/>
      <c r="C113" s="39"/>
      <c r="D113" s="39"/>
      <c r="E113" s="39"/>
      <c r="F113" s="39"/>
      <c r="G113" s="39"/>
      <c r="H113" s="39"/>
      <c r="I113" s="39"/>
      <c r="J113" s="39"/>
      <c r="K113" s="39"/>
      <c r="L113" s="39"/>
      <c r="M113" s="39"/>
    </row>
    <row r="114" spans="1:13" x14ac:dyDescent="0.35">
      <c r="A114" s="49" t="s">
        <v>208</v>
      </c>
      <c r="B114" s="39"/>
      <c r="C114" s="39"/>
      <c r="D114" s="39"/>
      <c r="E114" s="39"/>
      <c r="F114" s="39"/>
      <c r="G114" s="39"/>
      <c r="H114" s="39"/>
      <c r="I114" s="39"/>
      <c r="J114" s="39"/>
      <c r="K114" s="39"/>
      <c r="L114" s="39"/>
      <c r="M114" s="39"/>
    </row>
    <row r="115" spans="1:13" x14ac:dyDescent="0.35">
      <c r="A115" s="52" t="s">
        <v>307</v>
      </c>
      <c r="B115" s="39"/>
      <c r="C115" s="39"/>
      <c r="D115" s="39"/>
      <c r="E115" s="39"/>
      <c r="F115" s="39"/>
      <c r="G115" s="39"/>
      <c r="H115" s="39"/>
      <c r="I115" s="39"/>
      <c r="J115" s="39"/>
      <c r="K115" s="39"/>
      <c r="L115" s="39"/>
      <c r="M115" s="39"/>
    </row>
  </sheetData>
  <mergeCells count="6">
    <mergeCell ref="L6:M6"/>
    <mergeCell ref="B6:C6"/>
    <mergeCell ref="D6:E6"/>
    <mergeCell ref="F6:G6"/>
    <mergeCell ref="H6:I6"/>
    <mergeCell ref="J6:K6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C110"/>
  <sheetViews>
    <sheetView workbookViewId="0"/>
  </sheetViews>
  <sheetFormatPr baseColWidth="10" defaultColWidth="8.90625" defaultRowHeight="14.5" x14ac:dyDescent="0.35"/>
  <cols>
    <col min="1" max="1" width="14.36328125" customWidth="1"/>
  </cols>
  <sheetData>
    <row r="1" spans="1:55" x14ac:dyDescent="0.35">
      <c r="A1" s="1"/>
      <c r="B1" s="2"/>
      <c r="C1" s="3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</row>
    <row r="2" spans="1:55" x14ac:dyDescent="0.35">
      <c r="A2" s="1" t="s">
        <v>0</v>
      </c>
      <c r="B2" s="2"/>
      <c r="C2" s="3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</row>
    <row r="3" spans="1:55" x14ac:dyDescent="0.35">
      <c r="A3" s="1" t="s">
        <v>1</v>
      </c>
      <c r="B3" s="2"/>
      <c r="C3" s="3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</row>
    <row r="4" spans="1:55" x14ac:dyDescent="0.35">
      <c r="A4" s="4" t="s">
        <v>2</v>
      </c>
      <c r="B4" s="2"/>
      <c r="C4" s="3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  <c r="AU4" s="2"/>
      <c r="AV4" s="2"/>
      <c r="AW4" s="2"/>
      <c r="AX4" s="2"/>
      <c r="AY4" s="2"/>
      <c r="AZ4" s="2"/>
      <c r="BA4" s="2"/>
      <c r="BB4" s="2"/>
      <c r="BC4" s="2"/>
    </row>
    <row r="5" spans="1:55" x14ac:dyDescent="0.35">
      <c r="A5" s="1" t="s">
        <v>3</v>
      </c>
      <c r="B5" s="2"/>
      <c r="C5" s="3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  <c r="AN5" s="2"/>
      <c r="AO5" s="2"/>
      <c r="AP5" s="2"/>
      <c r="AQ5" s="2"/>
      <c r="AR5" s="2"/>
      <c r="AS5" s="2"/>
      <c r="AT5" s="2"/>
      <c r="AU5" s="2"/>
      <c r="AV5" s="2"/>
      <c r="AW5" s="2"/>
      <c r="AX5" s="2"/>
      <c r="AY5" s="2"/>
      <c r="AZ5" s="2"/>
      <c r="BA5" s="2"/>
      <c r="BB5" s="2"/>
      <c r="BC5" s="2"/>
    </row>
    <row r="6" spans="1:55" x14ac:dyDescent="0.35">
      <c r="A6" s="5"/>
      <c r="B6" s="6"/>
      <c r="C6" s="7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  <c r="AM6" s="2"/>
      <c r="AN6" s="2"/>
      <c r="AO6" s="2"/>
      <c r="AP6" s="2"/>
      <c r="AQ6" s="2"/>
      <c r="AR6" s="2"/>
      <c r="AS6" s="2"/>
      <c r="AT6" s="2"/>
      <c r="AU6" s="2"/>
      <c r="AV6" s="2"/>
      <c r="AW6" s="2"/>
      <c r="AX6" s="2"/>
      <c r="AY6" s="2"/>
      <c r="AZ6" s="2"/>
      <c r="BA6" s="2"/>
      <c r="BB6" s="2"/>
      <c r="BC6" s="2"/>
    </row>
    <row r="7" spans="1:55" x14ac:dyDescent="0.35">
      <c r="A7" s="77" t="s">
        <v>4</v>
      </c>
      <c r="B7" s="80" t="s">
        <v>5</v>
      </c>
      <c r="C7" s="80"/>
      <c r="D7" s="81" t="s">
        <v>6</v>
      </c>
      <c r="E7" s="81"/>
      <c r="F7" s="81"/>
      <c r="G7" s="81"/>
      <c r="H7" s="81"/>
      <c r="I7" s="81"/>
      <c r="J7" s="81"/>
      <c r="K7" s="81"/>
      <c r="L7" s="81"/>
      <c r="M7" s="81"/>
      <c r="N7" s="81"/>
      <c r="O7" s="81"/>
      <c r="P7" s="81"/>
      <c r="Q7" s="81"/>
      <c r="R7" s="81"/>
      <c r="S7" s="81"/>
      <c r="T7" s="81"/>
      <c r="U7" s="81"/>
      <c r="V7" s="81"/>
      <c r="W7" s="81"/>
      <c r="X7" s="81"/>
      <c r="Y7" s="81"/>
      <c r="Z7" s="81"/>
      <c r="AA7" s="81"/>
      <c r="AB7" s="81"/>
      <c r="AC7" s="81"/>
      <c r="AD7" s="81"/>
      <c r="AE7" s="81"/>
      <c r="AF7" s="81"/>
      <c r="AG7" s="81"/>
      <c r="AH7" s="81"/>
      <c r="AI7" s="81"/>
      <c r="AJ7" s="81"/>
      <c r="AK7" s="81"/>
      <c r="AL7" s="81"/>
      <c r="AM7" s="81"/>
      <c r="AN7" s="81"/>
      <c r="AO7" s="81"/>
      <c r="AP7" s="81"/>
      <c r="AQ7" s="81"/>
      <c r="AR7" s="81"/>
      <c r="AS7" s="81"/>
      <c r="AT7" s="81"/>
      <c r="AU7" s="81"/>
      <c r="AV7" s="81"/>
      <c r="AW7" s="81"/>
      <c r="AX7" s="81"/>
      <c r="AY7" s="81"/>
      <c r="AZ7" s="81"/>
      <c r="BA7" s="81"/>
      <c r="BB7" s="81"/>
      <c r="BC7" s="81"/>
    </row>
    <row r="8" spans="1:55" x14ac:dyDescent="0.35">
      <c r="A8" s="78"/>
      <c r="B8" s="82" t="s">
        <v>7</v>
      </c>
      <c r="C8" s="84" t="s">
        <v>8</v>
      </c>
      <c r="D8" s="75">
        <v>1</v>
      </c>
      <c r="E8" s="75">
        <v>2</v>
      </c>
      <c r="F8" s="75">
        <v>3</v>
      </c>
      <c r="G8" s="75">
        <v>4</v>
      </c>
      <c r="H8" s="75">
        <v>5</v>
      </c>
      <c r="I8" s="75">
        <v>6</v>
      </c>
      <c r="J8" s="75">
        <v>7</v>
      </c>
      <c r="K8" s="75">
        <v>8</v>
      </c>
      <c r="L8" s="75">
        <v>9</v>
      </c>
      <c r="M8" s="75">
        <v>10</v>
      </c>
      <c r="N8" s="75">
        <v>11</v>
      </c>
      <c r="O8" s="75">
        <v>12</v>
      </c>
      <c r="P8" s="75">
        <v>13</v>
      </c>
      <c r="Q8" s="75">
        <v>14</v>
      </c>
      <c r="R8" s="75">
        <v>15</v>
      </c>
      <c r="S8" s="75">
        <v>16</v>
      </c>
      <c r="T8" s="75">
        <v>17</v>
      </c>
      <c r="U8" s="75">
        <v>18</v>
      </c>
      <c r="V8" s="75">
        <v>19</v>
      </c>
      <c r="W8" s="75">
        <v>20</v>
      </c>
      <c r="X8" s="75">
        <v>21</v>
      </c>
      <c r="Y8" s="75">
        <v>22</v>
      </c>
      <c r="Z8" s="75">
        <v>23</v>
      </c>
      <c r="AA8" s="75">
        <v>24</v>
      </c>
      <c r="AB8" s="75">
        <v>25</v>
      </c>
      <c r="AC8" s="75">
        <v>26</v>
      </c>
      <c r="AD8" s="75">
        <v>27</v>
      </c>
      <c r="AE8" s="75">
        <v>28</v>
      </c>
      <c r="AF8" s="75">
        <v>29</v>
      </c>
      <c r="AG8" s="75">
        <v>30</v>
      </c>
      <c r="AH8" s="75">
        <v>31</v>
      </c>
      <c r="AI8" s="75">
        <v>32</v>
      </c>
      <c r="AJ8" s="75">
        <v>33</v>
      </c>
      <c r="AK8" s="75">
        <v>34</v>
      </c>
      <c r="AL8" s="75">
        <v>35</v>
      </c>
      <c r="AM8" s="75">
        <v>36</v>
      </c>
      <c r="AN8" s="75">
        <v>37</v>
      </c>
      <c r="AO8" s="75">
        <v>38</v>
      </c>
      <c r="AP8" s="75">
        <v>39</v>
      </c>
      <c r="AQ8" s="75">
        <v>40</v>
      </c>
      <c r="AR8" s="75">
        <v>41</v>
      </c>
      <c r="AS8" s="75">
        <v>42</v>
      </c>
      <c r="AT8" s="75">
        <v>43</v>
      </c>
      <c r="AU8" s="75">
        <v>44</v>
      </c>
      <c r="AV8" s="75">
        <v>45</v>
      </c>
      <c r="AW8" s="75">
        <v>46</v>
      </c>
      <c r="AX8" s="75">
        <v>47</v>
      </c>
      <c r="AY8" s="75">
        <v>48</v>
      </c>
      <c r="AZ8" s="75">
        <v>49</v>
      </c>
      <c r="BA8" s="75">
        <v>50</v>
      </c>
      <c r="BB8" s="75">
        <v>51</v>
      </c>
      <c r="BC8" s="75">
        <v>52</v>
      </c>
    </row>
    <row r="9" spans="1:55" x14ac:dyDescent="0.35">
      <c r="A9" s="79"/>
      <c r="B9" s="83"/>
      <c r="C9" s="85"/>
      <c r="D9" s="76"/>
      <c r="E9" s="76"/>
      <c r="F9" s="76"/>
      <c r="G9" s="76"/>
      <c r="H9" s="76"/>
      <c r="I9" s="76"/>
      <c r="J9" s="76"/>
      <c r="K9" s="76"/>
      <c r="L9" s="76"/>
      <c r="M9" s="76"/>
      <c r="N9" s="76"/>
      <c r="O9" s="76"/>
      <c r="P9" s="76"/>
      <c r="Q9" s="76"/>
      <c r="R9" s="76"/>
      <c r="S9" s="76"/>
      <c r="T9" s="76"/>
      <c r="U9" s="76"/>
      <c r="V9" s="76"/>
      <c r="W9" s="76"/>
      <c r="X9" s="76"/>
      <c r="Y9" s="76"/>
      <c r="Z9" s="76"/>
      <c r="AA9" s="76"/>
      <c r="AB9" s="76"/>
      <c r="AC9" s="76"/>
      <c r="AD9" s="76"/>
      <c r="AE9" s="76"/>
      <c r="AF9" s="76"/>
      <c r="AG9" s="76"/>
      <c r="AH9" s="76"/>
      <c r="AI9" s="76"/>
      <c r="AJ9" s="76"/>
      <c r="AK9" s="76"/>
      <c r="AL9" s="76"/>
      <c r="AM9" s="76"/>
      <c r="AN9" s="76"/>
      <c r="AO9" s="76"/>
      <c r="AP9" s="76"/>
      <c r="AQ9" s="76"/>
      <c r="AR9" s="76"/>
      <c r="AS9" s="76"/>
      <c r="AT9" s="76"/>
      <c r="AU9" s="76"/>
      <c r="AV9" s="76"/>
      <c r="AW9" s="76"/>
      <c r="AX9" s="76"/>
      <c r="AY9" s="76"/>
      <c r="AZ9" s="76"/>
      <c r="BA9" s="76"/>
      <c r="BB9" s="76"/>
      <c r="BC9" s="76"/>
    </row>
    <row r="10" spans="1:55" x14ac:dyDescent="0.35">
      <c r="A10" s="8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2"/>
      <c r="AL10" s="2"/>
      <c r="AM10" s="2"/>
      <c r="AN10" s="2"/>
      <c r="AO10" s="2"/>
      <c r="AP10" s="2"/>
      <c r="AQ10" s="2"/>
      <c r="AR10" s="2"/>
      <c r="AS10" s="2"/>
      <c r="AT10" s="2"/>
      <c r="AU10" s="2"/>
      <c r="AV10" s="2"/>
      <c r="AW10" s="2"/>
      <c r="AX10" s="2"/>
      <c r="AY10" s="2"/>
      <c r="AZ10" s="2"/>
      <c r="BA10" s="2"/>
      <c r="BB10" s="2"/>
      <c r="BC10" s="2"/>
    </row>
    <row r="11" spans="1:55" x14ac:dyDescent="0.35">
      <c r="A11" s="9" t="s">
        <v>9</v>
      </c>
      <c r="B11" s="10">
        <v>4330</v>
      </c>
      <c r="C11" s="11">
        <v>90.716363870249211</v>
      </c>
      <c r="D11" s="10">
        <v>142</v>
      </c>
      <c r="E11" s="10">
        <v>133</v>
      </c>
      <c r="F11" s="10">
        <v>82</v>
      </c>
      <c r="G11" s="10">
        <v>69</v>
      </c>
      <c r="H11" s="10">
        <v>59</v>
      </c>
      <c r="I11" s="10">
        <v>59</v>
      </c>
      <c r="J11" s="10">
        <v>54</v>
      </c>
      <c r="K11" s="10">
        <v>40</v>
      </c>
      <c r="L11" s="10">
        <v>39</v>
      </c>
      <c r="M11" s="10">
        <v>38</v>
      </c>
      <c r="N11" s="10">
        <v>37</v>
      </c>
      <c r="O11" s="10">
        <v>47</v>
      </c>
      <c r="P11" s="10">
        <v>58</v>
      </c>
      <c r="Q11" s="10">
        <v>40</v>
      </c>
      <c r="R11" s="10">
        <v>49</v>
      </c>
      <c r="S11" s="10">
        <v>40</v>
      </c>
      <c r="T11" s="10">
        <v>30</v>
      </c>
      <c r="U11" s="10">
        <v>44</v>
      </c>
      <c r="V11" s="10">
        <v>55</v>
      </c>
      <c r="W11" s="10">
        <v>63</v>
      </c>
      <c r="X11" s="10">
        <v>101</v>
      </c>
      <c r="Y11" s="10">
        <v>110</v>
      </c>
      <c r="Z11" s="10">
        <v>140</v>
      </c>
      <c r="AA11" s="10">
        <v>115</v>
      </c>
      <c r="AB11" s="10">
        <v>151</v>
      </c>
      <c r="AC11" s="10">
        <v>148</v>
      </c>
      <c r="AD11" s="10">
        <v>140</v>
      </c>
      <c r="AE11" s="10">
        <v>188</v>
      </c>
      <c r="AF11" s="10">
        <v>150</v>
      </c>
      <c r="AG11" s="10">
        <v>143</v>
      </c>
      <c r="AH11" s="10">
        <v>177</v>
      </c>
      <c r="AI11" s="10">
        <v>124</v>
      </c>
      <c r="AJ11" s="10">
        <v>134</v>
      </c>
      <c r="AK11" s="10">
        <v>121</v>
      </c>
      <c r="AL11" s="10">
        <v>117</v>
      </c>
      <c r="AM11" s="10">
        <v>130</v>
      </c>
      <c r="AN11" s="10">
        <v>89</v>
      </c>
      <c r="AO11" s="10">
        <v>83</v>
      </c>
      <c r="AP11" s="10">
        <v>75</v>
      </c>
      <c r="AQ11" s="10">
        <v>77</v>
      </c>
      <c r="AR11" s="10">
        <v>71</v>
      </c>
      <c r="AS11" s="10">
        <v>74</v>
      </c>
      <c r="AT11" s="10">
        <v>80</v>
      </c>
      <c r="AU11" s="10">
        <v>73</v>
      </c>
      <c r="AV11" s="10">
        <v>55</v>
      </c>
      <c r="AW11" s="10">
        <v>62</v>
      </c>
      <c r="AX11" s="10">
        <v>67</v>
      </c>
      <c r="AY11" s="10">
        <v>44</v>
      </c>
      <c r="AZ11" s="10">
        <v>23</v>
      </c>
      <c r="BA11" s="10">
        <v>31</v>
      </c>
      <c r="BB11" s="10">
        <v>33</v>
      </c>
      <c r="BC11" s="10">
        <v>26</v>
      </c>
    </row>
    <row r="12" spans="1:55" x14ac:dyDescent="0.35">
      <c r="A12" s="1"/>
      <c r="B12" s="12"/>
      <c r="C12" s="13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/>
      <c r="AK12" s="2"/>
      <c r="AL12" s="2"/>
      <c r="AM12" s="2"/>
      <c r="AN12" s="2"/>
      <c r="AO12" s="2"/>
      <c r="AP12" s="2"/>
      <c r="AQ12" s="2"/>
      <c r="AR12" s="2"/>
      <c r="AS12" s="2"/>
      <c r="AT12" s="2"/>
      <c r="AU12" s="2"/>
      <c r="AV12" s="2"/>
      <c r="AW12" s="2"/>
      <c r="AX12" s="2"/>
      <c r="AY12" s="2"/>
      <c r="AZ12" s="2"/>
      <c r="BA12" s="2"/>
      <c r="BB12" s="2"/>
      <c r="BC12" s="2"/>
    </row>
    <row r="13" spans="1:55" x14ac:dyDescent="0.35">
      <c r="A13" s="1" t="s">
        <v>10</v>
      </c>
      <c r="B13" s="10">
        <v>484</v>
      </c>
      <c r="C13" s="11">
        <v>30.693443525332238</v>
      </c>
      <c r="D13" s="10">
        <v>29</v>
      </c>
      <c r="E13" s="10">
        <v>21</v>
      </c>
      <c r="F13" s="10">
        <v>16</v>
      </c>
      <c r="G13" s="10">
        <v>10</v>
      </c>
      <c r="H13" s="10">
        <v>4</v>
      </c>
      <c r="I13" s="10">
        <v>13</v>
      </c>
      <c r="J13" s="10">
        <v>9</v>
      </c>
      <c r="K13" s="10">
        <v>6</v>
      </c>
      <c r="L13" s="10">
        <v>7</v>
      </c>
      <c r="M13" s="10">
        <v>3</v>
      </c>
      <c r="N13" s="10">
        <v>3</v>
      </c>
      <c r="O13" s="10">
        <v>7</v>
      </c>
      <c r="P13" s="10">
        <v>5</v>
      </c>
      <c r="Q13" s="10">
        <v>6</v>
      </c>
      <c r="R13" s="10">
        <v>7</v>
      </c>
      <c r="S13" s="10">
        <v>8</v>
      </c>
      <c r="T13" s="10">
        <v>3</v>
      </c>
      <c r="U13" s="10">
        <v>8</v>
      </c>
      <c r="V13" s="10">
        <v>8</v>
      </c>
      <c r="W13" s="10">
        <v>12</v>
      </c>
      <c r="X13" s="10">
        <v>31</v>
      </c>
      <c r="Y13" s="10">
        <v>27</v>
      </c>
      <c r="Z13" s="10">
        <v>22</v>
      </c>
      <c r="AA13" s="10">
        <v>27</v>
      </c>
      <c r="AB13" s="10">
        <v>24</v>
      </c>
      <c r="AC13" s="10">
        <v>12</v>
      </c>
      <c r="AD13" s="10">
        <v>13</v>
      </c>
      <c r="AE13" s="10">
        <v>11</v>
      </c>
      <c r="AF13" s="10">
        <v>8</v>
      </c>
      <c r="AG13" s="10">
        <v>4</v>
      </c>
      <c r="AH13" s="10">
        <v>10</v>
      </c>
      <c r="AI13" s="10">
        <v>4</v>
      </c>
      <c r="AJ13" s="10">
        <v>7</v>
      </c>
      <c r="AK13" s="10">
        <v>4</v>
      </c>
      <c r="AL13" s="10">
        <v>8</v>
      </c>
      <c r="AM13" s="10">
        <v>11</v>
      </c>
      <c r="AN13" s="10">
        <v>5</v>
      </c>
      <c r="AO13" s="10">
        <v>3</v>
      </c>
      <c r="AP13" s="10">
        <v>2</v>
      </c>
      <c r="AQ13" s="10">
        <v>4</v>
      </c>
      <c r="AR13" s="10">
        <v>5</v>
      </c>
      <c r="AS13" s="10">
        <v>8</v>
      </c>
      <c r="AT13" s="10">
        <v>8</v>
      </c>
      <c r="AU13" s="10">
        <v>9</v>
      </c>
      <c r="AV13" s="10">
        <v>4</v>
      </c>
      <c r="AW13" s="10">
        <v>4</v>
      </c>
      <c r="AX13" s="10">
        <v>9</v>
      </c>
      <c r="AY13" s="10">
        <v>4</v>
      </c>
      <c r="AZ13" s="10">
        <v>1</v>
      </c>
      <c r="BA13" s="10">
        <v>4</v>
      </c>
      <c r="BB13" s="10">
        <v>5</v>
      </c>
      <c r="BC13" s="10">
        <v>1</v>
      </c>
    </row>
    <row r="14" spans="1:55" x14ac:dyDescent="0.35">
      <c r="A14" s="14" t="s">
        <v>11</v>
      </c>
      <c r="B14" s="15">
        <v>111</v>
      </c>
      <c r="C14" s="16">
        <v>33.532818357858609</v>
      </c>
      <c r="D14" s="15">
        <v>14</v>
      </c>
      <c r="E14" s="15">
        <v>8</v>
      </c>
      <c r="F14" s="15">
        <v>7</v>
      </c>
      <c r="G14" s="15">
        <v>5</v>
      </c>
      <c r="H14" s="15">
        <v>1</v>
      </c>
      <c r="I14" s="15">
        <v>5</v>
      </c>
      <c r="J14" s="15">
        <v>4</v>
      </c>
      <c r="K14" s="15">
        <v>2</v>
      </c>
      <c r="L14" s="15">
        <v>3</v>
      </c>
      <c r="M14" s="15">
        <v>0</v>
      </c>
      <c r="N14" s="15">
        <v>0</v>
      </c>
      <c r="O14" s="15">
        <v>1</v>
      </c>
      <c r="P14" s="15">
        <v>0</v>
      </c>
      <c r="Q14" s="15">
        <v>0</v>
      </c>
      <c r="R14" s="15">
        <v>2</v>
      </c>
      <c r="S14" s="15">
        <v>3</v>
      </c>
      <c r="T14" s="15">
        <v>1</v>
      </c>
      <c r="U14" s="15">
        <v>1</v>
      </c>
      <c r="V14" s="15">
        <v>2</v>
      </c>
      <c r="W14" s="15">
        <v>2</v>
      </c>
      <c r="X14" s="15">
        <v>2</v>
      </c>
      <c r="Y14" s="15">
        <v>4</v>
      </c>
      <c r="Z14" s="15">
        <v>5</v>
      </c>
      <c r="AA14" s="15">
        <v>3</v>
      </c>
      <c r="AB14" s="15">
        <v>3</v>
      </c>
      <c r="AC14" s="15">
        <v>1</v>
      </c>
      <c r="AD14" s="15">
        <v>1</v>
      </c>
      <c r="AE14" s="15">
        <v>1</v>
      </c>
      <c r="AF14" s="15">
        <v>2</v>
      </c>
      <c r="AG14" s="15">
        <v>2</v>
      </c>
      <c r="AH14" s="15">
        <v>4</v>
      </c>
      <c r="AI14" s="15">
        <v>3</v>
      </c>
      <c r="AJ14" s="15">
        <v>0</v>
      </c>
      <c r="AK14" s="15">
        <v>1</v>
      </c>
      <c r="AL14" s="15">
        <v>1</v>
      </c>
      <c r="AM14" s="15">
        <v>2</v>
      </c>
      <c r="AN14" s="15">
        <v>0</v>
      </c>
      <c r="AO14" s="15">
        <v>3</v>
      </c>
      <c r="AP14" s="15">
        <v>0</v>
      </c>
      <c r="AQ14" s="15">
        <v>1</v>
      </c>
      <c r="AR14" s="15">
        <v>3</v>
      </c>
      <c r="AS14" s="15">
        <v>1</v>
      </c>
      <c r="AT14" s="15">
        <v>2</v>
      </c>
      <c r="AU14" s="15">
        <v>2</v>
      </c>
      <c r="AV14" s="15">
        <v>1</v>
      </c>
      <c r="AW14" s="15">
        <v>1</v>
      </c>
      <c r="AX14" s="15">
        <v>0</v>
      </c>
      <c r="AY14" s="15">
        <v>1</v>
      </c>
      <c r="AZ14" s="15">
        <v>0</v>
      </c>
      <c r="BA14" s="15">
        <v>0</v>
      </c>
      <c r="BB14" s="15">
        <v>0</v>
      </c>
      <c r="BC14" s="15">
        <v>0</v>
      </c>
    </row>
    <row r="15" spans="1:55" x14ac:dyDescent="0.35">
      <c r="A15" s="14" t="s">
        <v>12</v>
      </c>
      <c r="B15" s="15">
        <v>0</v>
      </c>
      <c r="C15" s="16">
        <v>0</v>
      </c>
      <c r="D15" s="15">
        <v>0</v>
      </c>
      <c r="E15" s="15">
        <v>0</v>
      </c>
      <c r="F15" s="15">
        <v>0</v>
      </c>
      <c r="G15" s="15">
        <v>0</v>
      </c>
      <c r="H15" s="15">
        <v>0</v>
      </c>
      <c r="I15" s="15">
        <v>0</v>
      </c>
      <c r="J15" s="15">
        <v>0</v>
      </c>
      <c r="K15" s="15">
        <v>0</v>
      </c>
      <c r="L15" s="15">
        <v>0</v>
      </c>
      <c r="M15" s="15">
        <v>0</v>
      </c>
      <c r="N15" s="15">
        <v>0</v>
      </c>
      <c r="O15" s="15">
        <v>0</v>
      </c>
      <c r="P15" s="15">
        <v>0</v>
      </c>
      <c r="Q15" s="15">
        <v>0</v>
      </c>
      <c r="R15" s="15">
        <v>0</v>
      </c>
      <c r="S15" s="15">
        <v>0</v>
      </c>
      <c r="T15" s="15">
        <v>0</v>
      </c>
      <c r="U15" s="15">
        <v>0</v>
      </c>
      <c r="V15" s="15">
        <v>0</v>
      </c>
      <c r="W15" s="15">
        <v>0</v>
      </c>
      <c r="X15" s="15">
        <v>0</v>
      </c>
      <c r="Y15" s="15">
        <v>0</v>
      </c>
      <c r="Z15" s="15">
        <v>0</v>
      </c>
      <c r="AA15" s="15">
        <v>0</v>
      </c>
      <c r="AB15" s="15">
        <v>0</v>
      </c>
      <c r="AC15" s="15">
        <v>0</v>
      </c>
      <c r="AD15" s="15">
        <v>0</v>
      </c>
      <c r="AE15" s="15">
        <v>0</v>
      </c>
      <c r="AF15" s="15">
        <v>0</v>
      </c>
      <c r="AG15" s="15">
        <v>0</v>
      </c>
      <c r="AH15" s="15">
        <v>0</v>
      </c>
      <c r="AI15" s="15">
        <v>0</v>
      </c>
      <c r="AJ15" s="15">
        <v>0</v>
      </c>
      <c r="AK15" s="15">
        <v>0</v>
      </c>
      <c r="AL15" s="15">
        <v>0</v>
      </c>
      <c r="AM15" s="15">
        <v>0</v>
      </c>
      <c r="AN15" s="15">
        <v>0</v>
      </c>
      <c r="AO15" s="15">
        <v>0</v>
      </c>
      <c r="AP15" s="15">
        <v>0</v>
      </c>
      <c r="AQ15" s="15">
        <v>0</v>
      </c>
      <c r="AR15" s="15">
        <v>0</v>
      </c>
      <c r="AS15" s="15">
        <v>0</v>
      </c>
      <c r="AT15" s="15">
        <v>0</v>
      </c>
      <c r="AU15" s="15">
        <v>0</v>
      </c>
      <c r="AV15" s="15">
        <v>0</v>
      </c>
      <c r="AW15" s="15">
        <v>0</v>
      </c>
      <c r="AX15" s="15">
        <v>0</v>
      </c>
      <c r="AY15" s="15">
        <v>0</v>
      </c>
      <c r="AZ15" s="15">
        <v>0</v>
      </c>
      <c r="BA15" s="15">
        <v>0</v>
      </c>
      <c r="BB15" s="15">
        <v>0</v>
      </c>
      <c r="BC15" s="15">
        <v>0</v>
      </c>
    </row>
    <row r="16" spans="1:55" x14ac:dyDescent="0.35">
      <c r="A16" s="14" t="s">
        <v>13</v>
      </c>
      <c r="B16" s="15">
        <v>123</v>
      </c>
      <c r="C16" s="16">
        <v>53.299822333925555</v>
      </c>
      <c r="D16" s="15">
        <v>11</v>
      </c>
      <c r="E16" s="15">
        <v>11</v>
      </c>
      <c r="F16" s="15">
        <v>8</v>
      </c>
      <c r="G16" s="15">
        <v>3</v>
      </c>
      <c r="H16" s="15">
        <v>3</v>
      </c>
      <c r="I16" s="15">
        <v>5</v>
      </c>
      <c r="J16" s="15">
        <v>3</v>
      </c>
      <c r="K16" s="15">
        <v>4</v>
      </c>
      <c r="L16" s="15">
        <v>2</v>
      </c>
      <c r="M16" s="15">
        <v>3</v>
      </c>
      <c r="N16" s="15">
        <v>1</v>
      </c>
      <c r="O16" s="15">
        <v>1</v>
      </c>
      <c r="P16" s="15">
        <v>4</v>
      </c>
      <c r="Q16" s="15">
        <v>2</v>
      </c>
      <c r="R16" s="15">
        <v>2</v>
      </c>
      <c r="S16" s="15">
        <v>3</v>
      </c>
      <c r="T16" s="15">
        <v>2</v>
      </c>
      <c r="U16" s="15">
        <v>6</v>
      </c>
      <c r="V16" s="15">
        <v>2</v>
      </c>
      <c r="W16" s="15">
        <v>1</v>
      </c>
      <c r="X16" s="15">
        <v>3</v>
      </c>
      <c r="Y16" s="15">
        <v>3</v>
      </c>
      <c r="Z16" s="15">
        <v>1</v>
      </c>
      <c r="AA16" s="15">
        <v>2</v>
      </c>
      <c r="AB16" s="15">
        <v>7</v>
      </c>
      <c r="AC16" s="15">
        <v>3</v>
      </c>
      <c r="AD16" s="15">
        <v>2</v>
      </c>
      <c r="AE16" s="15">
        <v>3</v>
      </c>
      <c r="AF16" s="15">
        <v>1</v>
      </c>
      <c r="AG16" s="15">
        <v>0</v>
      </c>
      <c r="AH16" s="15">
        <v>2</v>
      </c>
      <c r="AI16" s="15">
        <v>0</v>
      </c>
      <c r="AJ16" s="15">
        <v>2</v>
      </c>
      <c r="AK16" s="15">
        <v>1</v>
      </c>
      <c r="AL16" s="15">
        <v>4</v>
      </c>
      <c r="AM16" s="15">
        <v>5</v>
      </c>
      <c r="AN16" s="15">
        <v>1</v>
      </c>
      <c r="AO16" s="15">
        <v>0</v>
      </c>
      <c r="AP16" s="15">
        <v>1</v>
      </c>
      <c r="AQ16" s="15">
        <v>1</v>
      </c>
      <c r="AR16" s="15">
        <v>1</v>
      </c>
      <c r="AS16" s="15">
        <v>0</v>
      </c>
      <c r="AT16" s="15">
        <v>0</v>
      </c>
      <c r="AU16" s="15">
        <v>2</v>
      </c>
      <c r="AV16" s="15">
        <v>0</v>
      </c>
      <c r="AW16" s="15">
        <v>0</v>
      </c>
      <c r="AX16" s="15">
        <v>0</v>
      </c>
      <c r="AY16" s="15">
        <v>0</v>
      </c>
      <c r="AZ16" s="15">
        <v>0</v>
      </c>
      <c r="BA16" s="15">
        <v>0</v>
      </c>
      <c r="BB16" s="15">
        <v>1</v>
      </c>
      <c r="BC16" s="15">
        <v>0</v>
      </c>
    </row>
    <row r="17" spans="1:55" x14ac:dyDescent="0.35">
      <c r="A17" s="14" t="s">
        <v>14</v>
      </c>
      <c r="B17" s="15">
        <v>0</v>
      </c>
      <c r="C17" s="16">
        <v>0</v>
      </c>
      <c r="D17" s="15">
        <v>0</v>
      </c>
      <c r="E17" s="15">
        <v>0</v>
      </c>
      <c r="F17" s="15">
        <v>0</v>
      </c>
      <c r="G17" s="15">
        <v>0</v>
      </c>
      <c r="H17" s="15">
        <v>0</v>
      </c>
      <c r="I17" s="15">
        <v>0</v>
      </c>
      <c r="J17" s="15">
        <v>0</v>
      </c>
      <c r="K17" s="15">
        <v>0</v>
      </c>
      <c r="L17" s="15">
        <v>0</v>
      </c>
      <c r="M17" s="15">
        <v>0</v>
      </c>
      <c r="N17" s="15">
        <v>0</v>
      </c>
      <c r="O17" s="15">
        <v>0</v>
      </c>
      <c r="P17" s="15">
        <v>0</v>
      </c>
      <c r="Q17" s="15">
        <v>0</v>
      </c>
      <c r="R17" s="15">
        <v>0</v>
      </c>
      <c r="S17" s="15">
        <v>0</v>
      </c>
      <c r="T17" s="15">
        <v>0</v>
      </c>
      <c r="U17" s="15">
        <v>0</v>
      </c>
      <c r="V17" s="15">
        <v>0</v>
      </c>
      <c r="W17" s="15">
        <v>0</v>
      </c>
      <c r="X17" s="15">
        <v>0</v>
      </c>
      <c r="Y17" s="15">
        <v>0</v>
      </c>
      <c r="Z17" s="15">
        <v>0</v>
      </c>
      <c r="AA17" s="15">
        <v>0</v>
      </c>
      <c r="AB17" s="15">
        <v>0</v>
      </c>
      <c r="AC17" s="15">
        <v>0</v>
      </c>
      <c r="AD17" s="15">
        <v>0</v>
      </c>
      <c r="AE17" s="15">
        <v>0</v>
      </c>
      <c r="AF17" s="15">
        <v>0</v>
      </c>
      <c r="AG17" s="15">
        <v>0</v>
      </c>
      <c r="AH17" s="15">
        <v>0</v>
      </c>
      <c r="AI17" s="15">
        <v>0</v>
      </c>
      <c r="AJ17" s="15">
        <v>0</v>
      </c>
      <c r="AK17" s="15">
        <v>0</v>
      </c>
      <c r="AL17" s="15">
        <v>0</v>
      </c>
      <c r="AM17" s="15">
        <v>0</v>
      </c>
      <c r="AN17" s="15">
        <v>0</v>
      </c>
      <c r="AO17" s="15">
        <v>0</v>
      </c>
      <c r="AP17" s="15">
        <v>0</v>
      </c>
      <c r="AQ17" s="15">
        <v>0</v>
      </c>
      <c r="AR17" s="15">
        <v>0</v>
      </c>
      <c r="AS17" s="15">
        <v>0</v>
      </c>
      <c r="AT17" s="15">
        <v>0</v>
      </c>
      <c r="AU17" s="15">
        <v>0</v>
      </c>
      <c r="AV17" s="15">
        <v>0</v>
      </c>
      <c r="AW17" s="15">
        <v>0</v>
      </c>
      <c r="AX17" s="15">
        <v>0</v>
      </c>
      <c r="AY17" s="15">
        <v>0</v>
      </c>
      <c r="AZ17" s="15">
        <v>0</v>
      </c>
      <c r="BA17" s="15">
        <v>0</v>
      </c>
      <c r="BB17" s="15">
        <v>0</v>
      </c>
      <c r="BC17" s="15">
        <v>0</v>
      </c>
    </row>
    <row r="18" spans="1:55" x14ac:dyDescent="0.35">
      <c r="A18" s="14" t="s">
        <v>15</v>
      </c>
      <c r="B18" s="15">
        <v>0</v>
      </c>
      <c r="C18" s="16">
        <v>0</v>
      </c>
      <c r="D18" s="15">
        <v>0</v>
      </c>
      <c r="E18" s="15">
        <v>0</v>
      </c>
      <c r="F18" s="15">
        <v>0</v>
      </c>
      <c r="G18" s="15">
        <v>0</v>
      </c>
      <c r="H18" s="15">
        <v>0</v>
      </c>
      <c r="I18" s="15">
        <v>0</v>
      </c>
      <c r="J18" s="15">
        <v>0</v>
      </c>
      <c r="K18" s="15">
        <v>0</v>
      </c>
      <c r="L18" s="15">
        <v>0</v>
      </c>
      <c r="M18" s="15">
        <v>0</v>
      </c>
      <c r="N18" s="15">
        <v>0</v>
      </c>
      <c r="O18" s="15">
        <v>0</v>
      </c>
      <c r="P18" s="15">
        <v>0</v>
      </c>
      <c r="Q18" s="15">
        <v>0</v>
      </c>
      <c r="R18" s="15">
        <v>0</v>
      </c>
      <c r="S18" s="15">
        <v>0</v>
      </c>
      <c r="T18" s="15">
        <v>0</v>
      </c>
      <c r="U18" s="15">
        <v>0</v>
      </c>
      <c r="V18" s="15">
        <v>0</v>
      </c>
      <c r="W18" s="15">
        <v>0</v>
      </c>
      <c r="X18" s="15">
        <v>0</v>
      </c>
      <c r="Y18" s="15">
        <v>0</v>
      </c>
      <c r="Z18" s="15">
        <v>0</v>
      </c>
      <c r="AA18" s="15">
        <v>0</v>
      </c>
      <c r="AB18" s="15">
        <v>0</v>
      </c>
      <c r="AC18" s="15">
        <v>0</v>
      </c>
      <c r="AD18" s="15">
        <v>0</v>
      </c>
      <c r="AE18" s="15">
        <v>0</v>
      </c>
      <c r="AF18" s="15">
        <v>0</v>
      </c>
      <c r="AG18" s="15">
        <v>0</v>
      </c>
      <c r="AH18" s="15">
        <v>0</v>
      </c>
      <c r="AI18" s="15">
        <v>0</v>
      </c>
      <c r="AJ18" s="15">
        <v>0</v>
      </c>
      <c r="AK18" s="15">
        <v>0</v>
      </c>
      <c r="AL18" s="15">
        <v>0</v>
      </c>
      <c r="AM18" s="15">
        <v>0</v>
      </c>
      <c r="AN18" s="15">
        <v>0</v>
      </c>
      <c r="AO18" s="15">
        <v>0</v>
      </c>
      <c r="AP18" s="15">
        <v>0</v>
      </c>
      <c r="AQ18" s="15">
        <v>0</v>
      </c>
      <c r="AR18" s="15">
        <v>0</v>
      </c>
      <c r="AS18" s="15">
        <v>0</v>
      </c>
      <c r="AT18" s="15">
        <v>0</v>
      </c>
      <c r="AU18" s="15">
        <v>0</v>
      </c>
      <c r="AV18" s="15">
        <v>0</v>
      </c>
      <c r="AW18" s="15">
        <v>0</v>
      </c>
      <c r="AX18" s="15">
        <v>0</v>
      </c>
      <c r="AY18" s="15">
        <v>0</v>
      </c>
      <c r="AZ18" s="15">
        <v>0</v>
      </c>
      <c r="BA18" s="15">
        <v>0</v>
      </c>
      <c r="BB18" s="15">
        <v>0</v>
      </c>
      <c r="BC18" s="15">
        <v>0</v>
      </c>
    </row>
    <row r="19" spans="1:55" x14ac:dyDescent="0.35">
      <c r="A19" s="14" t="s">
        <v>16</v>
      </c>
      <c r="B19" s="15">
        <v>25</v>
      </c>
      <c r="C19" s="16">
        <v>41.609799940081885</v>
      </c>
      <c r="D19" s="15">
        <v>0</v>
      </c>
      <c r="E19" s="15">
        <v>0</v>
      </c>
      <c r="F19" s="15">
        <v>0</v>
      </c>
      <c r="G19" s="15">
        <v>0</v>
      </c>
      <c r="H19" s="15">
        <v>0</v>
      </c>
      <c r="I19" s="15">
        <v>0</v>
      </c>
      <c r="J19" s="15">
        <v>0</v>
      </c>
      <c r="K19" s="15">
        <v>0</v>
      </c>
      <c r="L19" s="15">
        <v>1</v>
      </c>
      <c r="M19" s="15">
        <v>0</v>
      </c>
      <c r="N19" s="15">
        <v>0</v>
      </c>
      <c r="O19" s="15">
        <v>0</v>
      </c>
      <c r="P19" s="15">
        <v>0</v>
      </c>
      <c r="Q19" s="15">
        <v>0</v>
      </c>
      <c r="R19" s="15">
        <v>0</v>
      </c>
      <c r="S19" s="15">
        <v>0</v>
      </c>
      <c r="T19" s="15">
        <v>0</v>
      </c>
      <c r="U19" s="15">
        <v>0</v>
      </c>
      <c r="V19" s="15">
        <v>1</v>
      </c>
      <c r="W19" s="15">
        <v>1</v>
      </c>
      <c r="X19" s="15">
        <v>3</v>
      </c>
      <c r="Y19" s="15">
        <v>2</v>
      </c>
      <c r="Z19" s="15">
        <v>1</v>
      </c>
      <c r="AA19" s="15">
        <v>3</v>
      </c>
      <c r="AB19" s="15">
        <v>1</v>
      </c>
      <c r="AC19" s="15">
        <v>0</v>
      </c>
      <c r="AD19" s="15">
        <v>3</v>
      </c>
      <c r="AE19" s="15">
        <v>0</v>
      </c>
      <c r="AF19" s="15">
        <v>2</v>
      </c>
      <c r="AG19" s="15">
        <v>0</v>
      </c>
      <c r="AH19" s="15">
        <v>0</v>
      </c>
      <c r="AI19" s="15">
        <v>0</v>
      </c>
      <c r="AJ19" s="15">
        <v>1</v>
      </c>
      <c r="AK19" s="15">
        <v>0</v>
      </c>
      <c r="AL19" s="15">
        <v>2</v>
      </c>
      <c r="AM19" s="15">
        <v>0</v>
      </c>
      <c r="AN19" s="15">
        <v>1</v>
      </c>
      <c r="AO19" s="15">
        <v>0</v>
      </c>
      <c r="AP19" s="15">
        <v>0</v>
      </c>
      <c r="AQ19" s="15">
        <v>0</v>
      </c>
      <c r="AR19" s="15">
        <v>0</v>
      </c>
      <c r="AS19" s="15">
        <v>0</v>
      </c>
      <c r="AT19" s="15">
        <v>0</v>
      </c>
      <c r="AU19" s="15">
        <v>2</v>
      </c>
      <c r="AV19" s="15">
        <v>1</v>
      </c>
      <c r="AW19" s="15">
        <v>0</v>
      </c>
      <c r="AX19" s="15">
        <v>0</v>
      </c>
      <c r="AY19" s="15">
        <v>0</v>
      </c>
      <c r="AZ19" s="15">
        <v>0</v>
      </c>
      <c r="BA19" s="15">
        <v>0</v>
      </c>
      <c r="BB19" s="15">
        <v>0</v>
      </c>
      <c r="BC19" s="15">
        <v>0</v>
      </c>
    </row>
    <row r="20" spans="1:55" x14ac:dyDescent="0.35">
      <c r="A20" s="14" t="s">
        <v>17</v>
      </c>
      <c r="B20" s="15">
        <v>0</v>
      </c>
      <c r="C20" s="16">
        <v>0</v>
      </c>
      <c r="D20" s="15">
        <v>0</v>
      </c>
      <c r="E20" s="15">
        <v>0</v>
      </c>
      <c r="F20" s="15">
        <v>0</v>
      </c>
      <c r="G20" s="15">
        <v>0</v>
      </c>
      <c r="H20" s="15">
        <v>0</v>
      </c>
      <c r="I20" s="15">
        <v>0</v>
      </c>
      <c r="J20" s="15">
        <v>0</v>
      </c>
      <c r="K20" s="15">
        <v>0</v>
      </c>
      <c r="L20" s="15">
        <v>0</v>
      </c>
      <c r="M20" s="15">
        <v>0</v>
      </c>
      <c r="N20" s="15">
        <v>0</v>
      </c>
      <c r="O20" s="15">
        <v>0</v>
      </c>
      <c r="P20" s="15">
        <v>0</v>
      </c>
      <c r="Q20" s="15">
        <v>0</v>
      </c>
      <c r="R20" s="15">
        <v>0</v>
      </c>
      <c r="S20" s="15">
        <v>0</v>
      </c>
      <c r="T20" s="15">
        <v>0</v>
      </c>
      <c r="U20" s="15">
        <v>0</v>
      </c>
      <c r="V20" s="15">
        <v>0</v>
      </c>
      <c r="W20" s="15">
        <v>0</v>
      </c>
      <c r="X20" s="15">
        <v>0</v>
      </c>
      <c r="Y20" s="15">
        <v>0</v>
      </c>
      <c r="Z20" s="15">
        <v>0</v>
      </c>
      <c r="AA20" s="15">
        <v>0</v>
      </c>
      <c r="AB20" s="15">
        <v>0</v>
      </c>
      <c r="AC20" s="15">
        <v>0</v>
      </c>
      <c r="AD20" s="15">
        <v>0</v>
      </c>
      <c r="AE20" s="15">
        <v>0</v>
      </c>
      <c r="AF20" s="15">
        <v>0</v>
      </c>
      <c r="AG20" s="15">
        <v>0</v>
      </c>
      <c r="AH20" s="15">
        <v>0</v>
      </c>
      <c r="AI20" s="15">
        <v>0</v>
      </c>
      <c r="AJ20" s="15">
        <v>0</v>
      </c>
      <c r="AK20" s="15">
        <v>0</v>
      </c>
      <c r="AL20" s="15">
        <v>0</v>
      </c>
      <c r="AM20" s="15">
        <v>0</v>
      </c>
      <c r="AN20" s="15">
        <v>0</v>
      </c>
      <c r="AO20" s="15">
        <v>0</v>
      </c>
      <c r="AP20" s="15">
        <v>0</v>
      </c>
      <c r="AQ20" s="15">
        <v>0</v>
      </c>
      <c r="AR20" s="15">
        <v>0</v>
      </c>
      <c r="AS20" s="15">
        <v>0</v>
      </c>
      <c r="AT20" s="15">
        <v>0</v>
      </c>
      <c r="AU20" s="15">
        <v>0</v>
      </c>
      <c r="AV20" s="15">
        <v>0</v>
      </c>
      <c r="AW20" s="15">
        <v>0</v>
      </c>
      <c r="AX20" s="15">
        <v>0</v>
      </c>
      <c r="AY20" s="15">
        <v>0</v>
      </c>
      <c r="AZ20" s="15">
        <v>0</v>
      </c>
      <c r="BA20" s="15">
        <v>0</v>
      </c>
      <c r="BB20" s="15">
        <v>0</v>
      </c>
      <c r="BC20" s="15">
        <v>0</v>
      </c>
    </row>
    <row r="21" spans="1:55" x14ac:dyDescent="0.35">
      <c r="A21" s="14" t="s">
        <v>18</v>
      </c>
      <c r="B21" s="15">
        <v>3</v>
      </c>
      <c r="C21" s="16">
        <v>2.2926314824155165</v>
      </c>
      <c r="D21" s="15">
        <v>0</v>
      </c>
      <c r="E21" s="15">
        <v>0</v>
      </c>
      <c r="F21" s="15">
        <v>0</v>
      </c>
      <c r="G21" s="15">
        <v>0</v>
      </c>
      <c r="H21" s="15">
        <v>0</v>
      </c>
      <c r="I21" s="15">
        <v>0</v>
      </c>
      <c r="J21" s="15">
        <v>0</v>
      </c>
      <c r="K21" s="15">
        <v>0</v>
      </c>
      <c r="L21" s="15">
        <v>0</v>
      </c>
      <c r="M21" s="15">
        <v>0</v>
      </c>
      <c r="N21" s="15">
        <v>0</v>
      </c>
      <c r="O21" s="15">
        <v>0</v>
      </c>
      <c r="P21" s="15">
        <v>0</v>
      </c>
      <c r="Q21" s="15">
        <v>0</v>
      </c>
      <c r="R21" s="15">
        <v>0</v>
      </c>
      <c r="S21" s="15">
        <v>0</v>
      </c>
      <c r="T21" s="15">
        <v>0</v>
      </c>
      <c r="U21" s="15">
        <v>0</v>
      </c>
      <c r="V21" s="15">
        <v>0</v>
      </c>
      <c r="W21" s="15">
        <v>0</v>
      </c>
      <c r="X21" s="15">
        <v>0</v>
      </c>
      <c r="Y21" s="15">
        <v>1</v>
      </c>
      <c r="Z21" s="15">
        <v>0</v>
      </c>
      <c r="AA21" s="15">
        <v>0</v>
      </c>
      <c r="AB21" s="15">
        <v>0</v>
      </c>
      <c r="AC21" s="15">
        <v>0</v>
      </c>
      <c r="AD21" s="15">
        <v>0</v>
      </c>
      <c r="AE21" s="15">
        <v>0</v>
      </c>
      <c r="AF21" s="15">
        <v>0</v>
      </c>
      <c r="AG21" s="15">
        <v>0</v>
      </c>
      <c r="AH21" s="15">
        <v>0</v>
      </c>
      <c r="AI21" s="15">
        <v>0</v>
      </c>
      <c r="AJ21" s="15">
        <v>1</v>
      </c>
      <c r="AK21" s="15">
        <v>0</v>
      </c>
      <c r="AL21" s="15">
        <v>0</v>
      </c>
      <c r="AM21" s="15">
        <v>0</v>
      </c>
      <c r="AN21" s="15">
        <v>0</v>
      </c>
      <c r="AO21" s="15">
        <v>0</v>
      </c>
      <c r="AP21" s="15">
        <v>0</v>
      </c>
      <c r="AQ21" s="15">
        <v>0</v>
      </c>
      <c r="AR21" s="15">
        <v>0</v>
      </c>
      <c r="AS21" s="15">
        <v>0</v>
      </c>
      <c r="AT21" s="15">
        <v>0</v>
      </c>
      <c r="AU21" s="15">
        <v>0</v>
      </c>
      <c r="AV21" s="15">
        <v>0</v>
      </c>
      <c r="AW21" s="15">
        <v>0</v>
      </c>
      <c r="AX21" s="15">
        <v>0</v>
      </c>
      <c r="AY21" s="15">
        <v>1</v>
      </c>
      <c r="AZ21" s="15">
        <v>0</v>
      </c>
      <c r="BA21" s="15">
        <v>0</v>
      </c>
      <c r="BB21" s="15">
        <v>0</v>
      </c>
      <c r="BC21" s="15">
        <v>0</v>
      </c>
    </row>
    <row r="22" spans="1:55" x14ac:dyDescent="0.35">
      <c r="A22" s="14" t="s">
        <v>19</v>
      </c>
      <c r="B22" s="15">
        <v>0</v>
      </c>
      <c r="C22" s="16">
        <v>0</v>
      </c>
      <c r="D22" s="15">
        <v>0</v>
      </c>
      <c r="E22" s="15">
        <v>0</v>
      </c>
      <c r="F22" s="15">
        <v>0</v>
      </c>
      <c r="G22" s="15">
        <v>0</v>
      </c>
      <c r="H22" s="15">
        <v>0</v>
      </c>
      <c r="I22" s="15">
        <v>0</v>
      </c>
      <c r="J22" s="15">
        <v>0</v>
      </c>
      <c r="K22" s="15">
        <v>0</v>
      </c>
      <c r="L22" s="15">
        <v>0</v>
      </c>
      <c r="M22" s="15">
        <v>0</v>
      </c>
      <c r="N22" s="15">
        <v>0</v>
      </c>
      <c r="O22" s="15">
        <v>0</v>
      </c>
      <c r="P22" s="15">
        <v>0</v>
      </c>
      <c r="Q22" s="15">
        <v>0</v>
      </c>
      <c r="R22" s="15">
        <v>0</v>
      </c>
      <c r="S22" s="15">
        <v>0</v>
      </c>
      <c r="T22" s="15">
        <v>0</v>
      </c>
      <c r="U22" s="15">
        <v>0</v>
      </c>
      <c r="V22" s="15">
        <v>0</v>
      </c>
      <c r="W22" s="15">
        <v>0</v>
      </c>
      <c r="X22" s="15">
        <v>0</v>
      </c>
      <c r="Y22" s="15">
        <v>0</v>
      </c>
      <c r="Z22" s="15">
        <v>0</v>
      </c>
      <c r="AA22" s="15">
        <v>0</v>
      </c>
      <c r="AB22" s="15">
        <v>0</v>
      </c>
      <c r="AC22" s="15">
        <v>0</v>
      </c>
      <c r="AD22" s="15">
        <v>0</v>
      </c>
      <c r="AE22" s="15">
        <v>0</v>
      </c>
      <c r="AF22" s="15">
        <v>0</v>
      </c>
      <c r="AG22" s="15">
        <v>0</v>
      </c>
      <c r="AH22" s="15">
        <v>0</v>
      </c>
      <c r="AI22" s="15">
        <v>0</v>
      </c>
      <c r="AJ22" s="15">
        <v>0</v>
      </c>
      <c r="AK22" s="15">
        <v>0</v>
      </c>
      <c r="AL22" s="15">
        <v>0</v>
      </c>
      <c r="AM22" s="15">
        <v>0</v>
      </c>
      <c r="AN22" s="15">
        <v>0</v>
      </c>
      <c r="AO22" s="15">
        <v>0</v>
      </c>
      <c r="AP22" s="15">
        <v>0</v>
      </c>
      <c r="AQ22" s="15">
        <v>0</v>
      </c>
      <c r="AR22" s="15">
        <v>0</v>
      </c>
      <c r="AS22" s="15">
        <v>0</v>
      </c>
      <c r="AT22" s="15">
        <v>0</v>
      </c>
      <c r="AU22" s="15">
        <v>0</v>
      </c>
      <c r="AV22" s="15">
        <v>0</v>
      </c>
      <c r="AW22" s="15">
        <v>0</v>
      </c>
      <c r="AX22" s="15">
        <v>0</v>
      </c>
      <c r="AY22" s="15">
        <v>0</v>
      </c>
      <c r="AZ22" s="15">
        <v>0</v>
      </c>
      <c r="BA22" s="15">
        <v>0</v>
      </c>
      <c r="BB22" s="15">
        <v>0</v>
      </c>
      <c r="BC22" s="15">
        <v>0</v>
      </c>
    </row>
    <row r="23" spans="1:55" x14ac:dyDescent="0.35">
      <c r="A23" s="14" t="s">
        <v>20</v>
      </c>
      <c r="B23" s="15">
        <v>2</v>
      </c>
      <c r="C23" s="16">
        <v>2.3148951931201314</v>
      </c>
      <c r="D23" s="15">
        <v>1</v>
      </c>
      <c r="E23" s="15">
        <v>0</v>
      </c>
      <c r="F23" s="15">
        <v>0</v>
      </c>
      <c r="G23" s="15">
        <v>1</v>
      </c>
      <c r="H23" s="15">
        <v>0</v>
      </c>
      <c r="I23" s="15">
        <v>0</v>
      </c>
      <c r="J23" s="15">
        <v>0</v>
      </c>
      <c r="K23" s="15">
        <v>0</v>
      </c>
      <c r="L23" s="15">
        <v>0</v>
      </c>
      <c r="M23" s="15">
        <v>0</v>
      </c>
      <c r="N23" s="15">
        <v>0</v>
      </c>
      <c r="O23" s="15">
        <v>0</v>
      </c>
      <c r="P23" s="15">
        <v>0</v>
      </c>
      <c r="Q23" s="15">
        <v>0</v>
      </c>
      <c r="R23" s="15">
        <v>0</v>
      </c>
      <c r="S23" s="15">
        <v>0</v>
      </c>
      <c r="T23" s="15">
        <v>0</v>
      </c>
      <c r="U23" s="15">
        <v>0</v>
      </c>
      <c r="V23" s="15">
        <v>0</v>
      </c>
      <c r="W23" s="15">
        <v>0</v>
      </c>
      <c r="X23" s="15">
        <v>0</v>
      </c>
      <c r="Y23" s="15">
        <v>0</v>
      </c>
      <c r="Z23" s="15">
        <v>0</v>
      </c>
      <c r="AA23" s="15">
        <v>0</v>
      </c>
      <c r="AB23" s="15">
        <v>0</v>
      </c>
      <c r="AC23" s="15">
        <v>0</v>
      </c>
      <c r="AD23" s="15">
        <v>0</v>
      </c>
      <c r="AE23" s="15">
        <v>0</v>
      </c>
      <c r="AF23" s="15">
        <v>0</v>
      </c>
      <c r="AG23" s="15">
        <v>0</v>
      </c>
      <c r="AH23" s="15">
        <v>0</v>
      </c>
      <c r="AI23" s="15">
        <v>0</v>
      </c>
      <c r="AJ23" s="15">
        <v>0</v>
      </c>
      <c r="AK23" s="15">
        <v>0</v>
      </c>
      <c r="AL23" s="15">
        <v>0</v>
      </c>
      <c r="AM23" s="15">
        <v>0</v>
      </c>
      <c r="AN23" s="15">
        <v>0</v>
      </c>
      <c r="AO23" s="15">
        <v>0</v>
      </c>
      <c r="AP23" s="15">
        <v>0</v>
      </c>
      <c r="AQ23" s="15">
        <v>0</v>
      </c>
      <c r="AR23" s="15">
        <v>0</v>
      </c>
      <c r="AS23" s="15">
        <v>0</v>
      </c>
      <c r="AT23" s="15">
        <v>0</v>
      </c>
      <c r="AU23" s="15">
        <v>0</v>
      </c>
      <c r="AV23" s="15">
        <v>0</v>
      </c>
      <c r="AW23" s="15">
        <v>0</v>
      </c>
      <c r="AX23" s="15">
        <v>0</v>
      </c>
      <c r="AY23" s="15">
        <v>0</v>
      </c>
      <c r="AZ23" s="15">
        <v>0</v>
      </c>
      <c r="BA23" s="15">
        <v>0</v>
      </c>
      <c r="BB23" s="15">
        <v>0</v>
      </c>
      <c r="BC23" s="15">
        <v>0</v>
      </c>
    </row>
    <row r="24" spans="1:55" x14ac:dyDescent="0.35">
      <c r="A24" s="14" t="s">
        <v>21</v>
      </c>
      <c r="B24" s="15">
        <v>9</v>
      </c>
      <c r="C24" s="16">
        <v>13.405025395075887</v>
      </c>
      <c r="D24" s="15">
        <v>1</v>
      </c>
      <c r="E24" s="15">
        <v>1</v>
      </c>
      <c r="F24" s="15">
        <v>0</v>
      </c>
      <c r="G24" s="15">
        <v>0</v>
      </c>
      <c r="H24" s="15">
        <v>0</v>
      </c>
      <c r="I24" s="15">
        <v>2</v>
      </c>
      <c r="J24" s="15">
        <v>1</v>
      </c>
      <c r="K24" s="15">
        <v>0</v>
      </c>
      <c r="L24" s="15">
        <v>0</v>
      </c>
      <c r="M24" s="15">
        <v>0</v>
      </c>
      <c r="N24" s="15">
        <v>0</v>
      </c>
      <c r="O24" s="15">
        <v>0</v>
      </c>
      <c r="P24" s="15">
        <v>0</v>
      </c>
      <c r="Q24" s="15">
        <v>0</v>
      </c>
      <c r="R24" s="15">
        <v>0</v>
      </c>
      <c r="S24" s="15">
        <v>0</v>
      </c>
      <c r="T24" s="15">
        <v>0</v>
      </c>
      <c r="U24" s="15">
        <v>0</v>
      </c>
      <c r="V24" s="15">
        <v>0</v>
      </c>
      <c r="W24" s="15">
        <v>0</v>
      </c>
      <c r="X24" s="15">
        <v>1</v>
      </c>
      <c r="Y24" s="15">
        <v>0</v>
      </c>
      <c r="Z24" s="15">
        <v>0</v>
      </c>
      <c r="AA24" s="15">
        <v>1</v>
      </c>
      <c r="AB24" s="15">
        <v>1</v>
      </c>
      <c r="AC24" s="15">
        <v>0</v>
      </c>
      <c r="AD24" s="15">
        <v>0</v>
      </c>
      <c r="AE24" s="15">
        <v>0</v>
      </c>
      <c r="AF24" s="15">
        <v>0</v>
      </c>
      <c r="AG24" s="15">
        <v>0</v>
      </c>
      <c r="AH24" s="15">
        <v>0</v>
      </c>
      <c r="AI24" s="15">
        <v>0</v>
      </c>
      <c r="AJ24" s="15">
        <v>0</v>
      </c>
      <c r="AK24" s="15">
        <v>0</v>
      </c>
      <c r="AL24" s="15">
        <v>0</v>
      </c>
      <c r="AM24" s="15">
        <v>0</v>
      </c>
      <c r="AN24" s="15">
        <v>0</v>
      </c>
      <c r="AO24" s="15">
        <v>0</v>
      </c>
      <c r="AP24" s="15">
        <v>0</v>
      </c>
      <c r="AQ24" s="15">
        <v>0</v>
      </c>
      <c r="AR24" s="15">
        <v>0</v>
      </c>
      <c r="AS24" s="15">
        <v>1</v>
      </c>
      <c r="AT24" s="15">
        <v>0</v>
      </c>
      <c r="AU24" s="15">
        <v>0</v>
      </c>
      <c r="AV24" s="15">
        <v>0</v>
      </c>
      <c r="AW24" s="15">
        <v>0</v>
      </c>
      <c r="AX24" s="15">
        <v>0</v>
      </c>
      <c r="AY24" s="15">
        <v>0</v>
      </c>
      <c r="AZ24" s="15">
        <v>0</v>
      </c>
      <c r="BA24" s="15">
        <v>0</v>
      </c>
      <c r="BB24" s="15">
        <v>0</v>
      </c>
      <c r="BC24" s="15">
        <v>0</v>
      </c>
    </row>
    <row r="25" spans="1:55" x14ac:dyDescent="0.35">
      <c r="A25" s="14" t="s">
        <v>22</v>
      </c>
      <c r="B25" s="15">
        <v>1</v>
      </c>
      <c r="C25" s="16">
        <v>4.7705371624844952</v>
      </c>
      <c r="D25" s="15">
        <v>0</v>
      </c>
      <c r="E25" s="15">
        <v>0</v>
      </c>
      <c r="F25" s="15">
        <v>0</v>
      </c>
      <c r="G25" s="15">
        <v>0</v>
      </c>
      <c r="H25" s="15">
        <v>0</v>
      </c>
      <c r="I25" s="15">
        <v>0</v>
      </c>
      <c r="J25" s="15">
        <v>0</v>
      </c>
      <c r="K25" s="15">
        <v>0</v>
      </c>
      <c r="L25" s="15">
        <v>0</v>
      </c>
      <c r="M25" s="15">
        <v>0</v>
      </c>
      <c r="N25" s="15">
        <v>0</v>
      </c>
      <c r="O25" s="15">
        <v>0</v>
      </c>
      <c r="P25" s="15">
        <v>0</v>
      </c>
      <c r="Q25" s="15">
        <v>0</v>
      </c>
      <c r="R25" s="15">
        <v>0</v>
      </c>
      <c r="S25" s="15">
        <v>0</v>
      </c>
      <c r="T25" s="15">
        <v>0</v>
      </c>
      <c r="U25" s="15">
        <v>0</v>
      </c>
      <c r="V25" s="15">
        <v>0</v>
      </c>
      <c r="W25" s="15">
        <v>0</v>
      </c>
      <c r="X25" s="15">
        <v>0</v>
      </c>
      <c r="Y25" s="15">
        <v>0</v>
      </c>
      <c r="Z25" s="15">
        <v>0</v>
      </c>
      <c r="AA25" s="15">
        <v>0</v>
      </c>
      <c r="AB25" s="15">
        <v>0</v>
      </c>
      <c r="AC25" s="15">
        <v>0</v>
      </c>
      <c r="AD25" s="15">
        <v>0</v>
      </c>
      <c r="AE25" s="15">
        <v>0</v>
      </c>
      <c r="AF25" s="15">
        <v>0</v>
      </c>
      <c r="AG25" s="15">
        <v>0</v>
      </c>
      <c r="AH25" s="15">
        <v>0</v>
      </c>
      <c r="AI25" s="15">
        <v>0</v>
      </c>
      <c r="AJ25" s="15">
        <v>0</v>
      </c>
      <c r="AK25" s="15">
        <v>0</v>
      </c>
      <c r="AL25" s="15">
        <v>0</v>
      </c>
      <c r="AM25" s="15">
        <v>1</v>
      </c>
      <c r="AN25" s="15">
        <v>0</v>
      </c>
      <c r="AO25" s="15">
        <v>0</v>
      </c>
      <c r="AP25" s="15">
        <v>0</v>
      </c>
      <c r="AQ25" s="15">
        <v>0</v>
      </c>
      <c r="AR25" s="15">
        <v>0</v>
      </c>
      <c r="AS25" s="15">
        <v>0</v>
      </c>
      <c r="AT25" s="15">
        <v>0</v>
      </c>
      <c r="AU25" s="15">
        <v>0</v>
      </c>
      <c r="AV25" s="15">
        <v>0</v>
      </c>
      <c r="AW25" s="15">
        <v>0</v>
      </c>
      <c r="AX25" s="15">
        <v>0</v>
      </c>
      <c r="AY25" s="15">
        <v>0</v>
      </c>
      <c r="AZ25" s="15">
        <v>0</v>
      </c>
      <c r="BA25" s="15">
        <v>0</v>
      </c>
      <c r="BB25" s="15">
        <v>0</v>
      </c>
      <c r="BC25" s="15">
        <v>0</v>
      </c>
    </row>
    <row r="26" spans="1:55" x14ac:dyDescent="0.35">
      <c r="A26" s="14" t="s">
        <v>23</v>
      </c>
      <c r="B26" s="15">
        <v>0</v>
      </c>
      <c r="C26" s="16">
        <v>0</v>
      </c>
      <c r="D26" s="15">
        <v>0</v>
      </c>
      <c r="E26" s="15">
        <v>0</v>
      </c>
      <c r="F26" s="15">
        <v>0</v>
      </c>
      <c r="G26" s="15">
        <v>0</v>
      </c>
      <c r="H26" s="15">
        <v>0</v>
      </c>
      <c r="I26" s="15">
        <v>0</v>
      </c>
      <c r="J26" s="15">
        <v>0</v>
      </c>
      <c r="K26" s="15">
        <v>0</v>
      </c>
      <c r="L26" s="15">
        <v>0</v>
      </c>
      <c r="M26" s="15">
        <v>0</v>
      </c>
      <c r="N26" s="15">
        <v>0</v>
      </c>
      <c r="O26" s="15">
        <v>0</v>
      </c>
      <c r="P26" s="15">
        <v>0</v>
      </c>
      <c r="Q26" s="15">
        <v>0</v>
      </c>
      <c r="R26" s="15">
        <v>0</v>
      </c>
      <c r="S26" s="15">
        <v>0</v>
      </c>
      <c r="T26" s="15">
        <v>0</v>
      </c>
      <c r="U26" s="15">
        <v>0</v>
      </c>
      <c r="V26" s="15">
        <v>0</v>
      </c>
      <c r="W26" s="15">
        <v>0</v>
      </c>
      <c r="X26" s="15">
        <v>0</v>
      </c>
      <c r="Y26" s="15">
        <v>0</v>
      </c>
      <c r="Z26" s="15">
        <v>0</v>
      </c>
      <c r="AA26" s="15">
        <v>0</v>
      </c>
      <c r="AB26" s="15">
        <v>0</v>
      </c>
      <c r="AC26" s="15">
        <v>0</v>
      </c>
      <c r="AD26" s="15">
        <v>0</v>
      </c>
      <c r="AE26" s="15">
        <v>0</v>
      </c>
      <c r="AF26" s="15">
        <v>0</v>
      </c>
      <c r="AG26" s="15">
        <v>0</v>
      </c>
      <c r="AH26" s="15">
        <v>0</v>
      </c>
      <c r="AI26" s="15">
        <v>0</v>
      </c>
      <c r="AJ26" s="15">
        <v>0</v>
      </c>
      <c r="AK26" s="15">
        <v>0</v>
      </c>
      <c r="AL26" s="15">
        <v>0</v>
      </c>
      <c r="AM26" s="15">
        <v>0</v>
      </c>
      <c r="AN26" s="15">
        <v>0</v>
      </c>
      <c r="AO26" s="15">
        <v>0</v>
      </c>
      <c r="AP26" s="15">
        <v>0</v>
      </c>
      <c r="AQ26" s="15">
        <v>0</v>
      </c>
      <c r="AR26" s="15">
        <v>0</v>
      </c>
      <c r="AS26" s="15">
        <v>0</v>
      </c>
      <c r="AT26" s="15">
        <v>0</v>
      </c>
      <c r="AU26" s="15">
        <v>0</v>
      </c>
      <c r="AV26" s="15">
        <v>0</v>
      </c>
      <c r="AW26" s="15">
        <v>0</v>
      </c>
      <c r="AX26" s="15">
        <v>0</v>
      </c>
      <c r="AY26" s="15">
        <v>0</v>
      </c>
      <c r="AZ26" s="15">
        <v>0</v>
      </c>
      <c r="BA26" s="15">
        <v>0</v>
      </c>
      <c r="BB26" s="15">
        <v>0</v>
      </c>
      <c r="BC26" s="15">
        <v>0</v>
      </c>
    </row>
    <row r="27" spans="1:55" x14ac:dyDescent="0.35">
      <c r="A27" s="14" t="s">
        <v>24</v>
      </c>
      <c r="B27" s="15">
        <v>13</v>
      </c>
      <c r="C27" s="16">
        <v>21.588587940282643</v>
      </c>
      <c r="D27" s="15">
        <v>2</v>
      </c>
      <c r="E27" s="15">
        <v>0</v>
      </c>
      <c r="F27" s="15">
        <v>1</v>
      </c>
      <c r="G27" s="15">
        <v>0</v>
      </c>
      <c r="H27" s="15">
        <v>0</v>
      </c>
      <c r="I27" s="15">
        <v>0</v>
      </c>
      <c r="J27" s="15">
        <v>0</v>
      </c>
      <c r="K27" s="15">
        <v>0</v>
      </c>
      <c r="L27" s="15">
        <v>0</v>
      </c>
      <c r="M27" s="15">
        <v>0</v>
      </c>
      <c r="N27" s="15">
        <v>1</v>
      </c>
      <c r="O27" s="15">
        <v>0</v>
      </c>
      <c r="P27" s="15">
        <v>0</v>
      </c>
      <c r="Q27" s="15">
        <v>0</v>
      </c>
      <c r="R27" s="15">
        <v>0</v>
      </c>
      <c r="S27" s="15">
        <v>1</v>
      </c>
      <c r="T27" s="15">
        <v>0</v>
      </c>
      <c r="U27" s="15">
        <v>0</v>
      </c>
      <c r="V27" s="15">
        <v>0</v>
      </c>
      <c r="W27" s="15">
        <v>0</v>
      </c>
      <c r="X27" s="15">
        <v>0</v>
      </c>
      <c r="Y27" s="15">
        <v>0</v>
      </c>
      <c r="Z27" s="15">
        <v>1</v>
      </c>
      <c r="AA27" s="15">
        <v>0</v>
      </c>
      <c r="AB27" s="15">
        <v>1</v>
      </c>
      <c r="AC27" s="15">
        <v>0</v>
      </c>
      <c r="AD27" s="15">
        <v>0</v>
      </c>
      <c r="AE27" s="15">
        <v>0</v>
      </c>
      <c r="AF27" s="15">
        <v>1</v>
      </c>
      <c r="AG27" s="15">
        <v>0</v>
      </c>
      <c r="AH27" s="15">
        <v>1</v>
      </c>
      <c r="AI27" s="15">
        <v>1</v>
      </c>
      <c r="AJ27" s="15">
        <v>0</v>
      </c>
      <c r="AK27" s="15">
        <v>0</v>
      </c>
      <c r="AL27" s="15">
        <v>0</v>
      </c>
      <c r="AM27" s="15">
        <v>1</v>
      </c>
      <c r="AN27" s="15">
        <v>1</v>
      </c>
      <c r="AO27" s="15">
        <v>0</v>
      </c>
      <c r="AP27" s="15">
        <v>0</v>
      </c>
      <c r="AQ27" s="15">
        <v>0</v>
      </c>
      <c r="AR27" s="15">
        <v>0</v>
      </c>
      <c r="AS27" s="15">
        <v>1</v>
      </c>
      <c r="AT27" s="15">
        <v>0</v>
      </c>
      <c r="AU27" s="15">
        <v>0</v>
      </c>
      <c r="AV27" s="15">
        <v>0</v>
      </c>
      <c r="AW27" s="15">
        <v>0</v>
      </c>
      <c r="AX27" s="15">
        <v>0</v>
      </c>
      <c r="AY27" s="15">
        <v>0</v>
      </c>
      <c r="AZ27" s="15">
        <v>0</v>
      </c>
      <c r="BA27" s="15">
        <v>0</v>
      </c>
      <c r="BB27" s="15">
        <v>0</v>
      </c>
      <c r="BC27" s="15">
        <v>0</v>
      </c>
    </row>
    <row r="28" spans="1:55" x14ac:dyDescent="0.35">
      <c r="A28" s="14" t="s">
        <v>25</v>
      </c>
      <c r="B28" s="15">
        <v>10</v>
      </c>
      <c r="C28" s="16">
        <v>16.384847293223228</v>
      </c>
      <c r="D28" s="15">
        <v>0</v>
      </c>
      <c r="E28" s="15">
        <v>0</v>
      </c>
      <c r="F28" s="15">
        <v>0</v>
      </c>
      <c r="G28" s="15">
        <v>1</v>
      </c>
      <c r="H28" s="15">
        <v>0</v>
      </c>
      <c r="I28" s="15">
        <v>0</v>
      </c>
      <c r="J28" s="15">
        <v>0</v>
      </c>
      <c r="K28" s="15">
        <v>0</v>
      </c>
      <c r="L28" s="15">
        <v>0</v>
      </c>
      <c r="M28" s="15">
        <v>0</v>
      </c>
      <c r="N28" s="15">
        <v>0</v>
      </c>
      <c r="O28" s="15">
        <v>2</v>
      </c>
      <c r="P28" s="15">
        <v>0</v>
      </c>
      <c r="Q28" s="15">
        <v>0</v>
      </c>
      <c r="R28" s="15">
        <v>1</v>
      </c>
      <c r="S28" s="15">
        <v>0</v>
      </c>
      <c r="T28" s="15">
        <v>0</v>
      </c>
      <c r="U28" s="15">
        <v>0</v>
      </c>
      <c r="V28" s="15">
        <v>0</v>
      </c>
      <c r="W28" s="15">
        <v>0</v>
      </c>
      <c r="X28" s="15">
        <v>0</v>
      </c>
      <c r="Y28" s="15">
        <v>0</v>
      </c>
      <c r="Z28" s="15">
        <v>0</v>
      </c>
      <c r="AA28" s="15">
        <v>0</v>
      </c>
      <c r="AB28" s="15">
        <v>0</v>
      </c>
      <c r="AC28" s="15">
        <v>0</v>
      </c>
      <c r="AD28" s="15">
        <v>1</v>
      </c>
      <c r="AE28" s="15">
        <v>0</v>
      </c>
      <c r="AF28" s="15">
        <v>0</v>
      </c>
      <c r="AG28" s="15">
        <v>0</v>
      </c>
      <c r="AH28" s="15">
        <v>0</v>
      </c>
      <c r="AI28" s="15">
        <v>0</v>
      </c>
      <c r="AJ28" s="15">
        <v>0</v>
      </c>
      <c r="AK28" s="15">
        <v>0</v>
      </c>
      <c r="AL28" s="15">
        <v>0</v>
      </c>
      <c r="AM28" s="15">
        <v>0</v>
      </c>
      <c r="AN28" s="15">
        <v>0</v>
      </c>
      <c r="AO28" s="15">
        <v>0</v>
      </c>
      <c r="AP28" s="15">
        <v>0</v>
      </c>
      <c r="AQ28" s="15">
        <v>1</v>
      </c>
      <c r="AR28" s="15">
        <v>0</v>
      </c>
      <c r="AS28" s="15">
        <v>0</v>
      </c>
      <c r="AT28" s="15">
        <v>1</v>
      </c>
      <c r="AU28" s="15">
        <v>1</v>
      </c>
      <c r="AV28" s="15">
        <v>0</v>
      </c>
      <c r="AW28" s="15">
        <v>0</v>
      </c>
      <c r="AX28" s="15">
        <v>1</v>
      </c>
      <c r="AY28" s="15">
        <v>0</v>
      </c>
      <c r="AZ28" s="15">
        <v>0</v>
      </c>
      <c r="BA28" s="15">
        <v>0</v>
      </c>
      <c r="BB28" s="15">
        <v>0</v>
      </c>
      <c r="BC28" s="15">
        <v>1</v>
      </c>
    </row>
    <row r="29" spans="1:55" x14ac:dyDescent="0.35">
      <c r="A29" s="14" t="s">
        <v>26</v>
      </c>
      <c r="B29" s="15">
        <v>0</v>
      </c>
      <c r="C29" s="16">
        <v>0</v>
      </c>
      <c r="D29" s="15">
        <v>0</v>
      </c>
      <c r="E29" s="15">
        <v>0</v>
      </c>
      <c r="F29" s="15">
        <v>0</v>
      </c>
      <c r="G29" s="15">
        <v>0</v>
      </c>
      <c r="H29" s="15">
        <v>0</v>
      </c>
      <c r="I29" s="15">
        <v>0</v>
      </c>
      <c r="J29" s="15">
        <v>0</v>
      </c>
      <c r="K29" s="15">
        <v>0</v>
      </c>
      <c r="L29" s="15">
        <v>0</v>
      </c>
      <c r="M29" s="15">
        <v>0</v>
      </c>
      <c r="N29" s="15">
        <v>0</v>
      </c>
      <c r="O29" s="15">
        <v>0</v>
      </c>
      <c r="P29" s="15">
        <v>0</v>
      </c>
      <c r="Q29" s="15">
        <v>0</v>
      </c>
      <c r="R29" s="15">
        <v>0</v>
      </c>
      <c r="S29" s="15">
        <v>0</v>
      </c>
      <c r="T29" s="15">
        <v>0</v>
      </c>
      <c r="U29" s="15">
        <v>0</v>
      </c>
      <c r="V29" s="15">
        <v>0</v>
      </c>
      <c r="W29" s="15">
        <v>0</v>
      </c>
      <c r="X29" s="15">
        <v>0</v>
      </c>
      <c r="Y29" s="15">
        <v>0</v>
      </c>
      <c r="Z29" s="15">
        <v>0</v>
      </c>
      <c r="AA29" s="15">
        <v>0</v>
      </c>
      <c r="AB29" s="15">
        <v>0</v>
      </c>
      <c r="AC29" s="15">
        <v>0</v>
      </c>
      <c r="AD29" s="15">
        <v>0</v>
      </c>
      <c r="AE29" s="15">
        <v>0</v>
      </c>
      <c r="AF29" s="15">
        <v>0</v>
      </c>
      <c r="AG29" s="15">
        <v>0</v>
      </c>
      <c r="AH29" s="15">
        <v>0</v>
      </c>
      <c r="AI29" s="15">
        <v>0</v>
      </c>
      <c r="AJ29" s="15">
        <v>0</v>
      </c>
      <c r="AK29" s="15">
        <v>0</v>
      </c>
      <c r="AL29" s="15">
        <v>0</v>
      </c>
      <c r="AM29" s="15">
        <v>0</v>
      </c>
      <c r="AN29" s="15">
        <v>0</v>
      </c>
      <c r="AO29" s="15">
        <v>0</v>
      </c>
      <c r="AP29" s="15">
        <v>0</v>
      </c>
      <c r="AQ29" s="15">
        <v>0</v>
      </c>
      <c r="AR29" s="15">
        <v>0</v>
      </c>
      <c r="AS29" s="15">
        <v>0</v>
      </c>
      <c r="AT29" s="15">
        <v>0</v>
      </c>
      <c r="AU29" s="15">
        <v>0</v>
      </c>
      <c r="AV29" s="15">
        <v>0</v>
      </c>
      <c r="AW29" s="15">
        <v>0</v>
      </c>
      <c r="AX29" s="15">
        <v>0</v>
      </c>
      <c r="AY29" s="15">
        <v>0</v>
      </c>
      <c r="AZ29" s="15">
        <v>0</v>
      </c>
      <c r="BA29" s="15">
        <v>0</v>
      </c>
      <c r="BB29" s="15">
        <v>0</v>
      </c>
      <c r="BC29" s="15">
        <v>0</v>
      </c>
    </row>
    <row r="30" spans="1:55" x14ac:dyDescent="0.35">
      <c r="A30" s="14" t="s">
        <v>27</v>
      </c>
      <c r="B30" s="15">
        <v>0</v>
      </c>
      <c r="C30" s="16">
        <v>0</v>
      </c>
      <c r="D30" s="15">
        <v>0</v>
      </c>
      <c r="E30" s="15">
        <v>0</v>
      </c>
      <c r="F30" s="15">
        <v>0</v>
      </c>
      <c r="G30" s="15">
        <v>0</v>
      </c>
      <c r="H30" s="15">
        <v>0</v>
      </c>
      <c r="I30" s="15">
        <v>0</v>
      </c>
      <c r="J30" s="15">
        <v>0</v>
      </c>
      <c r="K30" s="15">
        <v>0</v>
      </c>
      <c r="L30" s="15">
        <v>0</v>
      </c>
      <c r="M30" s="15">
        <v>0</v>
      </c>
      <c r="N30" s="15">
        <v>0</v>
      </c>
      <c r="O30" s="15">
        <v>0</v>
      </c>
      <c r="P30" s="15">
        <v>0</v>
      </c>
      <c r="Q30" s="15">
        <v>0</v>
      </c>
      <c r="R30" s="15">
        <v>0</v>
      </c>
      <c r="S30" s="15">
        <v>0</v>
      </c>
      <c r="T30" s="15">
        <v>0</v>
      </c>
      <c r="U30" s="15">
        <v>0</v>
      </c>
      <c r="V30" s="15">
        <v>0</v>
      </c>
      <c r="W30" s="15">
        <v>0</v>
      </c>
      <c r="X30" s="15">
        <v>0</v>
      </c>
      <c r="Y30" s="15">
        <v>0</v>
      </c>
      <c r="Z30" s="15">
        <v>0</v>
      </c>
      <c r="AA30" s="15">
        <v>0</v>
      </c>
      <c r="AB30" s="15">
        <v>0</v>
      </c>
      <c r="AC30" s="15">
        <v>0</v>
      </c>
      <c r="AD30" s="15">
        <v>0</v>
      </c>
      <c r="AE30" s="15">
        <v>0</v>
      </c>
      <c r="AF30" s="15">
        <v>0</v>
      </c>
      <c r="AG30" s="15">
        <v>0</v>
      </c>
      <c r="AH30" s="15">
        <v>0</v>
      </c>
      <c r="AI30" s="15">
        <v>0</v>
      </c>
      <c r="AJ30" s="15">
        <v>0</v>
      </c>
      <c r="AK30" s="15">
        <v>0</v>
      </c>
      <c r="AL30" s="15">
        <v>0</v>
      </c>
      <c r="AM30" s="15">
        <v>0</v>
      </c>
      <c r="AN30" s="15">
        <v>0</v>
      </c>
      <c r="AO30" s="15">
        <v>0</v>
      </c>
      <c r="AP30" s="15">
        <v>0</v>
      </c>
      <c r="AQ30" s="15">
        <v>0</v>
      </c>
      <c r="AR30" s="15">
        <v>0</v>
      </c>
      <c r="AS30" s="15">
        <v>0</v>
      </c>
      <c r="AT30" s="15">
        <v>0</v>
      </c>
      <c r="AU30" s="15">
        <v>0</v>
      </c>
      <c r="AV30" s="15">
        <v>0</v>
      </c>
      <c r="AW30" s="15">
        <v>0</v>
      </c>
      <c r="AX30" s="15">
        <v>0</v>
      </c>
      <c r="AY30" s="15">
        <v>0</v>
      </c>
      <c r="AZ30" s="15">
        <v>0</v>
      </c>
      <c r="BA30" s="15">
        <v>0</v>
      </c>
      <c r="BB30" s="15">
        <v>0</v>
      </c>
      <c r="BC30" s="15">
        <v>0</v>
      </c>
    </row>
    <row r="31" spans="1:55" x14ac:dyDescent="0.35">
      <c r="A31" s="14" t="s">
        <v>28</v>
      </c>
      <c r="B31" s="15">
        <v>1</v>
      </c>
      <c r="C31" s="16">
        <v>1.3230663385462147</v>
      </c>
      <c r="D31" s="15">
        <v>0</v>
      </c>
      <c r="E31" s="15">
        <v>0</v>
      </c>
      <c r="F31" s="15">
        <v>0</v>
      </c>
      <c r="G31" s="15">
        <v>0</v>
      </c>
      <c r="H31" s="15">
        <v>0</v>
      </c>
      <c r="I31" s="15">
        <v>0</v>
      </c>
      <c r="J31" s="15">
        <v>0</v>
      </c>
      <c r="K31" s="15">
        <v>0</v>
      </c>
      <c r="L31" s="15">
        <v>0</v>
      </c>
      <c r="M31" s="15">
        <v>0</v>
      </c>
      <c r="N31" s="15">
        <v>0</v>
      </c>
      <c r="O31" s="15">
        <v>0</v>
      </c>
      <c r="P31" s="15">
        <v>0</v>
      </c>
      <c r="Q31" s="15">
        <v>0</v>
      </c>
      <c r="R31" s="15">
        <v>0</v>
      </c>
      <c r="S31" s="15">
        <v>0</v>
      </c>
      <c r="T31" s="15">
        <v>0</v>
      </c>
      <c r="U31" s="15">
        <v>0</v>
      </c>
      <c r="V31" s="15">
        <v>0</v>
      </c>
      <c r="W31" s="15">
        <v>0</v>
      </c>
      <c r="X31" s="15">
        <v>0</v>
      </c>
      <c r="Y31" s="15">
        <v>0</v>
      </c>
      <c r="Z31" s="15">
        <v>0</v>
      </c>
      <c r="AA31" s="15">
        <v>0</v>
      </c>
      <c r="AB31" s="15">
        <v>0</v>
      </c>
      <c r="AC31" s="15">
        <v>0</v>
      </c>
      <c r="AD31" s="15">
        <v>0</v>
      </c>
      <c r="AE31" s="15">
        <v>0</v>
      </c>
      <c r="AF31" s="15">
        <v>1</v>
      </c>
      <c r="AG31" s="15">
        <v>0</v>
      </c>
      <c r="AH31" s="15">
        <v>0</v>
      </c>
      <c r="AI31" s="15">
        <v>0</v>
      </c>
      <c r="AJ31" s="15">
        <v>0</v>
      </c>
      <c r="AK31" s="15">
        <v>0</v>
      </c>
      <c r="AL31" s="15">
        <v>0</v>
      </c>
      <c r="AM31" s="15">
        <v>0</v>
      </c>
      <c r="AN31" s="15">
        <v>0</v>
      </c>
      <c r="AO31" s="15">
        <v>0</v>
      </c>
      <c r="AP31" s="15">
        <v>0</v>
      </c>
      <c r="AQ31" s="15">
        <v>0</v>
      </c>
      <c r="AR31" s="15">
        <v>0</v>
      </c>
      <c r="AS31" s="15">
        <v>0</v>
      </c>
      <c r="AT31" s="15">
        <v>0</v>
      </c>
      <c r="AU31" s="15">
        <v>0</v>
      </c>
      <c r="AV31" s="15">
        <v>0</v>
      </c>
      <c r="AW31" s="15">
        <v>0</v>
      </c>
      <c r="AX31" s="15">
        <v>0</v>
      </c>
      <c r="AY31" s="15">
        <v>0</v>
      </c>
      <c r="AZ31" s="15">
        <v>0</v>
      </c>
      <c r="BA31" s="15">
        <v>0</v>
      </c>
      <c r="BB31" s="15">
        <v>0</v>
      </c>
      <c r="BC31" s="15">
        <v>0</v>
      </c>
    </row>
    <row r="32" spans="1:55" x14ac:dyDescent="0.35">
      <c r="A32" s="14" t="s">
        <v>29</v>
      </c>
      <c r="B32" s="15">
        <v>186</v>
      </c>
      <c r="C32" s="16">
        <v>131.55754227877466</v>
      </c>
      <c r="D32" s="15">
        <v>0</v>
      </c>
      <c r="E32" s="15">
        <v>1</v>
      </c>
      <c r="F32" s="15">
        <v>0</v>
      </c>
      <c r="G32" s="15">
        <v>0</v>
      </c>
      <c r="H32" s="15">
        <v>0</v>
      </c>
      <c r="I32" s="15">
        <v>1</v>
      </c>
      <c r="J32" s="15">
        <v>1</v>
      </c>
      <c r="K32" s="15">
        <v>0</v>
      </c>
      <c r="L32" s="15">
        <v>1</v>
      </c>
      <c r="M32" s="15">
        <v>0</v>
      </c>
      <c r="N32" s="15">
        <v>1</v>
      </c>
      <c r="O32" s="15">
        <v>3</v>
      </c>
      <c r="P32" s="15">
        <v>1</v>
      </c>
      <c r="Q32" s="15">
        <v>4</v>
      </c>
      <c r="R32" s="15">
        <v>2</v>
      </c>
      <c r="S32" s="15">
        <v>1</v>
      </c>
      <c r="T32" s="15">
        <v>0</v>
      </c>
      <c r="U32" s="15">
        <v>1</v>
      </c>
      <c r="V32" s="15">
        <v>3</v>
      </c>
      <c r="W32" s="15">
        <v>8</v>
      </c>
      <c r="X32" s="15">
        <v>22</v>
      </c>
      <c r="Y32" s="15">
        <v>17</v>
      </c>
      <c r="Z32" s="15">
        <v>14</v>
      </c>
      <c r="AA32" s="15">
        <v>18</v>
      </c>
      <c r="AB32" s="15">
        <v>11</v>
      </c>
      <c r="AC32" s="15">
        <v>8</v>
      </c>
      <c r="AD32" s="15">
        <v>6</v>
      </c>
      <c r="AE32" s="15">
        <v>7</v>
      </c>
      <c r="AF32" s="15">
        <v>1</v>
      </c>
      <c r="AG32" s="15">
        <v>2</v>
      </c>
      <c r="AH32" s="15">
        <v>3</v>
      </c>
      <c r="AI32" s="15">
        <v>0</v>
      </c>
      <c r="AJ32" s="15">
        <v>3</v>
      </c>
      <c r="AK32" s="15">
        <v>2</v>
      </c>
      <c r="AL32" s="15">
        <v>1</v>
      </c>
      <c r="AM32" s="15">
        <v>2</v>
      </c>
      <c r="AN32" s="15">
        <v>2</v>
      </c>
      <c r="AO32" s="15">
        <v>0</v>
      </c>
      <c r="AP32" s="15">
        <v>1</v>
      </c>
      <c r="AQ32" s="15">
        <v>1</v>
      </c>
      <c r="AR32" s="15">
        <v>1</v>
      </c>
      <c r="AS32" s="15">
        <v>5</v>
      </c>
      <c r="AT32" s="15">
        <v>5</v>
      </c>
      <c r="AU32" s="15">
        <v>2</v>
      </c>
      <c r="AV32" s="15">
        <v>2</v>
      </c>
      <c r="AW32" s="15">
        <v>3</v>
      </c>
      <c r="AX32" s="15">
        <v>8</v>
      </c>
      <c r="AY32" s="15">
        <v>2</v>
      </c>
      <c r="AZ32" s="15">
        <v>1</v>
      </c>
      <c r="BA32" s="15">
        <v>4</v>
      </c>
      <c r="BB32" s="15">
        <v>4</v>
      </c>
      <c r="BC32" s="15">
        <v>0</v>
      </c>
    </row>
    <row r="33" spans="1:55" x14ac:dyDescent="0.35">
      <c r="A33" s="14" t="s">
        <v>30</v>
      </c>
      <c r="B33" s="15">
        <v>0</v>
      </c>
      <c r="C33" s="16">
        <v>0</v>
      </c>
      <c r="D33" s="15">
        <v>0</v>
      </c>
      <c r="E33" s="15">
        <v>0</v>
      </c>
      <c r="F33" s="15">
        <v>0</v>
      </c>
      <c r="G33" s="15">
        <v>0</v>
      </c>
      <c r="H33" s="15">
        <v>0</v>
      </c>
      <c r="I33" s="15">
        <v>0</v>
      </c>
      <c r="J33" s="15">
        <v>0</v>
      </c>
      <c r="K33" s="15">
        <v>0</v>
      </c>
      <c r="L33" s="15">
        <v>0</v>
      </c>
      <c r="M33" s="15">
        <v>0</v>
      </c>
      <c r="N33" s="15">
        <v>0</v>
      </c>
      <c r="O33" s="15">
        <v>0</v>
      </c>
      <c r="P33" s="15">
        <v>0</v>
      </c>
      <c r="Q33" s="15">
        <v>0</v>
      </c>
      <c r="R33" s="15">
        <v>0</v>
      </c>
      <c r="S33" s="15">
        <v>0</v>
      </c>
      <c r="T33" s="15">
        <v>0</v>
      </c>
      <c r="U33" s="15">
        <v>0</v>
      </c>
      <c r="V33" s="15">
        <v>0</v>
      </c>
      <c r="W33" s="15">
        <v>0</v>
      </c>
      <c r="X33" s="15">
        <v>0</v>
      </c>
      <c r="Y33" s="15">
        <v>0</v>
      </c>
      <c r="Z33" s="15">
        <v>0</v>
      </c>
      <c r="AA33" s="15">
        <v>0</v>
      </c>
      <c r="AB33" s="15">
        <v>0</v>
      </c>
      <c r="AC33" s="15">
        <v>0</v>
      </c>
      <c r="AD33" s="15">
        <v>0</v>
      </c>
      <c r="AE33" s="15">
        <v>0</v>
      </c>
      <c r="AF33" s="15">
        <v>0</v>
      </c>
      <c r="AG33" s="15">
        <v>0</v>
      </c>
      <c r="AH33" s="15">
        <v>0</v>
      </c>
      <c r="AI33" s="15">
        <v>0</v>
      </c>
      <c r="AJ33" s="15">
        <v>0</v>
      </c>
      <c r="AK33" s="15">
        <v>0</v>
      </c>
      <c r="AL33" s="15">
        <v>0</v>
      </c>
      <c r="AM33" s="15">
        <v>0</v>
      </c>
      <c r="AN33" s="15">
        <v>0</v>
      </c>
      <c r="AO33" s="15">
        <v>0</v>
      </c>
      <c r="AP33" s="15">
        <v>0</v>
      </c>
      <c r="AQ33" s="15">
        <v>0</v>
      </c>
      <c r="AR33" s="15">
        <v>0</v>
      </c>
      <c r="AS33" s="15">
        <v>0</v>
      </c>
      <c r="AT33" s="15">
        <v>0</v>
      </c>
      <c r="AU33" s="15">
        <v>0</v>
      </c>
      <c r="AV33" s="15">
        <v>0</v>
      </c>
      <c r="AW33" s="15">
        <v>0</v>
      </c>
      <c r="AX33" s="15">
        <v>0</v>
      </c>
      <c r="AY33" s="15">
        <v>0</v>
      </c>
      <c r="AZ33" s="15">
        <v>0</v>
      </c>
      <c r="BA33" s="15">
        <v>0</v>
      </c>
      <c r="BB33" s="15">
        <v>0</v>
      </c>
      <c r="BC33" s="15">
        <v>0</v>
      </c>
    </row>
    <row r="34" spans="1:55" x14ac:dyDescent="0.35">
      <c r="A34" s="14"/>
      <c r="B34" s="12"/>
      <c r="C34" s="13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2"/>
      <c r="BC34" s="2"/>
    </row>
    <row r="35" spans="1:55" x14ac:dyDescent="0.35">
      <c r="A35" s="1" t="s">
        <v>31</v>
      </c>
      <c r="B35" s="10">
        <v>547</v>
      </c>
      <c r="C35" s="11">
        <v>57.78533224453232</v>
      </c>
      <c r="D35" s="10">
        <v>39</v>
      </c>
      <c r="E35" s="10">
        <v>39</v>
      </c>
      <c r="F35" s="10">
        <v>26</v>
      </c>
      <c r="G35" s="10">
        <v>10</v>
      </c>
      <c r="H35" s="10">
        <v>16</v>
      </c>
      <c r="I35" s="10">
        <v>14</v>
      </c>
      <c r="J35" s="10">
        <v>15</v>
      </c>
      <c r="K35" s="10">
        <v>5</v>
      </c>
      <c r="L35" s="10">
        <v>2</v>
      </c>
      <c r="M35" s="10">
        <v>5</v>
      </c>
      <c r="N35" s="10">
        <v>6</v>
      </c>
      <c r="O35" s="10">
        <v>5</v>
      </c>
      <c r="P35" s="10">
        <v>7</v>
      </c>
      <c r="Q35" s="10">
        <v>7</v>
      </c>
      <c r="R35" s="10">
        <v>4</v>
      </c>
      <c r="S35" s="10">
        <v>3</v>
      </c>
      <c r="T35" s="10">
        <v>3</v>
      </c>
      <c r="U35" s="10">
        <v>4</v>
      </c>
      <c r="V35" s="10">
        <v>7</v>
      </c>
      <c r="W35" s="10">
        <v>15</v>
      </c>
      <c r="X35" s="10">
        <v>7</v>
      </c>
      <c r="Y35" s="10">
        <v>10</v>
      </c>
      <c r="Z35" s="10">
        <v>19</v>
      </c>
      <c r="AA35" s="10">
        <v>14</v>
      </c>
      <c r="AB35" s="10">
        <v>16</v>
      </c>
      <c r="AC35" s="10">
        <v>12</v>
      </c>
      <c r="AD35" s="10">
        <v>10</v>
      </c>
      <c r="AE35" s="10">
        <v>20</v>
      </c>
      <c r="AF35" s="10">
        <v>19</v>
      </c>
      <c r="AG35" s="10">
        <v>17</v>
      </c>
      <c r="AH35" s="10">
        <v>17</v>
      </c>
      <c r="AI35" s="10">
        <v>12</v>
      </c>
      <c r="AJ35" s="10">
        <v>10</v>
      </c>
      <c r="AK35" s="10">
        <v>10</v>
      </c>
      <c r="AL35" s="10">
        <v>15</v>
      </c>
      <c r="AM35" s="10">
        <v>10</v>
      </c>
      <c r="AN35" s="10">
        <v>7</v>
      </c>
      <c r="AO35" s="10">
        <v>9</v>
      </c>
      <c r="AP35" s="10">
        <v>10</v>
      </c>
      <c r="AQ35" s="10">
        <v>12</v>
      </c>
      <c r="AR35" s="10">
        <v>14</v>
      </c>
      <c r="AS35" s="10">
        <v>8</v>
      </c>
      <c r="AT35" s="10">
        <v>6</v>
      </c>
      <c r="AU35" s="10">
        <v>6</v>
      </c>
      <c r="AV35" s="10">
        <v>7</v>
      </c>
      <c r="AW35" s="10">
        <v>5</v>
      </c>
      <c r="AX35" s="10">
        <v>5</v>
      </c>
      <c r="AY35" s="10">
        <v>2</v>
      </c>
      <c r="AZ35" s="10">
        <v>3</v>
      </c>
      <c r="BA35" s="10">
        <v>2</v>
      </c>
      <c r="BB35" s="10">
        <v>1</v>
      </c>
      <c r="BC35" s="10">
        <v>0</v>
      </c>
    </row>
    <row r="36" spans="1:55" x14ac:dyDescent="0.35">
      <c r="A36" s="14" t="s">
        <v>32</v>
      </c>
      <c r="B36" s="15">
        <v>360</v>
      </c>
      <c r="C36" s="16">
        <v>124.37338271417269</v>
      </c>
      <c r="D36" s="15">
        <v>31</v>
      </c>
      <c r="E36" s="15">
        <v>24</v>
      </c>
      <c r="F36" s="15">
        <v>19</v>
      </c>
      <c r="G36" s="15">
        <v>4</v>
      </c>
      <c r="H36" s="15">
        <v>14</v>
      </c>
      <c r="I36" s="15">
        <v>6</v>
      </c>
      <c r="J36" s="15">
        <v>4</v>
      </c>
      <c r="K36" s="15">
        <v>5</v>
      </c>
      <c r="L36" s="15">
        <v>0</v>
      </c>
      <c r="M36" s="15">
        <v>2</v>
      </c>
      <c r="N36" s="15">
        <v>1</v>
      </c>
      <c r="O36" s="15">
        <v>3</v>
      </c>
      <c r="P36" s="15">
        <v>2</v>
      </c>
      <c r="Q36" s="15">
        <v>2</v>
      </c>
      <c r="R36" s="15">
        <v>1</v>
      </c>
      <c r="S36" s="15">
        <v>3</v>
      </c>
      <c r="T36" s="15">
        <v>1</v>
      </c>
      <c r="U36" s="15">
        <v>1</v>
      </c>
      <c r="V36" s="15">
        <v>7</v>
      </c>
      <c r="W36" s="15">
        <v>13</v>
      </c>
      <c r="X36" s="15">
        <v>4</v>
      </c>
      <c r="Y36" s="15">
        <v>8</v>
      </c>
      <c r="Z36" s="15">
        <v>15</v>
      </c>
      <c r="AA36" s="15">
        <v>8</v>
      </c>
      <c r="AB36" s="15">
        <v>12</v>
      </c>
      <c r="AC36" s="15">
        <v>11</v>
      </c>
      <c r="AD36" s="15">
        <v>9</v>
      </c>
      <c r="AE36" s="15">
        <v>15</v>
      </c>
      <c r="AF36" s="15">
        <v>10</v>
      </c>
      <c r="AG36" s="15">
        <v>14</v>
      </c>
      <c r="AH36" s="15">
        <v>13</v>
      </c>
      <c r="AI36" s="15">
        <v>8</v>
      </c>
      <c r="AJ36" s="15">
        <v>7</v>
      </c>
      <c r="AK36" s="15">
        <v>6</v>
      </c>
      <c r="AL36" s="15">
        <v>10</v>
      </c>
      <c r="AM36" s="15">
        <v>8</v>
      </c>
      <c r="AN36" s="15">
        <v>6</v>
      </c>
      <c r="AO36" s="15">
        <v>5</v>
      </c>
      <c r="AP36" s="15">
        <v>8</v>
      </c>
      <c r="AQ36" s="15">
        <v>11</v>
      </c>
      <c r="AR36" s="15">
        <v>9</v>
      </c>
      <c r="AS36" s="15">
        <v>7</v>
      </c>
      <c r="AT36" s="15">
        <v>3</v>
      </c>
      <c r="AU36" s="15">
        <v>1</v>
      </c>
      <c r="AV36" s="15">
        <v>1</v>
      </c>
      <c r="AW36" s="15">
        <v>2</v>
      </c>
      <c r="AX36" s="15">
        <v>2</v>
      </c>
      <c r="AY36" s="15">
        <v>2</v>
      </c>
      <c r="AZ36" s="15">
        <v>1</v>
      </c>
      <c r="BA36" s="15">
        <v>1</v>
      </c>
      <c r="BB36" s="15">
        <v>0</v>
      </c>
      <c r="BC36" s="15">
        <v>0</v>
      </c>
    </row>
    <row r="37" spans="1:55" x14ac:dyDescent="0.35">
      <c r="A37" s="14" t="s">
        <v>33</v>
      </c>
      <c r="B37" s="15">
        <v>1</v>
      </c>
      <c r="C37" s="16">
        <v>1.143105360021033</v>
      </c>
      <c r="D37" s="15">
        <v>0</v>
      </c>
      <c r="E37" s="15">
        <v>0</v>
      </c>
      <c r="F37" s="15">
        <v>0</v>
      </c>
      <c r="G37" s="15">
        <v>0</v>
      </c>
      <c r="H37" s="15">
        <v>0</v>
      </c>
      <c r="I37" s="15">
        <v>0</v>
      </c>
      <c r="J37" s="15">
        <v>0</v>
      </c>
      <c r="K37" s="15">
        <v>0</v>
      </c>
      <c r="L37" s="15">
        <v>0</v>
      </c>
      <c r="M37" s="15">
        <v>0</v>
      </c>
      <c r="N37" s="15">
        <v>0</v>
      </c>
      <c r="O37" s="15">
        <v>0</v>
      </c>
      <c r="P37" s="15">
        <v>0</v>
      </c>
      <c r="Q37" s="15">
        <v>0</v>
      </c>
      <c r="R37" s="15">
        <v>0</v>
      </c>
      <c r="S37" s="15">
        <v>0</v>
      </c>
      <c r="T37" s="15">
        <v>0</v>
      </c>
      <c r="U37" s="15">
        <v>0</v>
      </c>
      <c r="V37" s="15">
        <v>0</v>
      </c>
      <c r="W37" s="15">
        <v>0</v>
      </c>
      <c r="X37" s="15">
        <v>0</v>
      </c>
      <c r="Y37" s="15">
        <v>0</v>
      </c>
      <c r="Z37" s="15">
        <v>0</v>
      </c>
      <c r="AA37" s="15">
        <v>0</v>
      </c>
      <c r="AB37" s="15">
        <v>0</v>
      </c>
      <c r="AC37" s="15">
        <v>0</v>
      </c>
      <c r="AD37" s="15">
        <v>0</v>
      </c>
      <c r="AE37" s="15">
        <v>0</v>
      </c>
      <c r="AF37" s="15">
        <v>1</v>
      </c>
      <c r="AG37" s="15">
        <v>0</v>
      </c>
      <c r="AH37" s="15">
        <v>0</v>
      </c>
      <c r="AI37" s="15">
        <v>0</v>
      </c>
      <c r="AJ37" s="15">
        <v>0</v>
      </c>
      <c r="AK37" s="15">
        <v>0</v>
      </c>
      <c r="AL37" s="15">
        <v>0</v>
      </c>
      <c r="AM37" s="15">
        <v>0</v>
      </c>
      <c r="AN37" s="15">
        <v>0</v>
      </c>
      <c r="AO37" s="15">
        <v>0</v>
      </c>
      <c r="AP37" s="15">
        <v>0</v>
      </c>
      <c r="AQ37" s="15">
        <v>0</v>
      </c>
      <c r="AR37" s="15">
        <v>0</v>
      </c>
      <c r="AS37" s="15">
        <v>0</v>
      </c>
      <c r="AT37" s="15">
        <v>0</v>
      </c>
      <c r="AU37" s="15">
        <v>0</v>
      </c>
      <c r="AV37" s="15">
        <v>0</v>
      </c>
      <c r="AW37" s="15">
        <v>0</v>
      </c>
      <c r="AX37" s="15">
        <v>0</v>
      </c>
      <c r="AY37" s="15">
        <v>0</v>
      </c>
      <c r="AZ37" s="15">
        <v>0</v>
      </c>
      <c r="BA37" s="15">
        <v>0</v>
      </c>
      <c r="BB37" s="15">
        <v>0</v>
      </c>
      <c r="BC37" s="15">
        <v>0</v>
      </c>
    </row>
    <row r="38" spans="1:55" x14ac:dyDescent="0.35">
      <c r="A38" s="14" t="s">
        <v>34</v>
      </c>
      <c r="B38" s="15">
        <v>15</v>
      </c>
      <c r="C38" s="16">
        <v>17.364125716270184</v>
      </c>
      <c r="D38" s="15">
        <v>1</v>
      </c>
      <c r="E38" s="15">
        <v>2</v>
      </c>
      <c r="F38" s="15">
        <v>1</v>
      </c>
      <c r="G38" s="15">
        <v>1</v>
      </c>
      <c r="H38" s="15">
        <v>0</v>
      </c>
      <c r="I38" s="15">
        <v>0</v>
      </c>
      <c r="J38" s="15">
        <v>0</v>
      </c>
      <c r="K38" s="15">
        <v>0</v>
      </c>
      <c r="L38" s="15">
        <v>0</v>
      </c>
      <c r="M38" s="15">
        <v>0</v>
      </c>
      <c r="N38" s="15">
        <v>0</v>
      </c>
      <c r="O38" s="15">
        <v>1</v>
      </c>
      <c r="P38" s="15">
        <v>0</v>
      </c>
      <c r="Q38" s="15">
        <v>0</v>
      </c>
      <c r="R38" s="15">
        <v>0</v>
      </c>
      <c r="S38" s="15">
        <v>0</v>
      </c>
      <c r="T38" s="15">
        <v>0</v>
      </c>
      <c r="U38" s="15">
        <v>0</v>
      </c>
      <c r="V38" s="15">
        <v>0</v>
      </c>
      <c r="W38" s="15">
        <v>0</v>
      </c>
      <c r="X38" s="15">
        <v>1</v>
      </c>
      <c r="Y38" s="15">
        <v>0</v>
      </c>
      <c r="Z38" s="15">
        <v>0</v>
      </c>
      <c r="AA38" s="15">
        <v>0</v>
      </c>
      <c r="AB38" s="15">
        <v>0</v>
      </c>
      <c r="AC38" s="15">
        <v>0</v>
      </c>
      <c r="AD38" s="15">
        <v>0</v>
      </c>
      <c r="AE38" s="15">
        <v>0</v>
      </c>
      <c r="AF38" s="15">
        <v>2</v>
      </c>
      <c r="AG38" s="15">
        <v>0</v>
      </c>
      <c r="AH38" s="15">
        <v>0</v>
      </c>
      <c r="AI38" s="15">
        <v>1</v>
      </c>
      <c r="AJ38" s="15">
        <v>0</v>
      </c>
      <c r="AK38" s="15">
        <v>1</v>
      </c>
      <c r="AL38" s="15">
        <v>0</v>
      </c>
      <c r="AM38" s="15">
        <v>0</v>
      </c>
      <c r="AN38" s="15">
        <v>0</v>
      </c>
      <c r="AO38" s="15">
        <v>0</v>
      </c>
      <c r="AP38" s="15">
        <v>0</v>
      </c>
      <c r="AQ38" s="15">
        <v>0</v>
      </c>
      <c r="AR38" s="15">
        <v>1</v>
      </c>
      <c r="AS38" s="15">
        <v>0</v>
      </c>
      <c r="AT38" s="15">
        <v>0</v>
      </c>
      <c r="AU38" s="15">
        <v>2</v>
      </c>
      <c r="AV38" s="15">
        <v>1</v>
      </c>
      <c r="AW38" s="15">
        <v>0</v>
      </c>
      <c r="AX38" s="15">
        <v>0</v>
      </c>
      <c r="AY38" s="15">
        <v>0</v>
      </c>
      <c r="AZ38" s="15">
        <v>0</v>
      </c>
      <c r="BA38" s="15">
        <v>0</v>
      </c>
      <c r="BB38" s="15">
        <v>0</v>
      </c>
      <c r="BC38" s="15">
        <v>0</v>
      </c>
    </row>
    <row r="39" spans="1:55" x14ac:dyDescent="0.35">
      <c r="A39" s="14" t="s">
        <v>35</v>
      </c>
      <c r="B39" s="15">
        <v>10</v>
      </c>
      <c r="C39" s="16">
        <v>149.23145799134457</v>
      </c>
      <c r="D39" s="15">
        <v>0</v>
      </c>
      <c r="E39" s="15">
        <v>0</v>
      </c>
      <c r="F39" s="15">
        <v>0</v>
      </c>
      <c r="G39" s="15">
        <v>0</v>
      </c>
      <c r="H39" s="15">
        <v>0</v>
      </c>
      <c r="I39" s="15">
        <v>0</v>
      </c>
      <c r="J39" s="15">
        <v>1</v>
      </c>
      <c r="K39" s="15">
        <v>0</v>
      </c>
      <c r="L39" s="15">
        <v>0</v>
      </c>
      <c r="M39" s="15">
        <v>0</v>
      </c>
      <c r="N39" s="15">
        <v>0</v>
      </c>
      <c r="O39" s="15">
        <v>0</v>
      </c>
      <c r="P39" s="15">
        <v>0</v>
      </c>
      <c r="Q39" s="15">
        <v>0</v>
      </c>
      <c r="R39" s="15">
        <v>0</v>
      </c>
      <c r="S39" s="15">
        <v>0</v>
      </c>
      <c r="T39" s="15">
        <v>0</v>
      </c>
      <c r="U39" s="15">
        <v>0</v>
      </c>
      <c r="V39" s="15">
        <v>0</v>
      </c>
      <c r="W39" s="15">
        <v>1</v>
      </c>
      <c r="X39" s="15">
        <v>0</v>
      </c>
      <c r="Y39" s="15">
        <v>0</v>
      </c>
      <c r="Z39" s="15">
        <v>0</v>
      </c>
      <c r="AA39" s="15">
        <v>0</v>
      </c>
      <c r="AB39" s="15">
        <v>0</v>
      </c>
      <c r="AC39" s="15">
        <v>0</v>
      </c>
      <c r="AD39" s="15">
        <v>0</v>
      </c>
      <c r="AE39" s="15">
        <v>0</v>
      </c>
      <c r="AF39" s="15">
        <v>2</v>
      </c>
      <c r="AG39" s="15">
        <v>0</v>
      </c>
      <c r="AH39" s="15">
        <v>0</v>
      </c>
      <c r="AI39" s="15">
        <v>0</v>
      </c>
      <c r="AJ39" s="15">
        <v>0</v>
      </c>
      <c r="AK39" s="15">
        <v>0</v>
      </c>
      <c r="AL39" s="15">
        <v>0</v>
      </c>
      <c r="AM39" s="15">
        <v>0</v>
      </c>
      <c r="AN39" s="15">
        <v>0</v>
      </c>
      <c r="AO39" s="15">
        <v>0</v>
      </c>
      <c r="AP39" s="15">
        <v>0</v>
      </c>
      <c r="AQ39" s="15">
        <v>1</v>
      </c>
      <c r="AR39" s="15">
        <v>1</v>
      </c>
      <c r="AS39" s="15">
        <v>0</v>
      </c>
      <c r="AT39" s="15">
        <v>1</v>
      </c>
      <c r="AU39" s="15">
        <v>2</v>
      </c>
      <c r="AV39" s="15">
        <v>1</v>
      </c>
      <c r="AW39" s="15">
        <v>0</v>
      </c>
      <c r="AX39" s="15">
        <v>0</v>
      </c>
      <c r="AY39" s="15">
        <v>0</v>
      </c>
      <c r="AZ39" s="15">
        <v>0</v>
      </c>
      <c r="BA39" s="15">
        <v>0</v>
      </c>
      <c r="BB39" s="15">
        <v>0</v>
      </c>
      <c r="BC39" s="15">
        <v>0</v>
      </c>
    </row>
    <row r="40" spans="1:55" x14ac:dyDescent="0.35">
      <c r="A40" s="14" t="s">
        <v>36</v>
      </c>
      <c r="B40" s="15">
        <v>40</v>
      </c>
      <c r="C40" s="16">
        <v>145.71418163272742</v>
      </c>
      <c r="D40" s="15">
        <v>2</v>
      </c>
      <c r="E40" s="15">
        <v>8</v>
      </c>
      <c r="F40" s="15">
        <v>5</v>
      </c>
      <c r="G40" s="15">
        <v>3</v>
      </c>
      <c r="H40" s="15">
        <v>2</v>
      </c>
      <c r="I40" s="15">
        <v>4</v>
      </c>
      <c r="J40" s="15">
        <v>6</v>
      </c>
      <c r="K40" s="15">
        <v>0</v>
      </c>
      <c r="L40" s="15">
        <v>2</v>
      </c>
      <c r="M40" s="15">
        <v>1</v>
      </c>
      <c r="N40" s="15">
        <v>1</v>
      </c>
      <c r="O40" s="15">
        <v>0</v>
      </c>
      <c r="P40" s="15">
        <v>0</v>
      </c>
      <c r="Q40" s="15">
        <v>1</v>
      </c>
      <c r="R40" s="15">
        <v>1</v>
      </c>
      <c r="S40" s="15">
        <v>0</v>
      </c>
      <c r="T40" s="15">
        <v>0</v>
      </c>
      <c r="U40" s="15">
        <v>0</v>
      </c>
      <c r="V40" s="15">
        <v>0</v>
      </c>
      <c r="W40" s="15">
        <v>0</v>
      </c>
      <c r="X40" s="15">
        <v>0</v>
      </c>
      <c r="Y40" s="15">
        <v>0</v>
      </c>
      <c r="Z40" s="15">
        <v>0</v>
      </c>
      <c r="AA40" s="15">
        <v>0</v>
      </c>
      <c r="AB40" s="15">
        <v>0</v>
      </c>
      <c r="AC40" s="15">
        <v>0</v>
      </c>
      <c r="AD40" s="15">
        <v>0</v>
      </c>
      <c r="AE40" s="15">
        <v>1</v>
      </c>
      <c r="AF40" s="15">
        <v>0</v>
      </c>
      <c r="AG40" s="15">
        <v>0</v>
      </c>
      <c r="AH40" s="15">
        <v>0</v>
      </c>
      <c r="AI40" s="15">
        <v>0</v>
      </c>
      <c r="AJ40" s="15">
        <v>1</v>
      </c>
      <c r="AK40" s="15">
        <v>0</v>
      </c>
      <c r="AL40" s="15">
        <v>0</v>
      </c>
      <c r="AM40" s="15">
        <v>0</v>
      </c>
      <c r="AN40" s="15">
        <v>0</v>
      </c>
      <c r="AO40" s="15">
        <v>0</v>
      </c>
      <c r="AP40" s="15">
        <v>0</v>
      </c>
      <c r="AQ40" s="15">
        <v>0</v>
      </c>
      <c r="AR40" s="15">
        <v>0</v>
      </c>
      <c r="AS40" s="15">
        <v>0</v>
      </c>
      <c r="AT40" s="15">
        <v>1</v>
      </c>
      <c r="AU40" s="15">
        <v>0</v>
      </c>
      <c r="AV40" s="15">
        <v>1</v>
      </c>
      <c r="AW40" s="15">
        <v>0</v>
      </c>
      <c r="AX40" s="15">
        <v>0</v>
      </c>
      <c r="AY40" s="15">
        <v>0</v>
      </c>
      <c r="AZ40" s="15">
        <v>0</v>
      </c>
      <c r="BA40" s="15">
        <v>0</v>
      </c>
      <c r="BB40" s="15">
        <v>0</v>
      </c>
      <c r="BC40" s="15">
        <v>0</v>
      </c>
    </row>
    <row r="41" spans="1:55" x14ac:dyDescent="0.35">
      <c r="A41" s="14" t="s">
        <v>37</v>
      </c>
      <c r="B41" s="15">
        <v>21</v>
      </c>
      <c r="C41" s="16">
        <v>46.060712405685209</v>
      </c>
      <c r="D41" s="15">
        <v>0</v>
      </c>
      <c r="E41" s="15">
        <v>0</v>
      </c>
      <c r="F41" s="15">
        <v>0</v>
      </c>
      <c r="G41" s="15">
        <v>0</v>
      </c>
      <c r="H41" s="15">
        <v>0</v>
      </c>
      <c r="I41" s="15">
        <v>0</v>
      </c>
      <c r="J41" s="15">
        <v>1</v>
      </c>
      <c r="K41" s="15">
        <v>0</v>
      </c>
      <c r="L41" s="15">
        <v>0</v>
      </c>
      <c r="M41" s="15">
        <v>1</v>
      </c>
      <c r="N41" s="15">
        <v>1</v>
      </c>
      <c r="O41" s="15">
        <v>0</v>
      </c>
      <c r="P41" s="15">
        <v>1</v>
      </c>
      <c r="Q41" s="15">
        <v>2</v>
      </c>
      <c r="R41" s="15">
        <v>0</v>
      </c>
      <c r="S41" s="15">
        <v>0</v>
      </c>
      <c r="T41" s="15">
        <v>1</v>
      </c>
      <c r="U41" s="15">
        <v>3</v>
      </c>
      <c r="V41" s="15">
        <v>0</v>
      </c>
      <c r="W41" s="15">
        <v>1</v>
      </c>
      <c r="X41" s="15">
        <v>0</v>
      </c>
      <c r="Y41" s="15">
        <v>0</v>
      </c>
      <c r="Z41" s="15">
        <v>3</v>
      </c>
      <c r="AA41" s="15">
        <v>3</v>
      </c>
      <c r="AB41" s="15">
        <v>0</v>
      </c>
      <c r="AC41" s="15">
        <v>0</v>
      </c>
      <c r="AD41" s="15">
        <v>0</v>
      </c>
      <c r="AE41" s="15">
        <v>0</v>
      </c>
      <c r="AF41" s="15">
        <v>0</v>
      </c>
      <c r="AG41" s="15">
        <v>1</v>
      </c>
      <c r="AH41" s="15">
        <v>0</v>
      </c>
      <c r="AI41" s="15">
        <v>0</v>
      </c>
      <c r="AJ41" s="15">
        <v>0</v>
      </c>
      <c r="AK41" s="15">
        <v>0</v>
      </c>
      <c r="AL41" s="15">
        <v>1</v>
      </c>
      <c r="AM41" s="15">
        <v>0</v>
      </c>
      <c r="AN41" s="15">
        <v>0</v>
      </c>
      <c r="AO41" s="15">
        <v>1</v>
      </c>
      <c r="AP41" s="15">
        <v>0</v>
      </c>
      <c r="AQ41" s="15">
        <v>0</v>
      </c>
      <c r="AR41" s="15">
        <v>0</v>
      </c>
      <c r="AS41" s="15">
        <v>0</v>
      </c>
      <c r="AT41" s="15">
        <v>0</v>
      </c>
      <c r="AU41" s="15">
        <v>0</v>
      </c>
      <c r="AV41" s="15">
        <v>1</v>
      </c>
      <c r="AW41" s="15">
        <v>0</v>
      </c>
      <c r="AX41" s="15">
        <v>0</v>
      </c>
      <c r="AY41" s="15">
        <v>0</v>
      </c>
      <c r="AZ41" s="15">
        <v>0</v>
      </c>
      <c r="BA41" s="15">
        <v>0</v>
      </c>
      <c r="BB41" s="15">
        <v>0</v>
      </c>
      <c r="BC41" s="15">
        <v>0</v>
      </c>
    </row>
    <row r="42" spans="1:55" x14ac:dyDescent="0.35">
      <c r="A42" s="14" t="s">
        <v>38</v>
      </c>
      <c r="B42" s="15">
        <v>2</v>
      </c>
      <c r="C42" s="16">
        <v>5.2612195506918509</v>
      </c>
      <c r="D42" s="15">
        <v>0</v>
      </c>
      <c r="E42" s="15">
        <v>1</v>
      </c>
      <c r="F42" s="15">
        <v>0</v>
      </c>
      <c r="G42" s="15">
        <v>0</v>
      </c>
      <c r="H42" s="15">
        <v>0</v>
      </c>
      <c r="I42" s="15">
        <v>0</v>
      </c>
      <c r="J42" s="15">
        <v>0</v>
      </c>
      <c r="K42" s="15">
        <v>0</v>
      </c>
      <c r="L42" s="15">
        <v>0</v>
      </c>
      <c r="M42" s="15">
        <v>0</v>
      </c>
      <c r="N42" s="15">
        <v>0</v>
      </c>
      <c r="O42" s="15">
        <v>0</v>
      </c>
      <c r="P42" s="15">
        <v>0</v>
      </c>
      <c r="Q42" s="15">
        <v>0</v>
      </c>
      <c r="R42" s="15">
        <v>0</v>
      </c>
      <c r="S42" s="15">
        <v>0</v>
      </c>
      <c r="T42" s="15">
        <v>0</v>
      </c>
      <c r="U42" s="15">
        <v>0</v>
      </c>
      <c r="V42" s="15">
        <v>0</v>
      </c>
      <c r="W42" s="15">
        <v>0</v>
      </c>
      <c r="X42" s="15">
        <v>0</v>
      </c>
      <c r="Y42" s="15">
        <v>0</v>
      </c>
      <c r="Z42" s="15">
        <v>0</v>
      </c>
      <c r="AA42" s="15">
        <v>0</v>
      </c>
      <c r="AB42" s="15">
        <v>0</v>
      </c>
      <c r="AC42" s="15">
        <v>0</v>
      </c>
      <c r="AD42" s="15">
        <v>0</v>
      </c>
      <c r="AE42" s="15">
        <v>0</v>
      </c>
      <c r="AF42" s="15">
        <v>0</v>
      </c>
      <c r="AG42" s="15">
        <v>0</v>
      </c>
      <c r="AH42" s="15">
        <v>0</v>
      </c>
      <c r="AI42" s="15">
        <v>0</v>
      </c>
      <c r="AJ42" s="15">
        <v>0</v>
      </c>
      <c r="AK42" s="15">
        <v>0</v>
      </c>
      <c r="AL42" s="15">
        <v>0</v>
      </c>
      <c r="AM42" s="15">
        <v>1</v>
      </c>
      <c r="AN42" s="15">
        <v>0</v>
      </c>
      <c r="AO42" s="15">
        <v>0</v>
      </c>
      <c r="AP42" s="15">
        <v>0</v>
      </c>
      <c r="AQ42" s="15">
        <v>0</v>
      </c>
      <c r="AR42" s="15">
        <v>0</v>
      </c>
      <c r="AS42" s="15">
        <v>0</v>
      </c>
      <c r="AT42" s="15">
        <v>0</v>
      </c>
      <c r="AU42" s="15">
        <v>0</v>
      </c>
      <c r="AV42" s="15">
        <v>0</v>
      </c>
      <c r="AW42" s="15">
        <v>0</v>
      </c>
      <c r="AX42" s="15">
        <v>0</v>
      </c>
      <c r="AY42" s="15">
        <v>0</v>
      </c>
      <c r="AZ42" s="15">
        <v>0</v>
      </c>
      <c r="BA42" s="15">
        <v>0</v>
      </c>
      <c r="BB42" s="15">
        <v>0</v>
      </c>
      <c r="BC42" s="15">
        <v>0</v>
      </c>
    </row>
    <row r="43" spans="1:55" x14ac:dyDescent="0.35">
      <c r="A43" s="14" t="s">
        <v>39</v>
      </c>
      <c r="B43" s="15">
        <v>13</v>
      </c>
      <c r="C43" s="16">
        <v>41.772436618360594</v>
      </c>
      <c r="D43" s="15">
        <v>1</v>
      </c>
      <c r="E43" s="15">
        <v>1</v>
      </c>
      <c r="F43" s="15">
        <v>0</v>
      </c>
      <c r="G43" s="15">
        <v>0</v>
      </c>
      <c r="H43" s="15">
        <v>0</v>
      </c>
      <c r="I43" s="15">
        <v>0</v>
      </c>
      <c r="J43" s="15">
        <v>0</v>
      </c>
      <c r="K43" s="15">
        <v>0</v>
      </c>
      <c r="L43" s="15">
        <v>0</v>
      </c>
      <c r="M43" s="15">
        <v>0</v>
      </c>
      <c r="N43" s="15">
        <v>0</v>
      </c>
      <c r="O43" s="15">
        <v>0</v>
      </c>
      <c r="P43" s="15">
        <v>0</v>
      </c>
      <c r="Q43" s="15">
        <v>0</v>
      </c>
      <c r="R43" s="15">
        <v>0</v>
      </c>
      <c r="S43" s="15">
        <v>0</v>
      </c>
      <c r="T43" s="15">
        <v>0</v>
      </c>
      <c r="U43" s="15">
        <v>0</v>
      </c>
      <c r="V43" s="15">
        <v>0</v>
      </c>
      <c r="W43" s="15">
        <v>0</v>
      </c>
      <c r="X43" s="15">
        <v>0</v>
      </c>
      <c r="Y43" s="15">
        <v>1</v>
      </c>
      <c r="Z43" s="15">
        <v>0</v>
      </c>
      <c r="AA43" s="15">
        <v>0</v>
      </c>
      <c r="AB43" s="15">
        <v>0</v>
      </c>
      <c r="AC43" s="15">
        <v>0</v>
      </c>
      <c r="AD43" s="15">
        <v>0</v>
      </c>
      <c r="AE43" s="15">
        <v>0</v>
      </c>
      <c r="AF43" s="15">
        <v>1</v>
      </c>
      <c r="AG43" s="15">
        <v>0</v>
      </c>
      <c r="AH43" s="15">
        <v>1</v>
      </c>
      <c r="AI43" s="15">
        <v>1</v>
      </c>
      <c r="AJ43" s="15">
        <v>1</v>
      </c>
      <c r="AK43" s="15">
        <v>1</v>
      </c>
      <c r="AL43" s="15">
        <v>1</v>
      </c>
      <c r="AM43" s="15">
        <v>0</v>
      </c>
      <c r="AN43" s="15">
        <v>1</v>
      </c>
      <c r="AO43" s="15">
        <v>0</v>
      </c>
      <c r="AP43" s="15">
        <v>0</v>
      </c>
      <c r="AQ43" s="15">
        <v>0</v>
      </c>
      <c r="AR43" s="15">
        <v>0</v>
      </c>
      <c r="AS43" s="15">
        <v>0</v>
      </c>
      <c r="AT43" s="15">
        <v>0</v>
      </c>
      <c r="AU43" s="15">
        <v>1</v>
      </c>
      <c r="AV43" s="15">
        <v>0</v>
      </c>
      <c r="AW43" s="15">
        <v>0</v>
      </c>
      <c r="AX43" s="15">
        <v>1</v>
      </c>
      <c r="AY43" s="15">
        <v>0</v>
      </c>
      <c r="AZ43" s="15">
        <v>1</v>
      </c>
      <c r="BA43" s="15">
        <v>0</v>
      </c>
      <c r="BB43" s="15">
        <v>0</v>
      </c>
      <c r="BC43" s="15">
        <v>0</v>
      </c>
    </row>
    <row r="44" spans="1:55" x14ac:dyDescent="0.35">
      <c r="A44" s="14" t="s">
        <v>40</v>
      </c>
      <c r="B44" s="15">
        <v>50</v>
      </c>
      <c r="C44" s="16">
        <v>229.65276501929083</v>
      </c>
      <c r="D44" s="15">
        <v>0</v>
      </c>
      <c r="E44" s="15">
        <v>0</v>
      </c>
      <c r="F44" s="15">
        <v>0</v>
      </c>
      <c r="G44" s="15">
        <v>2</v>
      </c>
      <c r="H44" s="15">
        <v>0</v>
      </c>
      <c r="I44" s="15">
        <v>1</v>
      </c>
      <c r="J44" s="15">
        <v>0</v>
      </c>
      <c r="K44" s="15">
        <v>0</v>
      </c>
      <c r="L44" s="15">
        <v>0</v>
      </c>
      <c r="M44" s="15">
        <v>1</v>
      </c>
      <c r="N44" s="15">
        <v>1</v>
      </c>
      <c r="O44" s="15">
        <v>0</v>
      </c>
      <c r="P44" s="15">
        <v>0</v>
      </c>
      <c r="Q44" s="15">
        <v>2</v>
      </c>
      <c r="R44" s="15">
        <v>1</v>
      </c>
      <c r="S44" s="15">
        <v>0</v>
      </c>
      <c r="T44" s="15">
        <v>0</v>
      </c>
      <c r="U44" s="15">
        <v>0</v>
      </c>
      <c r="V44" s="15">
        <v>0</v>
      </c>
      <c r="W44" s="15">
        <v>0</v>
      </c>
      <c r="X44" s="15">
        <v>2</v>
      </c>
      <c r="Y44" s="15">
        <v>0</v>
      </c>
      <c r="Z44" s="15">
        <v>0</v>
      </c>
      <c r="AA44" s="15">
        <v>3</v>
      </c>
      <c r="AB44" s="15">
        <v>4</v>
      </c>
      <c r="AC44" s="15">
        <v>0</v>
      </c>
      <c r="AD44" s="15">
        <v>0</v>
      </c>
      <c r="AE44" s="15">
        <v>3</v>
      </c>
      <c r="AF44" s="15">
        <v>1</v>
      </c>
      <c r="AG44" s="15">
        <v>2</v>
      </c>
      <c r="AH44" s="15">
        <v>3</v>
      </c>
      <c r="AI44" s="15">
        <v>2</v>
      </c>
      <c r="AJ44" s="15">
        <v>1</v>
      </c>
      <c r="AK44" s="15">
        <v>2</v>
      </c>
      <c r="AL44" s="15">
        <v>2</v>
      </c>
      <c r="AM44" s="15">
        <v>1</v>
      </c>
      <c r="AN44" s="15">
        <v>0</v>
      </c>
      <c r="AO44" s="15">
        <v>2</v>
      </c>
      <c r="AP44" s="15">
        <v>2</v>
      </c>
      <c r="AQ44" s="15">
        <v>0</v>
      </c>
      <c r="AR44" s="15">
        <v>2</v>
      </c>
      <c r="AS44" s="15">
        <v>1</v>
      </c>
      <c r="AT44" s="15">
        <v>0</v>
      </c>
      <c r="AU44" s="15">
        <v>0</v>
      </c>
      <c r="AV44" s="15">
        <v>2</v>
      </c>
      <c r="AW44" s="15">
        <v>3</v>
      </c>
      <c r="AX44" s="15">
        <v>2</v>
      </c>
      <c r="AY44" s="15">
        <v>0</v>
      </c>
      <c r="AZ44" s="15">
        <v>1</v>
      </c>
      <c r="BA44" s="15">
        <v>0</v>
      </c>
      <c r="BB44" s="15">
        <v>1</v>
      </c>
      <c r="BC44" s="15">
        <v>0</v>
      </c>
    </row>
    <row r="45" spans="1:55" x14ac:dyDescent="0.35">
      <c r="A45" s="14" t="s">
        <v>41</v>
      </c>
      <c r="B45" s="15">
        <v>28</v>
      </c>
      <c r="C45" s="16">
        <v>15.414427904518629</v>
      </c>
      <c r="D45" s="15">
        <v>4</v>
      </c>
      <c r="E45" s="15">
        <v>3</v>
      </c>
      <c r="F45" s="15">
        <v>1</v>
      </c>
      <c r="G45" s="15">
        <v>0</v>
      </c>
      <c r="H45" s="15">
        <v>0</v>
      </c>
      <c r="I45" s="15">
        <v>3</v>
      </c>
      <c r="J45" s="15">
        <v>3</v>
      </c>
      <c r="K45" s="15">
        <v>0</v>
      </c>
      <c r="L45" s="15">
        <v>0</v>
      </c>
      <c r="M45" s="15">
        <v>0</v>
      </c>
      <c r="N45" s="15">
        <v>1</v>
      </c>
      <c r="O45" s="15">
        <v>1</v>
      </c>
      <c r="P45" s="15">
        <v>3</v>
      </c>
      <c r="Q45" s="15">
        <v>0</v>
      </c>
      <c r="R45" s="15">
        <v>1</v>
      </c>
      <c r="S45" s="15">
        <v>0</v>
      </c>
      <c r="T45" s="15">
        <v>1</v>
      </c>
      <c r="U45" s="15">
        <v>0</v>
      </c>
      <c r="V45" s="15">
        <v>0</v>
      </c>
      <c r="W45" s="15">
        <v>0</v>
      </c>
      <c r="X45" s="15">
        <v>0</v>
      </c>
      <c r="Y45" s="15">
        <v>0</v>
      </c>
      <c r="Z45" s="15">
        <v>0</v>
      </c>
      <c r="AA45" s="15">
        <v>0</v>
      </c>
      <c r="AB45" s="15">
        <v>0</v>
      </c>
      <c r="AC45" s="15">
        <v>1</v>
      </c>
      <c r="AD45" s="15">
        <v>1</v>
      </c>
      <c r="AE45" s="15">
        <v>1</v>
      </c>
      <c r="AF45" s="15">
        <v>1</v>
      </c>
      <c r="AG45" s="15">
        <v>0</v>
      </c>
      <c r="AH45" s="15">
        <v>0</v>
      </c>
      <c r="AI45" s="15">
        <v>0</v>
      </c>
      <c r="AJ45" s="15">
        <v>0</v>
      </c>
      <c r="AK45" s="15">
        <v>0</v>
      </c>
      <c r="AL45" s="15">
        <v>1</v>
      </c>
      <c r="AM45" s="15">
        <v>0</v>
      </c>
      <c r="AN45" s="15">
        <v>0</v>
      </c>
      <c r="AO45" s="15">
        <v>0</v>
      </c>
      <c r="AP45" s="15">
        <v>0</v>
      </c>
      <c r="AQ45" s="15">
        <v>0</v>
      </c>
      <c r="AR45" s="15">
        <v>0</v>
      </c>
      <c r="AS45" s="15">
        <v>0</v>
      </c>
      <c r="AT45" s="15">
        <v>1</v>
      </c>
      <c r="AU45" s="15">
        <v>0</v>
      </c>
      <c r="AV45" s="15">
        <v>0</v>
      </c>
      <c r="AW45" s="15">
        <v>0</v>
      </c>
      <c r="AX45" s="15">
        <v>0</v>
      </c>
      <c r="AY45" s="15">
        <v>0</v>
      </c>
      <c r="AZ45" s="15">
        <v>0</v>
      </c>
      <c r="BA45" s="15">
        <v>1</v>
      </c>
      <c r="BB45" s="15">
        <v>0</v>
      </c>
      <c r="BC45" s="15">
        <v>0</v>
      </c>
    </row>
    <row r="46" spans="1:55" x14ac:dyDescent="0.35">
      <c r="A46" s="14" t="s">
        <v>42</v>
      </c>
      <c r="B46" s="15">
        <v>0</v>
      </c>
      <c r="C46" s="16">
        <v>0</v>
      </c>
      <c r="D46" s="15">
        <v>0</v>
      </c>
      <c r="E46" s="15">
        <v>0</v>
      </c>
      <c r="F46" s="15">
        <v>0</v>
      </c>
      <c r="G46" s="15">
        <v>0</v>
      </c>
      <c r="H46" s="15">
        <v>0</v>
      </c>
      <c r="I46" s="15">
        <v>0</v>
      </c>
      <c r="J46" s="15">
        <v>0</v>
      </c>
      <c r="K46" s="15">
        <v>0</v>
      </c>
      <c r="L46" s="15">
        <v>0</v>
      </c>
      <c r="M46" s="15">
        <v>0</v>
      </c>
      <c r="N46" s="15">
        <v>0</v>
      </c>
      <c r="O46" s="15">
        <v>0</v>
      </c>
      <c r="P46" s="15">
        <v>0</v>
      </c>
      <c r="Q46" s="15">
        <v>0</v>
      </c>
      <c r="R46" s="15">
        <v>0</v>
      </c>
      <c r="S46" s="15">
        <v>0</v>
      </c>
      <c r="T46" s="15">
        <v>0</v>
      </c>
      <c r="U46" s="15">
        <v>0</v>
      </c>
      <c r="V46" s="15">
        <v>0</v>
      </c>
      <c r="W46" s="15">
        <v>0</v>
      </c>
      <c r="X46" s="15">
        <v>0</v>
      </c>
      <c r="Y46" s="15">
        <v>0</v>
      </c>
      <c r="Z46" s="15">
        <v>0</v>
      </c>
      <c r="AA46" s="15">
        <v>0</v>
      </c>
      <c r="AB46" s="15">
        <v>0</v>
      </c>
      <c r="AC46" s="15">
        <v>0</v>
      </c>
      <c r="AD46" s="15">
        <v>0</v>
      </c>
      <c r="AE46" s="15">
        <v>0</v>
      </c>
      <c r="AF46" s="15">
        <v>0</v>
      </c>
      <c r="AG46" s="15">
        <v>0</v>
      </c>
      <c r="AH46" s="15">
        <v>0</v>
      </c>
      <c r="AI46" s="15">
        <v>0</v>
      </c>
      <c r="AJ46" s="15">
        <v>0</v>
      </c>
      <c r="AK46" s="15">
        <v>0</v>
      </c>
      <c r="AL46" s="15">
        <v>0</v>
      </c>
      <c r="AM46" s="15">
        <v>0</v>
      </c>
      <c r="AN46" s="15">
        <v>0</v>
      </c>
      <c r="AO46" s="15">
        <v>0</v>
      </c>
      <c r="AP46" s="15">
        <v>0</v>
      </c>
      <c r="AQ46" s="15">
        <v>0</v>
      </c>
      <c r="AR46" s="15">
        <v>0</v>
      </c>
      <c r="AS46" s="15">
        <v>0</v>
      </c>
      <c r="AT46" s="15">
        <v>0</v>
      </c>
      <c r="AU46" s="15">
        <v>0</v>
      </c>
      <c r="AV46" s="15">
        <v>0</v>
      </c>
      <c r="AW46" s="15">
        <v>0</v>
      </c>
      <c r="AX46" s="15">
        <v>0</v>
      </c>
      <c r="AY46" s="15">
        <v>0</v>
      </c>
      <c r="AZ46" s="15">
        <v>0</v>
      </c>
      <c r="BA46" s="15">
        <v>0</v>
      </c>
      <c r="BB46" s="15">
        <v>0</v>
      </c>
      <c r="BC46" s="15">
        <v>0</v>
      </c>
    </row>
    <row r="47" spans="1:55" x14ac:dyDescent="0.35">
      <c r="A47" s="14" t="s">
        <v>43</v>
      </c>
      <c r="B47" s="15">
        <v>0</v>
      </c>
      <c r="C47" s="16">
        <v>0</v>
      </c>
      <c r="D47" s="15">
        <v>0</v>
      </c>
      <c r="E47" s="15">
        <v>0</v>
      </c>
      <c r="F47" s="15">
        <v>0</v>
      </c>
      <c r="G47" s="15">
        <v>0</v>
      </c>
      <c r="H47" s="15">
        <v>0</v>
      </c>
      <c r="I47" s="15">
        <v>0</v>
      </c>
      <c r="J47" s="15">
        <v>0</v>
      </c>
      <c r="K47" s="15">
        <v>0</v>
      </c>
      <c r="L47" s="15">
        <v>0</v>
      </c>
      <c r="M47" s="15">
        <v>0</v>
      </c>
      <c r="N47" s="15">
        <v>0</v>
      </c>
      <c r="O47" s="15">
        <v>0</v>
      </c>
      <c r="P47" s="15">
        <v>0</v>
      </c>
      <c r="Q47" s="15">
        <v>0</v>
      </c>
      <c r="R47" s="15">
        <v>0</v>
      </c>
      <c r="S47" s="15">
        <v>0</v>
      </c>
      <c r="T47" s="15">
        <v>0</v>
      </c>
      <c r="U47" s="15">
        <v>0</v>
      </c>
      <c r="V47" s="15">
        <v>0</v>
      </c>
      <c r="W47" s="15">
        <v>0</v>
      </c>
      <c r="X47" s="15">
        <v>0</v>
      </c>
      <c r="Y47" s="15">
        <v>0</v>
      </c>
      <c r="Z47" s="15">
        <v>0</v>
      </c>
      <c r="AA47" s="15">
        <v>0</v>
      </c>
      <c r="AB47" s="15">
        <v>0</v>
      </c>
      <c r="AC47" s="15">
        <v>0</v>
      </c>
      <c r="AD47" s="15">
        <v>0</v>
      </c>
      <c r="AE47" s="15">
        <v>0</v>
      </c>
      <c r="AF47" s="15">
        <v>0</v>
      </c>
      <c r="AG47" s="15">
        <v>0</v>
      </c>
      <c r="AH47" s="15">
        <v>0</v>
      </c>
      <c r="AI47" s="15">
        <v>0</v>
      </c>
      <c r="AJ47" s="15">
        <v>0</v>
      </c>
      <c r="AK47" s="15">
        <v>0</v>
      </c>
      <c r="AL47" s="15">
        <v>0</v>
      </c>
      <c r="AM47" s="15">
        <v>0</v>
      </c>
      <c r="AN47" s="15">
        <v>0</v>
      </c>
      <c r="AO47" s="15">
        <v>0</v>
      </c>
      <c r="AP47" s="15">
        <v>0</v>
      </c>
      <c r="AQ47" s="15">
        <v>0</v>
      </c>
      <c r="AR47" s="15">
        <v>0</v>
      </c>
      <c r="AS47" s="15">
        <v>0</v>
      </c>
      <c r="AT47" s="15">
        <v>0</v>
      </c>
      <c r="AU47" s="15">
        <v>0</v>
      </c>
      <c r="AV47" s="15">
        <v>0</v>
      </c>
      <c r="AW47" s="15">
        <v>0</v>
      </c>
      <c r="AX47" s="15">
        <v>0</v>
      </c>
      <c r="AY47" s="15">
        <v>0</v>
      </c>
      <c r="AZ47" s="15">
        <v>0</v>
      </c>
      <c r="BA47" s="15">
        <v>0</v>
      </c>
      <c r="BB47" s="15">
        <v>0</v>
      </c>
      <c r="BC47" s="15">
        <v>0</v>
      </c>
    </row>
    <row r="48" spans="1:55" x14ac:dyDescent="0.35">
      <c r="A48" s="14" t="s">
        <v>44</v>
      </c>
      <c r="B48" s="15">
        <v>1</v>
      </c>
      <c r="C48" s="16">
        <v>2.0121938950037226</v>
      </c>
      <c r="D48" s="15">
        <v>0</v>
      </c>
      <c r="E48" s="15">
        <v>0</v>
      </c>
      <c r="F48" s="15">
        <v>0</v>
      </c>
      <c r="G48" s="15">
        <v>0</v>
      </c>
      <c r="H48" s="15">
        <v>0</v>
      </c>
      <c r="I48" s="15">
        <v>0</v>
      </c>
      <c r="J48" s="15">
        <v>0</v>
      </c>
      <c r="K48" s="15">
        <v>0</v>
      </c>
      <c r="L48" s="15">
        <v>0</v>
      </c>
      <c r="M48" s="15">
        <v>0</v>
      </c>
      <c r="N48" s="15">
        <v>1</v>
      </c>
      <c r="O48" s="15">
        <v>0</v>
      </c>
      <c r="P48" s="15">
        <v>0</v>
      </c>
      <c r="Q48" s="15">
        <v>0</v>
      </c>
      <c r="R48" s="15">
        <v>0</v>
      </c>
      <c r="S48" s="15">
        <v>0</v>
      </c>
      <c r="T48" s="15">
        <v>0</v>
      </c>
      <c r="U48" s="15">
        <v>0</v>
      </c>
      <c r="V48" s="15">
        <v>0</v>
      </c>
      <c r="W48" s="15">
        <v>0</v>
      </c>
      <c r="X48" s="15">
        <v>0</v>
      </c>
      <c r="Y48" s="15">
        <v>0</v>
      </c>
      <c r="Z48" s="15">
        <v>0</v>
      </c>
      <c r="AA48" s="15">
        <v>0</v>
      </c>
      <c r="AB48" s="15">
        <v>0</v>
      </c>
      <c r="AC48" s="15">
        <v>0</v>
      </c>
      <c r="AD48" s="15">
        <v>0</v>
      </c>
      <c r="AE48" s="15">
        <v>0</v>
      </c>
      <c r="AF48" s="15">
        <v>0</v>
      </c>
      <c r="AG48" s="15">
        <v>0</v>
      </c>
      <c r="AH48" s="15">
        <v>0</v>
      </c>
      <c r="AI48" s="15">
        <v>0</v>
      </c>
      <c r="AJ48" s="15">
        <v>0</v>
      </c>
      <c r="AK48" s="15">
        <v>0</v>
      </c>
      <c r="AL48" s="15">
        <v>0</v>
      </c>
      <c r="AM48" s="15">
        <v>0</v>
      </c>
      <c r="AN48" s="15">
        <v>0</v>
      </c>
      <c r="AO48" s="15">
        <v>0</v>
      </c>
      <c r="AP48" s="15">
        <v>0</v>
      </c>
      <c r="AQ48" s="15">
        <v>0</v>
      </c>
      <c r="AR48" s="15">
        <v>0</v>
      </c>
      <c r="AS48" s="15">
        <v>0</v>
      </c>
      <c r="AT48" s="15">
        <v>0</v>
      </c>
      <c r="AU48" s="15">
        <v>0</v>
      </c>
      <c r="AV48" s="15">
        <v>0</v>
      </c>
      <c r="AW48" s="15">
        <v>0</v>
      </c>
      <c r="AX48" s="15">
        <v>0</v>
      </c>
      <c r="AY48" s="15">
        <v>0</v>
      </c>
      <c r="AZ48" s="15">
        <v>0</v>
      </c>
      <c r="BA48" s="15">
        <v>0</v>
      </c>
      <c r="BB48" s="15">
        <v>0</v>
      </c>
      <c r="BC48" s="15">
        <v>0</v>
      </c>
    </row>
    <row r="49" spans="1:55" x14ac:dyDescent="0.35">
      <c r="A49" s="14" t="s">
        <v>45</v>
      </c>
      <c r="B49" s="15">
        <v>1</v>
      </c>
      <c r="C49" s="16">
        <v>3.4025178632187818</v>
      </c>
      <c r="D49" s="15">
        <v>0</v>
      </c>
      <c r="E49" s="15">
        <v>0</v>
      </c>
      <c r="F49" s="15">
        <v>0</v>
      </c>
      <c r="G49" s="15">
        <v>0</v>
      </c>
      <c r="H49" s="15">
        <v>0</v>
      </c>
      <c r="I49" s="15">
        <v>0</v>
      </c>
      <c r="J49" s="15">
        <v>0</v>
      </c>
      <c r="K49" s="15">
        <v>0</v>
      </c>
      <c r="L49" s="15">
        <v>0</v>
      </c>
      <c r="M49" s="15">
        <v>0</v>
      </c>
      <c r="N49" s="15">
        <v>0</v>
      </c>
      <c r="O49" s="15">
        <v>0</v>
      </c>
      <c r="P49" s="15">
        <v>0</v>
      </c>
      <c r="Q49" s="15">
        <v>0</v>
      </c>
      <c r="R49" s="15">
        <v>0</v>
      </c>
      <c r="S49" s="15">
        <v>0</v>
      </c>
      <c r="T49" s="15">
        <v>0</v>
      </c>
      <c r="U49" s="15">
        <v>0</v>
      </c>
      <c r="V49" s="15">
        <v>0</v>
      </c>
      <c r="W49" s="15">
        <v>0</v>
      </c>
      <c r="X49" s="15">
        <v>0</v>
      </c>
      <c r="Y49" s="15">
        <v>1</v>
      </c>
      <c r="Z49" s="15">
        <v>0</v>
      </c>
      <c r="AA49" s="15">
        <v>0</v>
      </c>
      <c r="AB49" s="15">
        <v>0</v>
      </c>
      <c r="AC49" s="15">
        <v>0</v>
      </c>
      <c r="AD49" s="15">
        <v>0</v>
      </c>
      <c r="AE49" s="15">
        <v>0</v>
      </c>
      <c r="AF49" s="15">
        <v>0</v>
      </c>
      <c r="AG49" s="15">
        <v>0</v>
      </c>
      <c r="AH49" s="15">
        <v>0</v>
      </c>
      <c r="AI49" s="15">
        <v>0</v>
      </c>
      <c r="AJ49" s="15">
        <v>0</v>
      </c>
      <c r="AK49" s="15">
        <v>0</v>
      </c>
      <c r="AL49" s="15">
        <v>0</v>
      </c>
      <c r="AM49" s="15">
        <v>0</v>
      </c>
      <c r="AN49" s="15">
        <v>0</v>
      </c>
      <c r="AO49" s="15">
        <v>0</v>
      </c>
      <c r="AP49" s="15">
        <v>0</v>
      </c>
      <c r="AQ49" s="15">
        <v>0</v>
      </c>
      <c r="AR49" s="15">
        <v>0</v>
      </c>
      <c r="AS49" s="15">
        <v>0</v>
      </c>
      <c r="AT49" s="15">
        <v>0</v>
      </c>
      <c r="AU49" s="15">
        <v>0</v>
      </c>
      <c r="AV49" s="15">
        <v>0</v>
      </c>
      <c r="AW49" s="15">
        <v>0</v>
      </c>
      <c r="AX49" s="15">
        <v>0</v>
      </c>
      <c r="AY49" s="15">
        <v>0</v>
      </c>
      <c r="AZ49" s="15">
        <v>0</v>
      </c>
      <c r="BA49" s="15">
        <v>0</v>
      </c>
      <c r="BB49" s="15">
        <v>0</v>
      </c>
      <c r="BC49" s="15">
        <v>0</v>
      </c>
    </row>
    <row r="50" spans="1:55" x14ac:dyDescent="0.35">
      <c r="A50" s="14" t="s">
        <v>46</v>
      </c>
      <c r="B50" s="15">
        <v>5</v>
      </c>
      <c r="C50" s="16">
        <v>28.121484814398205</v>
      </c>
      <c r="D50" s="15">
        <v>0</v>
      </c>
      <c r="E50" s="15">
        <v>0</v>
      </c>
      <c r="F50" s="15">
        <v>0</v>
      </c>
      <c r="G50" s="15">
        <v>0</v>
      </c>
      <c r="H50" s="15">
        <v>0</v>
      </c>
      <c r="I50" s="15">
        <v>0</v>
      </c>
      <c r="J50" s="15">
        <v>0</v>
      </c>
      <c r="K50" s="15">
        <v>0</v>
      </c>
      <c r="L50" s="15">
        <v>0</v>
      </c>
      <c r="M50" s="15">
        <v>0</v>
      </c>
      <c r="N50" s="15">
        <v>0</v>
      </c>
      <c r="O50" s="15">
        <v>0</v>
      </c>
      <c r="P50" s="15">
        <v>1</v>
      </c>
      <c r="Q50" s="15">
        <v>0</v>
      </c>
      <c r="R50" s="15">
        <v>0</v>
      </c>
      <c r="S50" s="15">
        <v>0</v>
      </c>
      <c r="T50" s="15">
        <v>0</v>
      </c>
      <c r="U50" s="15">
        <v>0</v>
      </c>
      <c r="V50" s="15">
        <v>0</v>
      </c>
      <c r="W50" s="15">
        <v>0</v>
      </c>
      <c r="X50" s="15">
        <v>0</v>
      </c>
      <c r="Y50" s="15">
        <v>0</v>
      </c>
      <c r="Z50" s="15">
        <v>1</v>
      </c>
      <c r="AA50" s="15">
        <v>0</v>
      </c>
      <c r="AB50" s="15">
        <v>0</v>
      </c>
      <c r="AC50" s="15">
        <v>0</v>
      </c>
      <c r="AD50" s="15">
        <v>0</v>
      </c>
      <c r="AE50" s="15">
        <v>0</v>
      </c>
      <c r="AF50" s="15">
        <v>1</v>
      </c>
      <c r="AG50" s="15">
        <v>0</v>
      </c>
      <c r="AH50" s="15">
        <v>0</v>
      </c>
      <c r="AI50" s="15">
        <v>0</v>
      </c>
      <c r="AJ50" s="15">
        <v>0</v>
      </c>
      <c r="AK50" s="15">
        <v>0</v>
      </c>
      <c r="AL50" s="15">
        <v>0</v>
      </c>
      <c r="AM50" s="15">
        <v>0</v>
      </c>
      <c r="AN50" s="15">
        <v>0</v>
      </c>
      <c r="AO50" s="15">
        <v>1</v>
      </c>
      <c r="AP50" s="15">
        <v>0</v>
      </c>
      <c r="AQ50" s="15">
        <v>0</v>
      </c>
      <c r="AR50" s="15">
        <v>1</v>
      </c>
      <c r="AS50" s="15">
        <v>0</v>
      </c>
      <c r="AT50" s="15">
        <v>0</v>
      </c>
      <c r="AU50" s="15">
        <v>0</v>
      </c>
      <c r="AV50" s="15">
        <v>0</v>
      </c>
      <c r="AW50" s="15">
        <v>0</v>
      </c>
      <c r="AX50" s="15">
        <v>0</v>
      </c>
      <c r="AY50" s="15">
        <v>0</v>
      </c>
      <c r="AZ50" s="15">
        <v>0</v>
      </c>
      <c r="BA50" s="15">
        <v>0</v>
      </c>
      <c r="BB50" s="15">
        <v>0</v>
      </c>
      <c r="BC50" s="15">
        <v>0</v>
      </c>
    </row>
    <row r="51" spans="1:55" x14ac:dyDescent="0.35">
      <c r="A51" s="14"/>
      <c r="B51" s="12"/>
      <c r="C51" s="13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</row>
    <row r="52" spans="1:55" x14ac:dyDescent="0.35">
      <c r="A52" s="1" t="s">
        <v>47</v>
      </c>
      <c r="B52" s="10">
        <v>42</v>
      </c>
      <c r="C52" s="11">
        <v>8.1264475234651172</v>
      </c>
      <c r="D52" s="10">
        <v>1</v>
      </c>
      <c r="E52" s="10">
        <v>3</v>
      </c>
      <c r="F52" s="10">
        <v>1</v>
      </c>
      <c r="G52" s="10">
        <v>2</v>
      </c>
      <c r="H52" s="10">
        <v>1</v>
      </c>
      <c r="I52" s="10">
        <v>0</v>
      </c>
      <c r="J52" s="10">
        <v>0</v>
      </c>
      <c r="K52" s="10">
        <v>1</v>
      </c>
      <c r="L52" s="10">
        <v>1</v>
      </c>
      <c r="M52" s="10">
        <v>1</v>
      </c>
      <c r="N52" s="10">
        <v>0</v>
      </c>
      <c r="O52" s="10">
        <v>1</v>
      </c>
      <c r="P52" s="10">
        <v>0</v>
      </c>
      <c r="Q52" s="10">
        <v>0</v>
      </c>
      <c r="R52" s="10">
        <v>1</v>
      </c>
      <c r="S52" s="10">
        <v>1</v>
      </c>
      <c r="T52" s="10">
        <v>0</v>
      </c>
      <c r="U52" s="10">
        <v>0</v>
      </c>
      <c r="V52" s="10">
        <v>0</v>
      </c>
      <c r="W52" s="10">
        <v>0</v>
      </c>
      <c r="X52" s="10">
        <v>1</v>
      </c>
      <c r="Y52" s="10">
        <v>0</v>
      </c>
      <c r="Z52" s="10">
        <v>0</v>
      </c>
      <c r="AA52" s="10">
        <v>0</v>
      </c>
      <c r="AB52" s="10">
        <v>0</v>
      </c>
      <c r="AC52" s="10">
        <v>1</v>
      </c>
      <c r="AD52" s="10">
        <v>0</v>
      </c>
      <c r="AE52" s="10">
        <v>1</v>
      </c>
      <c r="AF52" s="10">
        <v>0</v>
      </c>
      <c r="AG52" s="10">
        <v>0</v>
      </c>
      <c r="AH52" s="10">
        <v>0</v>
      </c>
      <c r="AI52" s="10">
        <v>4</v>
      </c>
      <c r="AJ52" s="10">
        <v>2</v>
      </c>
      <c r="AK52" s="10">
        <v>0</v>
      </c>
      <c r="AL52" s="10">
        <v>1</v>
      </c>
      <c r="AM52" s="10">
        <v>0</v>
      </c>
      <c r="AN52" s="10">
        <v>0</v>
      </c>
      <c r="AO52" s="10">
        <v>1</v>
      </c>
      <c r="AP52" s="10">
        <v>0</v>
      </c>
      <c r="AQ52" s="10">
        <v>5</v>
      </c>
      <c r="AR52" s="10">
        <v>2</v>
      </c>
      <c r="AS52" s="10">
        <v>4</v>
      </c>
      <c r="AT52" s="10">
        <v>1</v>
      </c>
      <c r="AU52" s="10">
        <v>1</v>
      </c>
      <c r="AV52" s="10">
        <v>1</v>
      </c>
      <c r="AW52" s="10">
        <v>2</v>
      </c>
      <c r="AX52" s="10">
        <v>1</v>
      </c>
      <c r="AY52" s="10">
        <v>0</v>
      </c>
      <c r="AZ52" s="10">
        <v>0</v>
      </c>
      <c r="BA52" s="10">
        <v>0</v>
      </c>
      <c r="BB52" s="10">
        <v>0</v>
      </c>
      <c r="BC52" s="10">
        <v>0</v>
      </c>
    </row>
    <row r="53" spans="1:55" x14ac:dyDescent="0.35">
      <c r="A53" s="14" t="s">
        <v>48</v>
      </c>
      <c r="B53" s="15">
        <v>3</v>
      </c>
      <c r="C53" s="16">
        <v>1.9190788421557652</v>
      </c>
      <c r="D53" s="15">
        <v>0</v>
      </c>
      <c r="E53" s="15">
        <v>0</v>
      </c>
      <c r="F53" s="15">
        <v>0</v>
      </c>
      <c r="G53" s="15">
        <v>1</v>
      </c>
      <c r="H53" s="15">
        <v>0</v>
      </c>
      <c r="I53" s="15">
        <v>0</v>
      </c>
      <c r="J53" s="15">
        <v>0</v>
      </c>
      <c r="K53" s="15">
        <v>0</v>
      </c>
      <c r="L53" s="15">
        <v>0</v>
      </c>
      <c r="M53" s="15">
        <v>0</v>
      </c>
      <c r="N53" s="15">
        <v>0</v>
      </c>
      <c r="O53" s="15">
        <v>0</v>
      </c>
      <c r="P53" s="15">
        <v>0</v>
      </c>
      <c r="Q53" s="15">
        <v>0</v>
      </c>
      <c r="R53" s="15">
        <v>0</v>
      </c>
      <c r="S53" s="15">
        <v>0</v>
      </c>
      <c r="T53" s="15">
        <v>0</v>
      </c>
      <c r="U53" s="15">
        <v>0</v>
      </c>
      <c r="V53" s="15">
        <v>0</v>
      </c>
      <c r="W53" s="15">
        <v>0</v>
      </c>
      <c r="X53" s="15">
        <v>0</v>
      </c>
      <c r="Y53" s="15">
        <v>0</v>
      </c>
      <c r="Z53" s="15">
        <v>0</v>
      </c>
      <c r="AA53" s="15">
        <v>0</v>
      </c>
      <c r="AB53" s="15">
        <v>0</v>
      </c>
      <c r="AC53" s="15">
        <v>0</v>
      </c>
      <c r="AD53" s="15">
        <v>0</v>
      </c>
      <c r="AE53" s="15">
        <v>1</v>
      </c>
      <c r="AF53" s="15">
        <v>0</v>
      </c>
      <c r="AG53" s="15">
        <v>0</v>
      </c>
      <c r="AH53" s="15">
        <v>0</v>
      </c>
      <c r="AI53" s="15">
        <v>0</v>
      </c>
      <c r="AJ53" s="15">
        <v>0</v>
      </c>
      <c r="AK53" s="15">
        <v>0</v>
      </c>
      <c r="AL53" s="15">
        <v>0</v>
      </c>
      <c r="AM53" s="15">
        <v>0</v>
      </c>
      <c r="AN53" s="15">
        <v>0</v>
      </c>
      <c r="AO53" s="15">
        <v>0</v>
      </c>
      <c r="AP53" s="15">
        <v>0</v>
      </c>
      <c r="AQ53" s="15">
        <v>0</v>
      </c>
      <c r="AR53" s="15">
        <v>1</v>
      </c>
      <c r="AS53" s="15">
        <v>0</v>
      </c>
      <c r="AT53" s="15">
        <v>0</v>
      </c>
      <c r="AU53" s="15">
        <v>0</v>
      </c>
      <c r="AV53" s="15">
        <v>0</v>
      </c>
      <c r="AW53" s="15">
        <v>0</v>
      </c>
      <c r="AX53" s="15">
        <v>0</v>
      </c>
      <c r="AY53" s="15">
        <v>0</v>
      </c>
      <c r="AZ53" s="15">
        <v>0</v>
      </c>
      <c r="BA53" s="15">
        <v>0</v>
      </c>
      <c r="BB53" s="15">
        <v>0</v>
      </c>
      <c r="BC53" s="15">
        <v>0</v>
      </c>
    </row>
    <row r="54" spans="1:55" x14ac:dyDescent="0.35">
      <c r="A54" s="14" t="s">
        <v>49</v>
      </c>
      <c r="B54" s="15">
        <v>2</v>
      </c>
      <c r="C54" s="16">
        <v>3.3410734869113443</v>
      </c>
      <c r="D54" s="15">
        <v>0</v>
      </c>
      <c r="E54" s="15">
        <v>0</v>
      </c>
      <c r="F54" s="15">
        <v>0</v>
      </c>
      <c r="G54" s="15">
        <v>0</v>
      </c>
      <c r="H54" s="15">
        <v>0</v>
      </c>
      <c r="I54" s="15">
        <v>0</v>
      </c>
      <c r="J54" s="15">
        <v>0</v>
      </c>
      <c r="K54" s="15">
        <v>0</v>
      </c>
      <c r="L54" s="15">
        <v>0</v>
      </c>
      <c r="M54" s="15">
        <v>0</v>
      </c>
      <c r="N54" s="15">
        <v>0</v>
      </c>
      <c r="O54" s="15">
        <v>0</v>
      </c>
      <c r="P54" s="15">
        <v>0</v>
      </c>
      <c r="Q54" s="15">
        <v>0</v>
      </c>
      <c r="R54" s="15">
        <v>0</v>
      </c>
      <c r="S54" s="15">
        <v>0</v>
      </c>
      <c r="T54" s="15">
        <v>0</v>
      </c>
      <c r="U54" s="15">
        <v>0</v>
      </c>
      <c r="V54" s="15">
        <v>0</v>
      </c>
      <c r="W54" s="15">
        <v>0</v>
      </c>
      <c r="X54" s="15">
        <v>0</v>
      </c>
      <c r="Y54" s="15">
        <v>0</v>
      </c>
      <c r="Z54" s="15">
        <v>0</v>
      </c>
      <c r="AA54" s="15">
        <v>0</v>
      </c>
      <c r="AB54" s="15">
        <v>0</v>
      </c>
      <c r="AC54" s="15">
        <v>0</v>
      </c>
      <c r="AD54" s="15">
        <v>0</v>
      </c>
      <c r="AE54" s="15">
        <v>0</v>
      </c>
      <c r="AF54" s="15">
        <v>0</v>
      </c>
      <c r="AG54" s="15">
        <v>0</v>
      </c>
      <c r="AH54" s="15">
        <v>0</v>
      </c>
      <c r="AI54" s="15">
        <v>1</v>
      </c>
      <c r="AJ54" s="15">
        <v>0</v>
      </c>
      <c r="AK54" s="15">
        <v>0</v>
      </c>
      <c r="AL54" s="15">
        <v>0</v>
      </c>
      <c r="AM54" s="15">
        <v>0</v>
      </c>
      <c r="AN54" s="15">
        <v>0</v>
      </c>
      <c r="AO54" s="15">
        <v>1</v>
      </c>
      <c r="AP54" s="15">
        <v>0</v>
      </c>
      <c r="AQ54" s="15">
        <v>0</v>
      </c>
      <c r="AR54" s="15">
        <v>0</v>
      </c>
      <c r="AS54" s="15">
        <v>0</v>
      </c>
      <c r="AT54" s="15">
        <v>0</v>
      </c>
      <c r="AU54" s="15">
        <v>0</v>
      </c>
      <c r="AV54" s="15">
        <v>0</v>
      </c>
      <c r="AW54" s="15">
        <v>0</v>
      </c>
      <c r="AX54" s="15">
        <v>0</v>
      </c>
      <c r="AY54" s="15">
        <v>0</v>
      </c>
      <c r="AZ54" s="15">
        <v>0</v>
      </c>
      <c r="BA54" s="15">
        <v>0</v>
      </c>
      <c r="BB54" s="15">
        <v>0</v>
      </c>
      <c r="BC54" s="15">
        <v>0</v>
      </c>
    </row>
    <row r="55" spans="1:55" x14ac:dyDescent="0.35">
      <c r="A55" s="14" t="s">
        <v>50</v>
      </c>
      <c r="B55" s="15">
        <v>7</v>
      </c>
      <c r="C55" s="16">
        <v>6.6543719223529854</v>
      </c>
      <c r="D55" s="15">
        <v>0</v>
      </c>
      <c r="E55" s="15">
        <v>0</v>
      </c>
      <c r="F55" s="15">
        <v>0</v>
      </c>
      <c r="G55" s="15">
        <v>1</v>
      </c>
      <c r="H55" s="15">
        <v>0</v>
      </c>
      <c r="I55" s="15">
        <v>0</v>
      </c>
      <c r="J55" s="15">
        <v>0</v>
      </c>
      <c r="K55" s="15">
        <v>0</v>
      </c>
      <c r="L55" s="15">
        <v>1</v>
      </c>
      <c r="M55" s="15">
        <v>1</v>
      </c>
      <c r="N55" s="15">
        <v>0</v>
      </c>
      <c r="O55" s="15">
        <v>0</v>
      </c>
      <c r="P55" s="15">
        <v>0</v>
      </c>
      <c r="Q55" s="15">
        <v>0</v>
      </c>
      <c r="R55" s="15">
        <v>1</v>
      </c>
      <c r="S55" s="15">
        <v>0</v>
      </c>
      <c r="T55" s="15">
        <v>0</v>
      </c>
      <c r="U55" s="15">
        <v>0</v>
      </c>
      <c r="V55" s="15">
        <v>0</v>
      </c>
      <c r="W55" s="15">
        <v>0</v>
      </c>
      <c r="X55" s="15">
        <v>0</v>
      </c>
      <c r="Y55" s="15">
        <v>0</v>
      </c>
      <c r="Z55" s="15">
        <v>0</v>
      </c>
      <c r="AA55" s="15">
        <v>0</v>
      </c>
      <c r="AB55" s="15">
        <v>0</v>
      </c>
      <c r="AC55" s="15">
        <v>1</v>
      </c>
      <c r="AD55" s="15">
        <v>0</v>
      </c>
      <c r="AE55" s="15">
        <v>0</v>
      </c>
      <c r="AF55" s="15">
        <v>0</v>
      </c>
      <c r="AG55" s="15">
        <v>0</v>
      </c>
      <c r="AH55" s="15">
        <v>0</v>
      </c>
      <c r="AI55" s="15">
        <v>0</v>
      </c>
      <c r="AJ55" s="15">
        <v>0</v>
      </c>
      <c r="AK55" s="15">
        <v>0</v>
      </c>
      <c r="AL55" s="15">
        <v>0</v>
      </c>
      <c r="AM55" s="15">
        <v>0</v>
      </c>
      <c r="AN55" s="15">
        <v>0</v>
      </c>
      <c r="AO55" s="15">
        <v>0</v>
      </c>
      <c r="AP55" s="15">
        <v>0</v>
      </c>
      <c r="AQ55" s="15">
        <v>0</v>
      </c>
      <c r="AR55" s="15">
        <v>0</v>
      </c>
      <c r="AS55" s="15">
        <v>2</v>
      </c>
      <c r="AT55" s="15">
        <v>0</v>
      </c>
      <c r="AU55" s="15">
        <v>0</v>
      </c>
      <c r="AV55" s="15">
        <v>0</v>
      </c>
      <c r="AW55" s="15">
        <v>0</v>
      </c>
      <c r="AX55" s="15">
        <v>0</v>
      </c>
      <c r="AY55" s="15">
        <v>0</v>
      </c>
      <c r="AZ55" s="15">
        <v>0</v>
      </c>
      <c r="BA55" s="15">
        <v>0</v>
      </c>
      <c r="BB55" s="15">
        <v>0</v>
      </c>
      <c r="BC55" s="15">
        <v>0</v>
      </c>
    </row>
    <row r="56" spans="1:55" x14ac:dyDescent="0.35">
      <c r="A56" s="14" t="s">
        <v>51</v>
      </c>
      <c r="B56" s="15">
        <v>4</v>
      </c>
      <c r="C56" s="16">
        <v>24.956326428749691</v>
      </c>
      <c r="D56" s="15">
        <v>1</v>
      </c>
      <c r="E56" s="15">
        <v>3</v>
      </c>
      <c r="F56" s="15">
        <v>0</v>
      </c>
      <c r="G56" s="15">
        <v>0</v>
      </c>
      <c r="H56" s="15">
        <v>0</v>
      </c>
      <c r="I56" s="15">
        <v>0</v>
      </c>
      <c r="J56" s="15">
        <v>0</v>
      </c>
      <c r="K56" s="15">
        <v>0</v>
      </c>
      <c r="L56" s="15">
        <v>0</v>
      </c>
      <c r="M56" s="15">
        <v>0</v>
      </c>
      <c r="N56" s="15">
        <v>0</v>
      </c>
      <c r="O56" s="15">
        <v>0</v>
      </c>
      <c r="P56" s="15">
        <v>0</v>
      </c>
      <c r="Q56" s="15">
        <v>0</v>
      </c>
      <c r="R56" s="15">
        <v>0</v>
      </c>
      <c r="S56" s="15">
        <v>0</v>
      </c>
      <c r="T56" s="15">
        <v>0</v>
      </c>
      <c r="U56" s="15">
        <v>0</v>
      </c>
      <c r="V56" s="15">
        <v>0</v>
      </c>
      <c r="W56" s="15">
        <v>0</v>
      </c>
      <c r="X56" s="15">
        <v>0</v>
      </c>
      <c r="Y56" s="15">
        <v>0</v>
      </c>
      <c r="Z56" s="15">
        <v>0</v>
      </c>
      <c r="AA56" s="15">
        <v>0</v>
      </c>
      <c r="AB56" s="15">
        <v>0</v>
      </c>
      <c r="AC56" s="15">
        <v>0</v>
      </c>
      <c r="AD56" s="15">
        <v>0</v>
      </c>
      <c r="AE56" s="15">
        <v>0</v>
      </c>
      <c r="AF56" s="15">
        <v>0</v>
      </c>
      <c r="AG56" s="15">
        <v>0</v>
      </c>
      <c r="AH56" s="15">
        <v>0</v>
      </c>
      <c r="AI56" s="15">
        <v>0</v>
      </c>
      <c r="AJ56" s="15">
        <v>0</v>
      </c>
      <c r="AK56" s="15">
        <v>0</v>
      </c>
      <c r="AL56" s="15">
        <v>0</v>
      </c>
      <c r="AM56" s="15">
        <v>0</v>
      </c>
      <c r="AN56" s="15">
        <v>0</v>
      </c>
      <c r="AO56" s="15">
        <v>0</v>
      </c>
      <c r="AP56" s="15">
        <v>0</v>
      </c>
      <c r="AQ56" s="15">
        <v>0</v>
      </c>
      <c r="AR56" s="15">
        <v>0</v>
      </c>
      <c r="AS56" s="15">
        <v>0</v>
      </c>
      <c r="AT56" s="15">
        <v>0</v>
      </c>
      <c r="AU56" s="15">
        <v>0</v>
      </c>
      <c r="AV56" s="15">
        <v>0</v>
      </c>
      <c r="AW56" s="15">
        <v>0</v>
      </c>
      <c r="AX56" s="15">
        <v>0</v>
      </c>
      <c r="AY56" s="15">
        <v>0</v>
      </c>
      <c r="AZ56" s="15">
        <v>0</v>
      </c>
      <c r="BA56" s="15">
        <v>0</v>
      </c>
      <c r="BB56" s="15">
        <v>0</v>
      </c>
      <c r="BC56" s="15">
        <v>0</v>
      </c>
    </row>
    <row r="57" spans="1:55" x14ac:dyDescent="0.35">
      <c r="A57" s="14" t="s">
        <v>52</v>
      </c>
      <c r="B57" s="15">
        <v>23</v>
      </c>
      <c r="C57" s="16">
        <v>31.388176210491842</v>
      </c>
      <c r="D57" s="15">
        <v>0</v>
      </c>
      <c r="E57" s="15">
        <v>0</v>
      </c>
      <c r="F57" s="15">
        <v>0</v>
      </c>
      <c r="G57" s="15">
        <v>0</v>
      </c>
      <c r="H57" s="15">
        <v>1</v>
      </c>
      <c r="I57" s="15">
        <v>0</v>
      </c>
      <c r="J57" s="15">
        <v>0</v>
      </c>
      <c r="K57" s="15">
        <v>0</v>
      </c>
      <c r="L57" s="15">
        <v>0</v>
      </c>
      <c r="M57" s="15">
        <v>0</v>
      </c>
      <c r="N57" s="15">
        <v>0</v>
      </c>
      <c r="O57" s="15">
        <v>1</v>
      </c>
      <c r="P57" s="15">
        <v>0</v>
      </c>
      <c r="Q57" s="15">
        <v>0</v>
      </c>
      <c r="R57" s="15">
        <v>0</v>
      </c>
      <c r="S57" s="15">
        <v>1</v>
      </c>
      <c r="T57" s="15">
        <v>0</v>
      </c>
      <c r="U57" s="15">
        <v>0</v>
      </c>
      <c r="V57" s="15">
        <v>0</v>
      </c>
      <c r="W57" s="15">
        <v>0</v>
      </c>
      <c r="X57" s="15">
        <v>0</v>
      </c>
      <c r="Y57" s="15">
        <v>0</v>
      </c>
      <c r="Z57" s="15">
        <v>0</v>
      </c>
      <c r="AA57" s="15">
        <v>0</v>
      </c>
      <c r="AB57" s="15">
        <v>0</v>
      </c>
      <c r="AC57" s="15">
        <v>0</v>
      </c>
      <c r="AD57" s="15">
        <v>0</v>
      </c>
      <c r="AE57" s="15">
        <v>0</v>
      </c>
      <c r="AF57" s="15">
        <v>0</v>
      </c>
      <c r="AG57" s="15">
        <v>0</v>
      </c>
      <c r="AH57" s="15">
        <v>0</v>
      </c>
      <c r="AI57" s="15">
        <v>3</v>
      </c>
      <c r="AJ57" s="15">
        <v>2</v>
      </c>
      <c r="AK57" s="15">
        <v>0</v>
      </c>
      <c r="AL57" s="15">
        <v>1</v>
      </c>
      <c r="AM57" s="15">
        <v>0</v>
      </c>
      <c r="AN57" s="15">
        <v>0</v>
      </c>
      <c r="AO57" s="15">
        <v>0</v>
      </c>
      <c r="AP57" s="15">
        <v>0</v>
      </c>
      <c r="AQ57" s="15">
        <v>5</v>
      </c>
      <c r="AR57" s="15">
        <v>1</v>
      </c>
      <c r="AS57" s="15">
        <v>2</v>
      </c>
      <c r="AT57" s="15">
        <v>1</v>
      </c>
      <c r="AU57" s="15">
        <v>1</v>
      </c>
      <c r="AV57" s="15">
        <v>1</v>
      </c>
      <c r="AW57" s="15">
        <v>2</v>
      </c>
      <c r="AX57" s="15">
        <v>1</v>
      </c>
      <c r="AY57" s="15">
        <v>0</v>
      </c>
      <c r="AZ57" s="15">
        <v>0</v>
      </c>
      <c r="BA57" s="15">
        <v>0</v>
      </c>
      <c r="BB57" s="15">
        <v>0</v>
      </c>
      <c r="BC57" s="15">
        <v>0</v>
      </c>
    </row>
    <row r="58" spans="1:55" x14ac:dyDescent="0.35">
      <c r="A58" s="14" t="s">
        <v>53</v>
      </c>
      <c r="B58" s="15">
        <v>1</v>
      </c>
      <c r="C58" s="16">
        <v>6.7957866123003736</v>
      </c>
      <c r="D58" s="15">
        <v>0</v>
      </c>
      <c r="E58" s="15">
        <v>0</v>
      </c>
      <c r="F58" s="15">
        <v>1</v>
      </c>
      <c r="G58" s="15">
        <v>0</v>
      </c>
      <c r="H58" s="15">
        <v>0</v>
      </c>
      <c r="I58" s="15">
        <v>0</v>
      </c>
      <c r="J58" s="15">
        <v>0</v>
      </c>
      <c r="K58" s="15">
        <v>0</v>
      </c>
      <c r="L58" s="15">
        <v>0</v>
      </c>
      <c r="M58" s="15">
        <v>0</v>
      </c>
      <c r="N58" s="15">
        <v>0</v>
      </c>
      <c r="O58" s="15">
        <v>0</v>
      </c>
      <c r="P58" s="15">
        <v>0</v>
      </c>
      <c r="Q58" s="15">
        <v>0</v>
      </c>
      <c r="R58" s="15">
        <v>0</v>
      </c>
      <c r="S58" s="15">
        <v>0</v>
      </c>
      <c r="T58" s="15">
        <v>0</v>
      </c>
      <c r="U58" s="15">
        <v>0</v>
      </c>
      <c r="V58" s="15">
        <v>0</v>
      </c>
      <c r="W58" s="15">
        <v>0</v>
      </c>
      <c r="X58" s="15">
        <v>0</v>
      </c>
      <c r="Y58" s="15">
        <v>0</v>
      </c>
      <c r="Z58" s="15">
        <v>0</v>
      </c>
      <c r="AA58" s="15">
        <v>0</v>
      </c>
      <c r="AB58" s="15">
        <v>0</v>
      </c>
      <c r="AC58" s="15">
        <v>0</v>
      </c>
      <c r="AD58" s="15">
        <v>0</v>
      </c>
      <c r="AE58" s="15">
        <v>0</v>
      </c>
      <c r="AF58" s="15">
        <v>0</v>
      </c>
      <c r="AG58" s="15">
        <v>0</v>
      </c>
      <c r="AH58" s="15">
        <v>0</v>
      </c>
      <c r="AI58" s="15">
        <v>0</v>
      </c>
      <c r="AJ58" s="15">
        <v>0</v>
      </c>
      <c r="AK58" s="15">
        <v>0</v>
      </c>
      <c r="AL58" s="15">
        <v>0</v>
      </c>
      <c r="AM58" s="15">
        <v>0</v>
      </c>
      <c r="AN58" s="15">
        <v>0</v>
      </c>
      <c r="AO58" s="15">
        <v>0</v>
      </c>
      <c r="AP58" s="15">
        <v>0</v>
      </c>
      <c r="AQ58" s="15">
        <v>0</v>
      </c>
      <c r="AR58" s="15">
        <v>0</v>
      </c>
      <c r="AS58" s="15">
        <v>0</v>
      </c>
      <c r="AT58" s="15">
        <v>0</v>
      </c>
      <c r="AU58" s="15">
        <v>0</v>
      </c>
      <c r="AV58" s="15">
        <v>0</v>
      </c>
      <c r="AW58" s="15">
        <v>0</v>
      </c>
      <c r="AX58" s="15">
        <v>0</v>
      </c>
      <c r="AY58" s="15">
        <v>0</v>
      </c>
      <c r="AZ58" s="15">
        <v>0</v>
      </c>
      <c r="BA58" s="15">
        <v>0</v>
      </c>
      <c r="BB58" s="15">
        <v>0</v>
      </c>
      <c r="BC58" s="15">
        <v>0</v>
      </c>
    </row>
    <row r="59" spans="1:55" x14ac:dyDescent="0.35">
      <c r="A59" s="14" t="s">
        <v>54</v>
      </c>
      <c r="B59" s="15">
        <v>2</v>
      </c>
      <c r="C59" s="16">
        <v>4.2060988433228186</v>
      </c>
      <c r="D59" s="15">
        <v>0</v>
      </c>
      <c r="E59" s="15">
        <v>0</v>
      </c>
      <c r="F59" s="15">
        <v>0</v>
      </c>
      <c r="G59" s="15">
        <v>0</v>
      </c>
      <c r="H59" s="15">
        <v>0</v>
      </c>
      <c r="I59" s="15">
        <v>0</v>
      </c>
      <c r="J59" s="15">
        <v>0</v>
      </c>
      <c r="K59" s="15">
        <v>1</v>
      </c>
      <c r="L59" s="15">
        <v>0</v>
      </c>
      <c r="M59" s="15">
        <v>0</v>
      </c>
      <c r="N59" s="15">
        <v>0</v>
      </c>
      <c r="O59" s="15">
        <v>0</v>
      </c>
      <c r="P59" s="15">
        <v>0</v>
      </c>
      <c r="Q59" s="15">
        <v>0</v>
      </c>
      <c r="R59" s="15">
        <v>0</v>
      </c>
      <c r="S59" s="15">
        <v>0</v>
      </c>
      <c r="T59" s="15">
        <v>0</v>
      </c>
      <c r="U59" s="15">
        <v>0</v>
      </c>
      <c r="V59" s="15">
        <v>0</v>
      </c>
      <c r="W59" s="15">
        <v>0</v>
      </c>
      <c r="X59" s="15">
        <v>1</v>
      </c>
      <c r="Y59" s="15">
        <v>0</v>
      </c>
      <c r="Z59" s="15">
        <v>0</v>
      </c>
      <c r="AA59" s="15">
        <v>0</v>
      </c>
      <c r="AB59" s="15">
        <v>0</v>
      </c>
      <c r="AC59" s="15">
        <v>0</v>
      </c>
      <c r="AD59" s="15">
        <v>0</v>
      </c>
      <c r="AE59" s="15">
        <v>0</v>
      </c>
      <c r="AF59" s="15">
        <v>0</v>
      </c>
      <c r="AG59" s="15">
        <v>0</v>
      </c>
      <c r="AH59" s="15">
        <v>0</v>
      </c>
      <c r="AI59" s="15">
        <v>0</v>
      </c>
      <c r="AJ59" s="15">
        <v>0</v>
      </c>
      <c r="AK59" s="15">
        <v>0</v>
      </c>
      <c r="AL59" s="15">
        <v>0</v>
      </c>
      <c r="AM59" s="15">
        <v>0</v>
      </c>
      <c r="AN59" s="15">
        <v>0</v>
      </c>
      <c r="AO59" s="15">
        <v>0</v>
      </c>
      <c r="AP59" s="15">
        <v>0</v>
      </c>
      <c r="AQ59" s="15">
        <v>0</v>
      </c>
      <c r="AR59" s="15">
        <v>0</v>
      </c>
      <c r="AS59" s="15">
        <v>0</v>
      </c>
      <c r="AT59" s="15">
        <v>0</v>
      </c>
      <c r="AU59" s="15">
        <v>0</v>
      </c>
      <c r="AV59" s="15">
        <v>0</v>
      </c>
      <c r="AW59" s="15">
        <v>0</v>
      </c>
      <c r="AX59" s="15">
        <v>0</v>
      </c>
      <c r="AY59" s="15">
        <v>0</v>
      </c>
      <c r="AZ59" s="15">
        <v>0</v>
      </c>
      <c r="BA59" s="15">
        <v>0</v>
      </c>
      <c r="BB59" s="15">
        <v>0</v>
      </c>
      <c r="BC59" s="15">
        <v>0</v>
      </c>
    </row>
    <row r="60" spans="1:55" x14ac:dyDescent="0.35">
      <c r="A60" s="14" t="s">
        <v>55</v>
      </c>
      <c r="B60" s="15">
        <v>0</v>
      </c>
      <c r="C60" s="16">
        <v>0</v>
      </c>
      <c r="D60" s="15">
        <v>0</v>
      </c>
      <c r="E60" s="15">
        <v>0</v>
      </c>
      <c r="F60" s="15">
        <v>0</v>
      </c>
      <c r="G60" s="15">
        <v>0</v>
      </c>
      <c r="H60" s="15">
        <v>0</v>
      </c>
      <c r="I60" s="15">
        <v>0</v>
      </c>
      <c r="J60" s="15">
        <v>0</v>
      </c>
      <c r="K60" s="15">
        <v>0</v>
      </c>
      <c r="L60" s="15">
        <v>0</v>
      </c>
      <c r="M60" s="15">
        <v>0</v>
      </c>
      <c r="N60" s="15">
        <v>0</v>
      </c>
      <c r="O60" s="15">
        <v>0</v>
      </c>
      <c r="P60" s="15">
        <v>0</v>
      </c>
      <c r="Q60" s="15">
        <v>0</v>
      </c>
      <c r="R60" s="15">
        <v>0</v>
      </c>
      <c r="S60" s="15">
        <v>0</v>
      </c>
      <c r="T60" s="15">
        <v>0</v>
      </c>
      <c r="U60" s="15">
        <v>0</v>
      </c>
      <c r="V60" s="15">
        <v>0</v>
      </c>
      <c r="W60" s="15">
        <v>0</v>
      </c>
      <c r="X60" s="15">
        <v>0</v>
      </c>
      <c r="Y60" s="15">
        <v>0</v>
      </c>
      <c r="Z60" s="15">
        <v>0</v>
      </c>
      <c r="AA60" s="15">
        <v>0</v>
      </c>
      <c r="AB60" s="15">
        <v>0</v>
      </c>
      <c r="AC60" s="15">
        <v>0</v>
      </c>
      <c r="AD60" s="15">
        <v>0</v>
      </c>
      <c r="AE60" s="15">
        <v>0</v>
      </c>
      <c r="AF60" s="15">
        <v>0</v>
      </c>
      <c r="AG60" s="15">
        <v>0</v>
      </c>
      <c r="AH60" s="15">
        <v>0</v>
      </c>
      <c r="AI60" s="15">
        <v>0</v>
      </c>
      <c r="AJ60" s="15">
        <v>0</v>
      </c>
      <c r="AK60" s="15">
        <v>0</v>
      </c>
      <c r="AL60" s="15">
        <v>0</v>
      </c>
      <c r="AM60" s="15">
        <v>0</v>
      </c>
      <c r="AN60" s="15">
        <v>0</v>
      </c>
      <c r="AO60" s="15">
        <v>0</v>
      </c>
      <c r="AP60" s="15">
        <v>0</v>
      </c>
      <c r="AQ60" s="15">
        <v>0</v>
      </c>
      <c r="AR60" s="15">
        <v>0</v>
      </c>
      <c r="AS60" s="15">
        <v>0</v>
      </c>
      <c r="AT60" s="15">
        <v>0</v>
      </c>
      <c r="AU60" s="15">
        <v>0</v>
      </c>
      <c r="AV60" s="15">
        <v>0</v>
      </c>
      <c r="AW60" s="15">
        <v>0</v>
      </c>
      <c r="AX60" s="15">
        <v>0</v>
      </c>
      <c r="AY60" s="15">
        <v>0</v>
      </c>
      <c r="AZ60" s="15">
        <v>0</v>
      </c>
      <c r="BA60" s="15">
        <v>0</v>
      </c>
      <c r="BB60" s="15">
        <v>0</v>
      </c>
      <c r="BC60" s="15">
        <v>0</v>
      </c>
    </row>
    <row r="61" spans="1:55" x14ac:dyDescent="0.35">
      <c r="A61" s="14"/>
      <c r="B61" s="12"/>
      <c r="C61" s="13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</row>
    <row r="62" spans="1:55" x14ac:dyDescent="0.35">
      <c r="A62" s="1" t="s">
        <v>56</v>
      </c>
      <c r="B62" s="10">
        <v>163</v>
      </c>
      <c r="C62" s="11">
        <v>33.736655393518419</v>
      </c>
      <c r="D62" s="10">
        <v>14</v>
      </c>
      <c r="E62" s="10">
        <v>10</v>
      </c>
      <c r="F62" s="10">
        <v>5</v>
      </c>
      <c r="G62" s="10">
        <v>7</v>
      </c>
      <c r="H62" s="10">
        <v>7</v>
      </c>
      <c r="I62" s="10">
        <v>3</v>
      </c>
      <c r="J62" s="10">
        <v>1</v>
      </c>
      <c r="K62" s="10">
        <v>1</v>
      </c>
      <c r="L62" s="10">
        <v>4</v>
      </c>
      <c r="M62" s="10">
        <v>3</v>
      </c>
      <c r="N62" s="10">
        <v>0</v>
      </c>
      <c r="O62" s="10">
        <v>2</v>
      </c>
      <c r="P62" s="10">
        <v>3</v>
      </c>
      <c r="Q62" s="10">
        <v>1</v>
      </c>
      <c r="R62" s="10">
        <v>3</v>
      </c>
      <c r="S62" s="10">
        <v>0</v>
      </c>
      <c r="T62" s="10">
        <v>0</v>
      </c>
      <c r="U62" s="10">
        <v>1</v>
      </c>
      <c r="V62" s="10">
        <v>0</v>
      </c>
      <c r="W62" s="10">
        <v>4</v>
      </c>
      <c r="X62" s="10">
        <v>1</v>
      </c>
      <c r="Y62" s="10">
        <v>1</v>
      </c>
      <c r="Z62" s="10">
        <v>3</v>
      </c>
      <c r="AA62" s="10">
        <v>2</v>
      </c>
      <c r="AB62" s="10">
        <v>3</v>
      </c>
      <c r="AC62" s="10">
        <v>2</v>
      </c>
      <c r="AD62" s="10">
        <v>6</v>
      </c>
      <c r="AE62" s="10">
        <v>5</v>
      </c>
      <c r="AF62" s="10">
        <v>2</v>
      </c>
      <c r="AG62" s="10">
        <v>4</v>
      </c>
      <c r="AH62" s="10">
        <v>2</v>
      </c>
      <c r="AI62" s="10">
        <v>4</v>
      </c>
      <c r="AJ62" s="10">
        <v>2</v>
      </c>
      <c r="AK62" s="10">
        <v>7</v>
      </c>
      <c r="AL62" s="10">
        <v>3</v>
      </c>
      <c r="AM62" s="10">
        <v>2</v>
      </c>
      <c r="AN62" s="10">
        <v>4</v>
      </c>
      <c r="AO62" s="10">
        <v>5</v>
      </c>
      <c r="AP62" s="10">
        <v>0</v>
      </c>
      <c r="AQ62" s="10">
        <v>1</v>
      </c>
      <c r="AR62" s="10">
        <v>3</v>
      </c>
      <c r="AS62" s="10">
        <v>2</v>
      </c>
      <c r="AT62" s="10">
        <v>5</v>
      </c>
      <c r="AU62" s="10">
        <v>3</v>
      </c>
      <c r="AV62" s="10">
        <v>1</v>
      </c>
      <c r="AW62" s="10">
        <v>3</v>
      </c>
      <c r="AX62" s="10">
        <v>7</v>
      </c>
      <c r="AY62" s="10">
        <v>2</v>
      </c>
      <c r="AZ62" s="10">
        <v>0</v>
      </c>
      <c r="BA62" s="10">
        <v>2</v>
      </c>
      <c r="BB62" s="10">
        <v>3</v>
      </c>
      <c r="BC62" s="10">
        <v>4</v>
      </c>
    </row>
    <row r="63" spans="1:55" x14ac:dyDescent="0.35">
      <c r="A63" s="14" t="s">
        <v>57</v>
      </c>
      <c r="B63" s="15">
        <v>6</v>
      </c>
      <c r="C63" s="16">
        <v>4.4905473977277826</v>
      </c>
      <c r="D63" s="15">
        <v>3</v>
      </c>
      <c r="E63" s="15">
        <v>0</v>
      </c>
      <c r="F63" s="15">
        <v>1</v>
      </c>
      <c r="G63" s="15">
        <v>0</v>
      </c>
      <c r="H63" s="15">
        <v>0</v>
      </c>
      <c r="I63" s="15">
        <v>0</v>
      </c>
      <c r="J63" s="15">
        <v>0</v>
      </c>
      <c r="K63" s="15">
        <v>0</v>
      </c>
      <c r="L63" s="15">
        <v>1</v>
      </c>
      <c r="M63" s="15">
        <v>0</v>
      </c>
      <c r="N63" s="15">
        <v>0</v>
      </c>
      <c r="O63" s="15">
        <v>0</v>
      </c>
      <c r="P63" s="15">
        <v>0</v>
      </c>
      <c r="Q63" s="15">
        <v>0</v>
      </c>
      <c r="R63" s="15">
        <v>0</v>
      </c>
      <c r="S63" s="15">
        <v>0</v>
      </c>
      <c r="T63" s="15">
        <v>0</v>
      </c>
      <c r="U63" s="15">
        <v>0</v>
      </c>
      <c r="V63" s="15">
        <v>0</v>
      </c>
      <c r="W63" s="15">
        <v>0</v>
      </c>
      <c r="X63" s="15">
        <v>0</v>
      </c>
      <c r="Y63" s="15">
        <v>0</v>
      </c>
      <c r="Z63" s="15">
        <v>0</v>
      </c>
      <c r="AA63" s="15">
        <v>0</v>
      </c>
      <c r="AB63" s="15">
        <v>0</v>
      </c>
      <c r="AC63" s="15">
        <v>0</v>
      </c>
      <c r="AD63" s="15">
        <v>0</v>
      </c>
      <c r="AE63" s="15">
        <v>0</v>
      </c>
      <c r="AF63" s="15">
        <v>0</v>
      </c>
      <c r="AG63" s="15">
        <v>0</v>
      </c>
      <c r="AH63" s="15">
        <v>0</v>
      </c>
      <c r="AI63" s="15">
        <v>0</v>
      </c>
      <c r="AJ63" s="15">
        <v>0</v>
      </c>
      <c r="AK63" s="15">
        <v>0</v>
      </c>
      <c r="AL63" s="15">
        <v>0</v>
      </c>
      <c r="AM63" s="15">
        <v>0</v>
      </c>
      <c r="AN63" s="15">
        <v>0</v>
      </c>
      <c r="AO63" s="15">
        <v>0</v>
      </c>
      <c r="AP63" s="15">
        <v>0</v>
      </c>
      <c r="AQ63" s="15">
        <v>0</v>
      </c>
      <c r="AR63" s="15">
        <v>0</v>
      </c>
      <c r="AS63" s="15">
        <v>0</v>
      </c>
      <c r="AT63" s="15">
        <v>1</v>
      </c>
      <c r="AU63" s="15">
        <v>0</v>
      </c>
      <c r="AV63" s="15">
        <v>0</v>
      </c>
      <c r="AW63" s="15">
        <v>0</v>
      </c>
      <c r="AX63" s="15">
        <v>0</v>
      </c>
      <c r="AY63" s="15">
        <v>0</v>
      </c>
      <c r="AZ63" s="15">
        <v>0</v>
      </c>
      <c r="BA63" s="15">
        <v>0</v>
      </c>
      <c r="BB63" s="15">
        <v>0</v>
      </c>
      <c r="BC63" s="15">
        <v>0</v>
      </c>
    </row>
    <row r="64" spans="1:55" x14ac:dyDescent="0.35">
      <c r="A64" s="14" t="s">
        <v>58</v>
      </c>
      <c r="B64" s="15">
        <v>8</v>
      </c>
      <c r="C64" s="16">
        <v>18.55717930874507</v>
      </c>
      <c r="D64" s="15">
        <v>1</v>
      </c>
      <c r="E64" s="15">
        <v>1</v>
      </c>
      <c r="F64" s="15">
        <v>0</v>
      </c>
      <c r="G64" s="15">
        <v>1</v>
      </c>
      <c r="H64" s="15">
        <v>2</v>
      </c>
      <c r="I64" s="15">
        <v>2</v>
      </c>
      <c r="J64" s="15">
        <v>1</v>
      </c>
      <c r="K64" s="15">
        <v>0</v>
      </c>
      <c r="L64" s="15">
        <v>0</v>
      </c>
      <c r="M64" s="15">
        <v>0</v>
      </c>
      <c r="N64" s="15">
        <v>0</v>
      </c>
      <c r="O64" s="15">
        <v>0</v>
      </c>
      <c r="P64" s="15">
        <v>0</v>
      </c>
      <c r="Q64" s="15">
        <v>0</v>
      </c>
      <c r="R64" s="15">
        <v>0</v>
      </c>
      <c r="S64" s="15">
        <v>0</v>
      </c>
      <c r="T64" s="15">
        <v>0</v>
      </c>
      <c r="U64" s="15">
        <v>0</v>
      </c>
      <c r="V64" s="15">
        <v>0</v>
      </c>
      <c r="W64" s="15">
        <v>0</v>
      </c>
      <c r="X64" s="15">
        <v>0</v>
      </c>
      <c r="Y64" s="15">
        <v>0</v>
      </c>
      <c r="Z64" s="15">
        <v>0</v>
      </c>
      <c r="AA64" s="15">
        <v>0</v>
      </c>
      <c r="AB64" s="15">
        <v>0</v>
      </c>
      <c r="AC64" s="15">
        <v>0</v>
      </c>
      <c r="AD64" s="15">
        <v>0</v>
      </c>
      <c r="AE64" s="15">
        <v>0</v>
      </c>
      <c r="AF64" s="15">
        <v>0</v>
      </c>
      <c r="AG64" s="15">
        <v>0</v>
      </c>
      <c r="AH64" s="15">
        <v>0</v>
      </c>
      <c r="AI64" s="15">
        <v>0</v>
      </c>
      <c r="AJ64" s="15">
        <v>0</v>
      </c>
      <c r="AK64" s="15">
        <v>0</v>
      </c>
      <c r="AL64" s="15">
        <v>0</v>
      </c>
      <c r="AM64" s="15">
        <v>0</v>
      </c>
      <c r="AN64" s="15">
        <v>0</v>
      </c>
      <c r="AO64" s="15">
        <v>0</v>
      </c>
      <c r="AP64" s="15">
        <v>0</v>
      </c>
      <c r="AQ64" s="15">
        <v>0</v>
      </c>
      <c r="AR64" s="15">
        <v>0</v>
      </c>
      <c r="AS64" s="15">
        <v>0</v>
      </c>
      <c r="AT64" s="15">
        <v>0</v>
      </c>
      <c r="AU64" s="15">
        <v>0</v>
      </c>
      <c r="AV64" s="15">
        <v>0</v>
      </c>
      <c r="AW64" s="15">
        <v>0</v>
      </c>
      <c r="AX64" s="15">
        <v>0</v>
      </c>
      <c r="AY64" s="15">
        <v>0</v>
      </c>
      <c r="AZ64" s="15">
        <v>0</v>
      </c>
      <c r="BA64" s="15">
        <v>0</v>
      </c>
      <c r="BB64" s="15">
        <v>0</v>
      </c>
      <c r="BC64" s="15">
        <v>0</v>
      </c>
    </row>
    <row r="65" spans="1:55" x14ac:dyDescent="0.35">
      <c r="A65" s="14" t="s">
        <v>59</v>
      </c>
      <c r="B65" s="15">
        <v>5</v>
      </c>
      <c r="C65" s="16">
        <v>10.831654426897165</v>
      </c>
      <c r="D65" s="15">
        <v>0</v>
      </c>
      <c r="E65" s="15">
        <v>1</v>
      </c>
      <c r="F65" s="15">
        <v>1</v>
      </c>
      <c r="G65" s="15">
        <v>1</v>
      </c>
      <c r="H65" s="15">
        <v>0</v>
      </c>
      <c r="I65" s="15">
        <v>0</v>
      </c>
      <c r="J65" s="15">
        <v>0</v>
      </c>
      <c r="K65" s="15">
        <v>0</v>
      </c>
      <c r="L65" s="15">
        <v>0</v>
      </c>
      <c r="M65" s="15">
        <v>0</v>
      </c>
      <c r="N65" s="15">
        <v>0</v>
      </c>
      <c r="O65" s="15">
        <v>0</v>
      </c>
      <c r="P65" s="15">
        <v>0</v>
      </c>
      <c r="Q65" s="15">
        <v>0</v>
      </c>
      <c r="R65" s="15">
        <v>0</v>
      </c>
      <c r="S65" s="15">
        <v>0</v>
      </c>
      <c r="T65" s="15">
        <v>0</v>
      </c>
      <c r="U65" s="15">
        <v>0</v>
      </c>
      <c r="V65" s="15">
        <v>0</v>
      </c>
      <c r="W65" s="15">
        <v>0</v>
      </c>
      <c r="X65" s="15">
        <v>0</v>
      </c>
      <c r="Y65" s="15">
        <v>0</v>
      </c>
      <c r="Z65" s="15">
        <v>1</v>
      </c>
      <c r="AA65" s="15">
        <v>0</v>
      </c>
      <c r="AB65" s="15">
        <v>0</v>
      </c>
      <c r="AC65" s="15">
        <v>0</v>
      </c>
      <c r="AD65" s="15">
        <v>0</v>
      </c>
      <c r="AE65" s="15">
        <v>0</v>
      </c>
      <c r="AF65" s="15">
        <v>0</v>
      </c>
      <c r="AG65" s="15">
        <v>0</v>
      </c>
      <c r="AH65" s="15">
        <v>0</v>
      </c>
      <c r="AI65" s="15">
        <v>0</v>
      </c>
      <c r="AJ65" s="15">
        <v>0</v>
      </c>
      <c r="AK65" s="15">
        <v>0</v>
      </c>
      <c r="AL65" s="15">
        <v>0</v>
      </c>
      <c r="AM65" s="15">
        <v>0</v>
      </c>
      <c r="AN65" s="15">
        <v>0</v>
      </c>
      <c r="AO65" s="15">
        <v>0</v>
      </c>
      <c r="AP65" s="15">
        <v>0</v>
      </c>
      <c r="AQ65" s="15">
        <v>0</v>
      </c>
      <c r="AR65" s="15">
        <v>0</v>
      </c>
      <c r="AS65" s="15">
        <v>0</v>
      </c>
      <c r="AT65" s="15">
        <v>0</v>
      </c>
      <c r="AU65" s="15">
        <v>1</v>
      </c>
      <c r="AV65" s="15">
        <v>0</v>
      </c>
      <c r="AW65" s="15">
        <v>0</v>
      </c>
      <c r="AX65" s="15">
        <v>0</v>
      </c>
      <c r="AY65" s="15">
        <v>0</v>
      </c>
      <c r="AZ65" s="15">
        <v>0</v>
      </c>
      <c r="BA65" s="15">
        <v>0</v>
      </c>
      <c r="BB65" s="15">
        <v>0</v>
      </c>
      <c r="BC65" s="15">
        <v>0</v>
      </c>
    </row>
    <row r="66" spans="1:55" x14ac:dyDescent="0.35">
      <c r="A66" s="14" t="s">
        <v>60</v>
      </c>
      <c r="B66" s="15">
        <v>9</v>
      </c>
      <c r="C66" s="16">
        <v>22.941041523285158</v>
      </c>
      <c r="D66" s="15">
        <v>0</v>
      </c>
      <c r="E66" s="15">
        <v>1</v>
      </c>
      <c r="F66" s="15">
        <v>0</v>
      </c>
      <c r="G66" s="15">
        <v>0</v>
      </c>
      <c r="H66" s="15">
        <v>0</v>
      </c>
      <c r="I66" s="15">
        <v>0</v>
      </c>
      <c r="J66" s="15">
        <v>0</v>
      </c>
      <c r="K66" s="15">
        <v>0</v>
      </c>
      <c r="L66" s="15">
        <v>0</v>
      </c>
      <c r="M66" s="15">
        <v>0</v>
      </c>
      <c r="N66" s="15">
        <v>0</v>
      </c>
      <c r="O66" s="15">
        <v>0</v>
      </c>
      <c r="P66" s="15">
        <v>0</v>
      </c>
      <c r="Q66" s="15">
        <v>0</v>
      </c>
      <c r="R66" s="15">
        <v>0</v>
      </c>
      <c r="S66" s="15">
        <v>0</v>
      </c>
      <c r="T66" s="15">
        <v>0</v>
      </c>
      <c r="U66" s="15">
        <v>0</v>
      </c>
      <c r="V66" s="15">
        <v>0</v>
      </c>
      <c r="W66" s="15">
        <v>0</v>
      </c>
      <c r="X66" s="15">
        <v>0</v>
      </c>
      <c r="Y66" s="15">
        <v>0</v>
      </c>
      <c r="Z66" s="15">
        <v>0</v>
      </c>
      <c r="AA66" s="15">
        <v>0</v>
      </c>
      <c r="AB66" s="15">
        <v>0</v>
      </c>
      <c r="AC66" s="15">
        <v>1</v>
      </c>
      <c r="AD66" s="15">
        <v>1</v>
      </c>
      <c r="AE66" s="15">
        <v>0</v>
      </c>
      <c r="AF66" s="15">
        <v>0</v>
      </c>
      <c r="AG66" s="15">
        <v>2</v>
      </c>
      <c r="AH66" s="15">
        <v>0</v>
      </c>
      <c r="AI66" s="15">
        <v>1</v>
      </c>
      <c r="AJ66" s="15">
        <v>0</v>
      </c>
      <c r="AK66" s="15">
        <v>1</v>
      </c>
      <c r="AL66" s="15">
        <v>0</v>
      </c>
      <c r="AM66" s="15">
        <v>0</v>
      </c>
      <c r="AN66" s="15">
        <v>0</v>
      </c>
      <c r="AO66" s="15">
        <v>1</v>
      </c>
      <c r="AP66" s="15">
        <v>0</v>
      </c>
      <c r="AQ66" s="15">
        <v>0</v>
      </c>
      <c r="AR66" s="15">
        <v>0</v>
      </c>
      <c r="AS66" s="15">
        <v>0</v>
      </c>
      <c r="AT66" s="15">
        <v>0</v>
      </c>
      <c r="AU66" s="15">
        <v>0</v>
      </c>
      <c r="AV66" s="15">
        <v>0</v>
      </c>
      <c r="AW66" s="15">
        <v>0</v>
      </c>
      <c r="AX66" s="15">
        <v>1</v>
      </c>
      <c r="AY66" s="15">
        <v>0</v>
      </c>
      <c r="AZ66" s="15">
        <v>0</v>
      </c>
      <c r="BA66" s="15">
        <v>0</v>
      </c>
      <c r="BB66" s="15">
        <v>0</v>
      </c>
      <c r="BC66" s="15">
        <v>0</v>
      </c>
    </row>
    <row r="67" spans="1:55" x14ac:dyDescent="0.35">
      <c r="A67" s="14" t="s">
        <v>61</v>
      </c>
      <c r="B67" s="15">
        <v>12</v>
      </c>
      <c r="C67" s="16">
        <v>23.516500744689193</v>
      </c>
      <c r="D67" s="15">
        <v>0</v>
      </c>
      <c r="E67" s="15">
        <v>0</v>
      </c>
      <c r="F67" s="15">
        <v>0</v>
      </c>
      <c r="G67" s="15">
        <v>0</v>
      </c>
      <c r="H67" s="15">
        <v>1</v>
      </c>
      <c r="I67" s="15">
        <v>0</v>
      </c>
      <c r="J67" s="15">
        <v>0</v>
      </c>
      <c r="K67" s="15">
        <v>1</v>
      </c>
      <c r="L67" s="15">
        <v>0</v>
      </c>
      <c r="M67" s="15">
        <v>0</v>
      </c>
      <c r="N67" s="15">
        <v>0</v>
      </c>
      <c r="O67" s="15">
        <v>0</v>
      </c>
      <c r="P67" s="15">
        <v>1</v>
      </c>
      <c r="Q67" s="15">
        <v>0</v>
      </c>
      <c r="R67" s="15">
        <v>0</v>
      </c>
      <c r="S67" s="15">
        <v>0</v>
      </c>
      <c r="T67" s="15">
        <v>0</v>
      </c>
      <c r="U67" s="15">
        <v>0</v>
      </c>
      <c r="V67" s="15">
        <v>0</v>
      </c>
      <c r="W67" s="15">
        <v>0</v>
      </c>
      <c r="X67" s="15">
        <v>0</v>
      </c>
      <c r="Y67" s="15">
        <v>0</v>
      </c>
      <c r="Z67" s="15">
        <v>0</v>
      </c>
      <c r="AA67" s="15">
        <v>0</v>
      </c>
      <c r="AB67" s="15">
        <v>0</v>
      </c>
      <c r="AC67" s="15">
        <v>0</v>
      </c>
      <c r="AD67" s="15">
        <v>0</v>
      </c>
      <c r="AE67" s="15">
        <v>0</v>
      </c>
      <c r="AF67" s="15">
        <v>0</v>
      </c>
      <c r="AG67" s="15">
        <v>0</v>
      </c>
      <c r="AH67" s="15">
        <v>0</v>
      </c>
      <c r="AI67" s="15">
        <v>0</v>
      </c>
      <c r="AJ67" s="15">
        <v>1</v>
      </c>
      <c r="AK67" s="15">
        <v>0</v>
      </c>
      <c r="AL67" s="15">
        <v>0</v>
      </c>
      <c r="AM67" s="15">
        <v>0</v>
      </c>
      <c r="AN67" s="15">
        <v>0</v>
      </c>
      <c r="AO67" s="15">
        <v>3</v>
      </c>
      <c r="AP67" s="15">
        <v>0</v>
      </c>
      <c r="AQ67" s="15">
        <v>0</v>
      </c>
      <c r="AR67" s="15">
        <v>1</v>
      </c>
      <c r="AS67" s="15">
        <v>0</v>
      </c>
      <c r="AT67" s="15">
        <v>2</v>
      </c>
      <c r="AU67" s="15">
        <v>1</v>
      </c>
      <c r="AV67" s="15">
        <v>0</v>
      </c>
      <c r="AW67" s="15">
        <v>0</v>
      </c>
      <c r="AX67" s="15">
        <v>1</v>
      </c>
      <c r="AY67" s="15">
        <v>0</v>
      </c>
      <c r="AZ67" s="15">
        <v>0</v>
      </c>
      <c r="BA67" s="15">
        <v>0</v>
      </c>
      <c r="BB67" s="15">
        <v>0</v>
      </c>
      <c r="BC67" s="15">
        <v>0</v>
      </c>
    </row>
    <row r="68" spans="1:55" x14ac:dyDescent="0.35">
      <c r="A68" s="14" t="s">
        <v>62</v>
      </c>
      <c r="B68" s="15">
        <v>0</v>
      </c>
      <c r="C68" s="16">
        <v>0</v>
      </c>
      <c r="D68" s="15">
        <v>0</v>
      </c>
      <c r="E68" s="15">
        <v>0</v>
      </c>
      <c r="F68" s="15">
        <v>0</v>
      </c>
      <c r="G68" s="15">
        <v>0</v>
      </c>
      <c r="H68" s="15">
        <v>0</v>
      </c>
      <c r="I68" s="15">
        <v>0</v>
      </c>
      <c r="J68" s="15">
        <v>0</v>
      </c>
      <c r="K68" s="15">
        <v>0</v>
      </c>
      <c r="L68" s="15">
        <v>0</v>
      </c>
      <c r="M68" s="15">
        <v>0</v>
      </c>
      <c r="N68" s="15">
        <v>0</v>
      </c>
      <c r="O68" s="15">
        <v>0</v>
      </c>
      <c r="P68" s="15">
        <v>0</v>
      </c>
      <c r="Q68" s="15">
        <v>0</v>
      </c>
      <c r="R68" s="15">
        <v>0</v>
      </c>
      <c r="S68" s="15">
        <v>0</v>
      </c>
      <c r="T68" s="15">
        <v>0</v>
      </c>
      <c r="U68" s="15">
        <v>0</v>
      </c>
      <c r="V68" s="15">
        <v>0</v>
      </c>
      <c r="W68" s="15">
        <v>0</v>
      </c>
      <c r="X68" s="15">
        <v>0</v>
      </c>
      <c r="Y68" s="15">
        <v>0</v>
      </c>
      <c r="Z68" s="15">
        <v>0</v>
      </c>
      <c r="AA68" s="15">
        <v>0</v>
      </c>
      <c r="AB68" s="15">
        <v>0</v>
      </c>
      <c r="AC68" s="15">
        <v>0</v>
      </c>
      <c r="AD68" s="15">
        <v>0</v>
      </c>
      <c r="AE68" s="15">
        <v>0</v>
      </c>
      <c r="AF68" s="15">
        <v>0</v>
      </c>
      <c r="AG68" s="15">
        <v>0</v>
      </c>
      <c r="AH68" s="15">
        <v>0</v>
      </c>
      <c r="AI68" s="15">
        <v>0</v>
      </c>
      <c r="AJ68" s="15">
        <v>0</v>
      </c>
      <c r="AK68" s="15">
        <v>0</v>
      </c>
      <c r="AL68" s="15">
        <v>0</v>
      </c>
      <c r="AM68" s="15">
        <v>0</v>
      </c>
      <c r="AN68" s="15">
        <v>0</v>
      </c>
      <c r="AO68" s="15">
        <v>0</v>
      </c>
      <c r="AP68" s="15">
        <v>0</v>
      </c>
      <c r="AQ68" s="15">
        <v>0</v>
      </c>
      <c r="AR68" s="15">
        <v>0</v>
      </c>
      <c r="AS68" s="15">
        <v>0</v>
      </c>
      <c r="AT68" s="15">
        <v>0</v>
      </c>
      <c r="AU68" s="15">
        <v>0</v>
      </c>
      <c r="AV68" s="15">
        <v>0</v>
      </c>
      <c r="AW68" s="15">
        <v>0</v>
      </c>
      <c r="AX68" s="15">
        <v>0</v>
      </c>
      <c r="AY68" s="15">
        <v>0</v>
      </c>
      <c r="AZ68" s="15">
        <v>0</v>
      </c>
      <c r="BA68" s="15">
        <v>0</v>
      </c>
      <c r="BB68" s="15">
        <v>0</v>
      </c>
      <c r="BC68" s="15">
        <v>0</v>
      </c>
    </row>
    <row r="69" spans="1:55" x14ac:dyDescent="0.35">
      <c r="A69" s="14" t="s">
        <v>63</v>
      </c>
      <c r="B69" s="15">
        <v>3</v>
      </c>
      <c r="C69" s="16">
        <v>11.988491048593351</v>
      </c>
      <c r="D69" s="15">
        <v>0</v>
      </c>
      <c r="E69" s="15">
        <v>1</v>
      </c>
      <c r="F69" s="15">
        <v>0</v>
      </c>
      <c r="G69" s="15">
        <v>0</v>
      </c>
      <c r="H69" s="15">
        <v>0</v>
      </c>
      <c r="I69" s="15">
        <v>0</v>
      </c>
      <c r="J69" s="15">
        <v>0</v>
      </c>
      <c r="K69" s="15">
        <v>0</v>
      </c>
      <c r="L69" s="15">
        <v>0</v>
      </c>
      <c r="M69" s="15">
        <v>1</v>
      </c>
      <c r="N69" s="15">
        <v>0</v>
      </c>
      <c r="O69" s="15">
        <v>0</v>
      </c>
      <c r="P69" s="15">
        <v>0</v>
      </c>
      <c r="Q69" s="15">
        <v>0</v>
      </c>
      <c r="R69" s="15">
        <v>0</v>
      </c>
      <c r="S69" s="15">
        <v>0</v>
      </c>
      <c r="T69" s="15">
        <v>0</v>
      </c>
      <c r="U69" s="15">
        <v>0</v>
      </c>
      <c r="V69" s="15">
        <v>0</v>
      </c>
      <c r="W69" s="15">
        <v>0</v>
      </c>
      <c r="X69" s="15">
        <v>0</v>
      </c>
      <c r="Y69" s="15">
        <v>0</v>
      </c>
      <c r="Z69" s="15">
        <v>0</v>
      </c>
      <c r="AA69" s="15">
        <v>0</v>
      </c>
      <c r="AB69" s="15">
        <v>0</v>
      </c>
      <c r="AC69" s="15">
        <v>0</v>
      </c>
      <c r="AD69" s="15">
        <v>0</v>
      </c>
      <c r="AE69" s="15">
        <v>0</v>
      </c>
      <c r="AF69" s="15">
        <v>0</v>
      </c>
      <c r="AG69" s="15">
        <v>0</v>
      </c>
      <c r="AH69" s="15">
        <v>0</v>
      </c>
      <c r="AI69" s="15">
        <v>0</v>
      </c>
      <c r="AJ69" s="15">
        <v>0</v>
      </c>
      <c r="AK69" s="15">
        <v>0</v>
      </c>
      <c r="AL69" s="15">
        <v>0</v>
      </c>
      <c r="AM69" s="15">
        <v>0</v>
      </c>
      <c r="AN69" s="15">
        <v>1</v>
      </c>
      <c r="AO69" s="15">
        <v>0</v>
      </c>
      <c r="AP69" s="15">
        <v>0</v>
      </c>
      <c r="AQ69" s="15">
        <v>0</v>
      </c>
      <c r="AR69" s="15">
        <v>0</v>
      </c>
      <c r="AS69" s="15">
        <v>0</v>
      </c>
      <c r="AT69" s="15">
        <v>0</v>
      </c>
      <c r="AU69" s="15">
        <v>0</v>
      </c>
      <c r="AV69" s="15">
        <v>0</v>
      </c>
      <c r="AW69" s="15">
        <v>0</v>
      </c>
      <c r="AX69" s="15">
        <v>0</v>
      </c>
      <c r="AY69" s="15">
        <v>0</v>
      </c>
      <c r="AZ69" s="15">
        <v>0</v>
      </c>
      <c r="BA69" s="15">
        <v>0</v>
      </c>
      <c r="BB69" s="15">
        <v>0</v>
      </c>
      <c r="BC69" s="15">
        <v>0</v>
      </c>
    </row>
    <row r="70" spans="1:55" x14ac:dyDescent="0.35">
      <c r="A70" s="14" t="s">
        <v>64</v>
      </c>
      <c r="B70" s="15">
        <v>4</v>
      </c>
      <c r="C70" s="16">
        <v>17.311520817103784</v>
      </c>
      <c r="D70" s="15">
        <v>1</v>
      </c>
      <c r="E70" s="15">
        <v>0</v>
      </c>
      <c r="F70" s="15">
        <v>0</v>
      </c>
      <c r="G70" s="15">
        <v>0</v>
      </c>
      <c r="H70" s="15">
        <v>0</v>
      </c>
      <c r="I70" s="15">
        <v>0</v>
      </c>
      <c r="J70" s="15">
        <v>0</v>
      </c>
      <c r="K70" s="15">
        <v>0</v>
      </c>
      <c r="L70" s="15">
        <v>0</v>
      </c>
      <c r="M70" s="15">
        <v>0</v>
      </c>
      <c r="N70" s="15">
        <v>0</v>
      </c>
      <c r="O70" s="15">
        <v>0</v>
      </c>
      <c r="P70" s="15">
        <v>0</v>
      </c>
      <c r="Q70" s="15">
        <v>0</v>
      </c>
      <c r="R70" s="15">
        <v>0</v>
      </c>
      <c r="S70" s="15">
        <v>0</v>
      </c>
      <c r="T70" s="15">
        <v>0</v>
      </c>
      <c r="U70" s="15">
        <v>0</v>
      </c>
      <c r="V70" s="15">
        <v>0</v>
      </c>
      <c r="W70" s="15">
        <v>1</v>
      </c>
      <c r="X70" s="15">
        <v>0</v>
      </c>
      <c r="Y70" s="15">
        <v>0</v>
      </c>
      <c r="Z70" s="15">
        <v>0</v>
      </c>
      <c r="AA70" s="15">
        <v>0</v>
      </c>
      <c r="AB70" s="15">
        <v>0</v>
      </c>
      <c r="AC70" s="15">
        <v>0</v>
      </c>
      <c r="AD70" s="15">
        <v>1</v>
      </c>
      <c r="AE70" s="15">
        <v>0</v>
      </c>
      <c r="AF70" s="15">
        <v>0</v>
      </c>
      <c r="AG70" s="15">
        <v>0</v>
      </c>
      <c r="AH70" s="15">
        <v>0</v>
      </c>
      <c r="AI70" s="15">
        <v>0</v>
      </c>
      <c r="AJ70" s="15">
        <v>0</v>
      </c>
      <c r="AK70" s="15">
        <v>0</v>
      </c>
      <c r="AL70" s="15">
        <v>0</v>
      </c>
      <c r="AM70" s="15">
        <v>1</v>
      </c>
      <c r="AN70" s="15">
        <v>0</v>
      </c>
      <c r="AO70" s="15">
        <v>0</v>
      </c>
      <c r="AP70" s="15">
        <v>0</v>
      </c>
      <c r="AQ70" s="15">
        <v>0</v>
      </c>
      <c r="AR70" s="15">
        <v>0</v>
      </c>
      <c r="AS70" s="15">
        <v>0</v>
      </c>
      <c r="AT70" s="15">
        <v>0</v>
      </c>
      <c r="AU70" s="15">
        <v>0</v>
      </c>
      <c r="AV70" s="15">
        <v>0</v>
      </c>
      <c r="AW70" s="15">
        <v>0</v>
      </c>
      <c r="AX70" s="15">
        <v>0</v>
      </c>
      <c r="AY70" s="15">
        <v>0</v>
      </c>
      <c r="AZ70" s="15">
        <v>0</v>
      </c>
      <c r="BA70" s="15">
        <v>0</v>
      </c>
      <c r="BB70" s="15">
        <v>0</v>
      </c>
      <c r="BC70" s="15">
        <v>0</v>
      </c>
    </row>
    <row r="71" spans="1:55" x14ac:dyDescent="0.35">
      <c r="A71" s="14" t="s">
        <v>65</v>
      </c>
      <c r="B71" s="15">
        <v>7</v>
      </c>
      <c r="C71" s="16">
        <v>23.435669088352473</v>
      </c>
      <c r="D71" s="15">
        <v>0</v>
      </c>
      <c r="E71" s="15">
        <v>0</v>
      </c>
      <c r="F71" s="15">
        <v>0</v>
      </c>
      <c r="G71" s="15">
        <v>0</v>
      </c>
      <c r="H71" s="15">
        <v>0</v>
      </c>
      <c r="I71" s="15">
        <v>0</v>
      </c>
      <c r="J71" s="15">
        <v>0</v>
      </c>
      <c r="K71" s="15">
        <v>0</v>
      </c>
      <c r="L71" s="15">
        <v>0</v>
      </c>
      <c r="M71" s="15">
        <v>1</v>
      </c>
      <c r="N71" s="15">
        <v>0</v>
      </c>
      <c r="O71" s="15">
        <v>0</v>
      </c>
      <c r="P71" s="15">
        <v>0</v>
      </c>
      <c r="Q71" s="15">
        <v>0</v>
      </c>
      <c r="R71" s="15">
        <v>0</v>
      </c>
      <c r="S71" s="15">
        <v>0</v>
      </c>
      <c r="T71" s="15">
        <v>0</v>
      </c>
      <c r="U71" s="15">
        <v>0</v>
      </c>
      <c r="V71" s="15">
        <v>0</v>
      </c>
      <c r="W71" s="15">
        <v>0</v>
      </c>
      <c r="X71" s="15">
        <v>0</v>
      </c>
      <c r="Y71" s="15">
        <v>0</v>
      </c>
      <c r="Z71" s="15">
        <v>0</v>
      </c>
      <c r="AA71" s="15">
        <v>0</v>
      </c>
      <c r="AB71" s="15">
        <v>1</v>
      </c>
      <c r="AC71" s="15">
        <v>0</v>
      </c>
      <c r="AD71" s="15">
        <v>0</v>
      </c>
      <c r="AE71" s="15">
        <v>1</v>
      </c>
      <c r="AF71" s="15">
        <v>0</v>
      </c>
      <c r="AG71" s="15">
        <v>0</v>
      </c>
      <c r="AH71" s="15">
        <v>0</v>
      </c>
      <c r="AI71" s="15">
        <v>1</v>
      </c>
      <c r="AJ71" s="15">
        <v>0</v>
      </c>
      <c r="AK71" s="15">
        <v>0</v>
      </c>
      <c r="AL71" s="15">
        <v>0</v>
      </c>
      <c r="AM71" s="15">
        <v>0</v>
      </c>
      <c r="AN71" s="15">
        <v>0</v>
      </c>
      <c r="AO71" s="15">
        <v>0</v>
      </c>
      <c r="AP71" s="15">
        <v>0</v>
      </c>
      <c r="AQ71" s="15">
        <v>0</v>
      </c>
      <c r="AR71" s="15">
        <v>0</v>
      </c>
      <c r="AS71" s="15">
        <v>0</v>
      </c>
      <c r="AT71" s="15">
        <v>0</v>
      </c>
      <c r="AU71" s="15">
        <v>0</v>
      </c>
      <c r="AV71" s="15">
        <v>0</v>
      </c>
      <c r="AW71" s="15">
        <v>0</v>
      </c>
      <c r="AX71" s="15">
        <v>2</v>
      </c>
      <c r="AY71" s="15">
        <v>0</v>
      </c>
      <c r="AZ71" s="15">
        <v>0</v>
      </c>
      <c r="BA71" s="15">
        <v>0</v>
      </c>
      <c r="BB71" s="15">
        <v>1</v>
      </c>
      <c r="BC71" s="15">
        <v>0</v>
      </c>
    </row>
    <row r="72" spans="1:55" x14ac:dyDescent="0.35">
      <c r="A72" s="14" t="s">
        <v>66</v>
      </c>
      <c r="B72" s="15">
        <v>109</v>
      </c>
      <c r="C72" s="16">
        <v>155.05199220472554</v>
      </c>
      <c r="D72" s="15">
        <v>9</v>
      </c>
      <c r="E72" s="15">
        <v>6</v>
      </c>
      <c r="F72" s="15">
        <v>3</v>
      </c>
      <c r="G72" s="15">
        <v>5</v>
      </c>
      <c r="H72" s="15">
        <v>4</v>
      </c>
      <c r="I72" s="15">
        <v>1</v>
      </c>
      <c r="J72" s="15">
        <v>0</v>
      </c>
      <c r="K72" s="15">
        <v>0</v>
      </c>
      <c r="L72" s="15">
        <v>3</v>
      </c>
      <c r="M72" s="15">
        <v>1</v>
      </c>
      <c r="N72" s="15">
        <v>0</v>
      </c>
      <c r="O72" s="15">
        <v>2</v>
      </c>
      <c r="P72" s="15">
        <v>2</v>
      </c>
      <c r="Q72" s="15">
        <v>1</v>
      </c>
      <c r="R72" s="15">
        <v>3</v>
      </c>
      <c r="S72" s="15">
        <v>0</v>
      </c>
      <c r="T72" s="15">
        <v>0</v>
      </c>
      <c r="U72" s="15">
        <v>1</v>
      </c>
      <c r="V72" s="15">
        <v>0</v>
      </c>
      <c r="W72" s="15">
        <v>3</v>
      </c>
      <c r="X72" s="15">
        <v>1</v>
      </c>
      <c r="Y72" s="15">
        <v>1</v>
      </c>
      <c r="Z72" s="15">
        <v>2</v>
      </c>
      <c r="AA72" s="15">
        <v>2</v>
      </c>
      <c r="AB72" s="15">
        <v>2</v>
      </c>
      <c r="AC72" s="15">
        <v>1</v>
      </c>
      <c r="AD72" s="15">
        <v>4</v>
      </c>
      <c r="AE72" s="15">
        <v>4</v>
      </c>
      <c r="AF72" s="15">
        <v>2</v>
      </c>
      <c r="AG72" s="15">
        <v>2</v>
      </c>
      <c r="AH72" s="15">
        <v>2</v>
      </c>
      <c r="AI72" s="15">
        <v>2</v>
      </c>
      <c r="AJ72" s="15">
        <v>1</v>
      </c>
      <c r="AK72" s="15">
        <v>6</v>
      </c>
      <c r="AL72" s="15">
        <v>3</v>
      </c>
      <c r="AM72" s="15">
        <v>1</v>
      </c>
      <c r="AN72" s="15">
        <v>3</v>
      </c>
      <c r="AO72" s="15">
        <v>1</v>
      </c>
      <c r="AP72" s="15">
        <v>0</v>
      </c>
      <c r="AQ72" s="15">
        <v>1</v>
      </c>
      <c r="AR72" s="15">
        <v>2</v>
      </c>
      <c r="AS72" s="15">
        <v>2</v>
      </c>
      <c r="AT72" s="15">
        <v>2</v>
      </c>
      <c r="AU72" s="15">
        <v>1</v>
      </c>
      <c r="AV72" s="15">
        <v>1</v>
      </c>
      <c r="AW72" s="15">
        <v>3</v>
      </c>
      <c r="AX72" s="15">
        <v>3</v>
      </c>
      <c r="AY72" s="15">
        <v>2</v>
      </c>
      <c r="AZ72" s="15">
        <v>0</v>
      </c>
      <c r="BA72" s="15">
        <v>2</v>
      </c>
      <c r="BB72" s="15">
        <v>2</v>
      </c>
      <c r="BC72" s="15">
        <v>4</v>
      </c>
    </row>
    <row r="73" spans="1:55" x14ac:dyDescent="0.35">
      <c r="A73" s="14"/>
      <c r="B73" s="12"/>
      <c r="C73" s="13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</row>
    <row r="74" spans="1:55" x14ac:dyDescent="0.35">
      <c r="A74" s="1" t="s">
        <v>67</v>
      </c>
      <c r="B74" s="10">
        <v>287</v>
      </c>
      <c r="C74" s="11">
        <v>79.751242813357081</v>
      </c>
      <c r="D74" s="10">
        <v>19</v>
      </c>
      <c r="E74" s="10">
        <v>7</v>
      </c>
      <c r="F74" s="10">
        <v>5</v>
      </c>
      <c r="G74" s="10">
        <v>12</v>
      </c>
      <c r="H74" s="10">
        <v>6</v>
      </c>
      <c r="I74" s="10">
        <v>4</v>
      </c>
      <c r="J74" s="10">
        <v>2</v>
      </c>
      <c r="K74" s="10">
        <v>4</v>
      </c>
      <c r="L74" s="10">
        <v>2</v>
      </c>
      <c r="M74" s="10">
        <v>7</v>
      </c>
      <c r="N74" s="10">
        <v>5</v>
      </c>
      <c r="O74" s="10">
        <v>2</v>
      </c>
      <c r="P74" s="10">
        <v>4</v>
      </c>
      <c r="Q74" s="10">
        <v>1</v>
      </c>
      <c r="R74" s="10">
        <v>0</v>
      </c>
      <c r="S74" s="10">
        <v>1</v>
      </c>
      <c r="T74" s="10">
        <v>1</v>
      </c>
      <c r="U74" s="10">
        <v>2</v>
      </c>
      <c r="V74" s="10">
        <v>5</v>
      </c>
      <c r="W74" s="10">
        <v>0</v>
      </c>
      <c r="X74" s="10">
        <v>4</v>
      </c>
      <c r="Y74" s="10">
        <v>4</v>
      </c>
      <c r="Z74" s="10">
        <v>4</v>
      </c>
      <c r="AA74" s="10">
        <v>5</v>
      </c>
      <c r="AB74" s="10">
        <v>4</v>
      </c>
      <c r="AC74" s="10">
        <v>10</v>
      </c>
      <c r="AD74" s="10">
        <v>3</v>
      </c>
      <c r="AE74" s="10">
        <v>9</v>
      </c>
      <c r="AF74" s="10">
        <v>5</v>
      </c>
      <c r="AG74" s="10">
        <v>8</v>
      </c>
      <c r="AH74" s="10">
        <v>7</v>
      </c>
      <c r="AI74" s="10">
        <v>6</v>
      </c>
      <c r="AJ74" s="10">
        <v>4</v>
      </c>
      <c r="AK74" s="10">
        <v>6</v>
      </c>
      <c r="AL74" s="10">
        <v>7</v>
      </c>
      <c r="AM74" s="10">
        <v>9</v>
      </c>
      <c r="AN74" s="10">
        <v>5</v>
      </c>
      <c r="AO74" s="10">
        <v>4</v>
      </c>
      <c r="AP74" s="10">
        <v>10</v>
      </c>
      <c r="AQ74" s="10">
        <v>7</v>
      </c>
      <c r="AR74" s="10">
        <v>10</v>
      </c>
      <c r="AS74" s="10">
        <v>11</v>
      </c>
      <c r="AT74" s="10">
        <v>4</v>
      </c>
      <c r="AU74" s="10">
        <v>11</v>
      </c>
      <c r="AV74" s="10">
        <v>5</v>
      </c>
      <c r="AW74" s="10">
        <v>8</v>
      </c>
      <c r="AX74" s="10">
        <v>6</v>
      </c>
      <c r="AY74" s="10">
        <v>10</v>
      </c>
      <c r="AZ74" s="10">
        <v>2</v>
      </c>
      <c r="BA74" s="10">
        <v>1</v>
      </c>
      <c r="BB74" s="10">
        <v>5</v>
      </c>
      <c r="BC74" s="10">
        <v>4</v>
      </c>
    </row>
    <row r="75" spans="1:55" x14ac:dyDescent="0.35">
      <c r="A75" s="14" t="s">
        <v>68</v>
      </c>
      <c r="B75" s="15">
        <v>14</v>
      </c>
      <c r="C75" s="16">
        <v>20.353274696518135</v>
      </c>
      <c r="D75" s="15">
        <v>1</v>
      </c>
      <c r="E75" s="15">
        <v>1</v>
      </c>
      <c r="F75" s="15">
        <v>1</v>
      </c>
      <c r="G75" s="15">
        <v>1</v>
      </c>
      <c r="H75" s="15">
        <v>1</v>
      </c>
      <c r="I75" s="15">
        <v>0</v>
      </c>
      <c r="J75" s="15">
        <v>0</v>
      </c>
      <c r="K75" s="15">
        <v>0</v>
      </c>
      <c r="L75" s="15">
        <v>0</v>
      </c>
      <c r="M75" s="15">
        <v>1</v>
      </c>
      <c r="N75" s="15">
        <v>0</v>
      </c>
      <c r="O75" s="15">
        <v>0</v>
      </c>
      <c r="P75" s="15">
        <v>0</v>
      </c>
      <c r="Q75" s="15">
        <v>0</v>
      </c>
      <c r="R75" s="15">
        <v>0</v>
      </c>
      <c r="S75" s="15">
        <v>0</v>
      </c>
      <c r="T75" s="15">
        <v>0</v>
      </c>
      <c r="U75" s="15">
        <v>0</v>
      </c>
      <c r="V75" s="15">
        <v>0</v>
      </c>
      <c r="W75" s="15">
        <v>0</v>
      </c>
      <c r="X75" s="15">
        <v>0</v>
      </c>
      <c r="Y75" s="15">
        <v>0</v>
      </c>
      <c r="Z75" s="15">
        <v>0</v>
      </c>
      <c r="AA75" s="15">
        <v>0</v>
      </c>
      <c r="AB75" s="15">
        <v>0</v>
      </c>
      <c r="AC75" s="15">
        <v>0</v>
      </c>
      <c r="AD75" s="15">
        <v>0</v>
      </c>
      <c r="AE75" s="15">
        <v>0</v>
      </c>
      <c r="AF75" s="15">
        <v>0</v>
      </c>
      <c r="AG75" s="15">
        <v>0</v>
      </c>
      <c r="AH75" s="15">
        <v>0</v>
      </c>
      <c r="AI75" s="15">
        <v>0</v>
      </c>
      <c r="AJ75" s="15">
        <v>0</v>
      </c>
      <c r="AK75" s="15">
        <v>0</v>
      </c>
      <c r="AL75" s="15">
        <v>0</v>
      </c>
      <c r="AM75" s="15">
        <v>0</v>
      </c>
      <c r="AN75" s="15">
        <v>0</v>
      </c>
      <c r="AO75" s="15">
        <v>0</v>
      </c>
      <c r="AP75" s="15">
        <v>0</v>
      </c>
      <c r="AQ75" s="15">
        <v>0</v>
      </c>
      <c r="AR75" s="15">
        <v>0</v>
      </c>
      <c r="AS75" s="15">
        <v>0</v>
      </c>
      <c r="AT75" s="15">
        <v>0</v>
      </c>
      <c r="AU75" s="15">
        <v>2</v>
      </c>
      <c r="AV75" s="15">
        <v>0</v>
      </c>
      <c r="AW75" s="15">
        <v>0</v>
      </c>
      <c r="AX75" s="15">
        <v>1</v>
      </c>
      <c r="AY75" s="15">
        <v>4</v>
      </c>
      <c r="AZ75" s="15">
        <v>0</v>
      </c>
      <c r="BA75" s="15">
        <v>0</v>
      </c>
      <c r="BB75" s="15">
        <v>1</v>
      </c>
      <c r="BC75" s="15">
        <v>0</v>
      </c>
    </row>
    <row r="76" spans="1:55" x14ac:dyDescent="0.35">
      <c r="A76" s="14" t="s">
        <v>69</v>
      </c>
      <c r="B76" s="15">
        <v>34</v>
      </c>
      <c r="C76" s="16">
        <v>63.895361948432686</v>
      </c>
      <c r="D76" s="15">
        <v>0</v>
      </c>
      <c r="E76" s="15">
        <v>0</v>
      </c>
      <c r="F76" s="15">
        <v>0</v>
      </c>
      <c r="G76" s="15">
        <v>1</v>
      </c>
      <c r="H76" s="15">
        <v>0</v>
      </c>
      <c r="I76" s="15">
        <v>1</v>
      </c>
      <c r="J76" s="15">
        <v>0</v>
      </c>
      <c r="K76" s="15">
        <v>0</v>
      </c>
      <c r="L76" s="15">
        <v>0</v>
      </c>
      <c r="M76" s="15">
        <v>0</v>
      </c>
      <c r="N76" s="15">
        <v>1</v>
      </c>
      <c r="O76" s="15">
        <v>0</v>
      </c>
      <c r="P76" s="15">
        <v>0</v>
      </c>
      <c r="Q76" s="15">
        <v>0</v>
      </c>
      <c r="R76" s="15">
        <v>0</v>
      </c>
      <c r="S76" s="15">
        <v>0</v>
      </c>
      <c r="T76" s="15">
        <v>0</v>
      </c>
      <c r="U76" s="15">
        <v>0</v>
      </c>
      <c r="V76" s="15">
        <v>1</v>
      </c>
      <c r="W76" s="15">
        <v>0</v>
      </c>
      <c r="X76" s="15">
        <v>1</v>
      </c>
      <c r="Y76" s="15">
        <v>0</v>
      </c>
      <c r="Z76" s="15">
        <v>1</v>
      </c>
      <c r="AA76" s="15">
        <v>3</v>
      </c>
      <c r="AB76" s="15">
        <v>0</v>
      </c>
      <c r="AC76" s="15">
        <v>4</v>
      </c>
      <c r="AD76" s="15">
        <v>0</v>
      </c>
      <c r="AE76" s="15">
        <v>2</v>
      </c>
      <c r="AF76" s="15">
        <v>3</v>
      </c>
      <c r="AG76" s="15">
        <v>0</v>
      </c>
      <c r="AH76" s="15">
        <v>0</v>
      </c>
      <c r="AI76" s="15">
        <v>0</v>
      </c>
      <c r="AJ76" s="15">
        <v>3</v>
      </c>
      <c r="AK76" s="15">
        <v>0</v>
      </c>
      <c r="AL76" s="15">
        <v>0</v>
      </c>
      <c r="AM76" s="15">
        <v>1</v>
      </c>
      <c r="AN76" s="15">
        <v>1</v>
      </c>
      <c r="AO76" s="15">
        <v>0</v>
      </c>
      <c r="AP76" s="15">
        <v>1</v>
      </c>
      <c r="AQ76" s="15">
        <v>1</v>
      </c>
      <c r="AR76" s="15">
        <v>2</v>
      </c>
      <c r="AS76" s="15">
        <v>1</v>
      </c>
      <c r="AT76" s="15">
        <v>1</v>
      </c>
      <c r="AU76" s="15">
        <v>3</v>
      </c>
      <c r="AV76" s="15">
        <v>0</v>
      </c>
      <c r="AW76" s="15">
        <v>1</v>
      </c>
      <c r="AX76" s="15">
        <v>1</v>
      </c>
      <c r="AY76" s="15">
        <v>0</v>
      </c>
      <c r="AZ76" s="15">
        <v>0</v>
      </c>
      <c r="BA76" s="15">
        <v>0</v>
      </c>
      <c r="BB76" s="15">
        <v>0</v>
      </c>
      <c r="BC76" s="15">
        <v>0</v>
      </c>
    </row>
    <row r="77" spans="1:55" x14ac:dyDescent="0.35">
      <c r="A77" s="14" t="s">
        <v>70</v>
      </c>
      <c r="B77" s="15">
        <v>86</v>
      </c>
      <c r="C77" s="16">
        <v>139.37056364048877</v>
      </c>
      <c r="D77" s="15">
        <v>7</v>
      </c>
      <c r="E77" s="15">
        <v>2</v>
      </c>
      <c r="F77" s="15">
        <v>2</v>
      </c>
      <c r="G77" s="15">
        <v>5</v>
      </c>
      <c r="H77" s="15">
        <v>3</v>
      </c>
      <c r="I77" s="15">
        <v>3</v>
      </c>
      <c r="J77" s="15">
        <v>0</v>
      </c>
      <c r="K77" s="15">
        <v>2</v>
      </c>
      <c r="L77" s="15">
        <v>0</v>
      </c>
      <c r="M77" s="15">
        <v>1</v>
      </c>
      <c r="N77" s="15">
        <v>2</v>
      </c>
      <c r="O77" s="15">
        <v>2</v>
      </c>
      <c r="P77" s="15">
        <v>2</v>
      </c>
      <c r="Q77" s="15">
        <v>0</v>
      </c>
      <c r="R77" s="15">
        <v>0</v>
      </c>
      <c r="S77" s="15">
        <v>1</v>
      </c>
      <c r="T77" s="15">
        <v>1</v>
      </c>
      <c r="U77" s="15">
        <v>1</v>
      </c>
      <c r="V77" s="15">
        <v>3</v>
      </c>
      <c r="W77" s="15">
        <v>0</v>
      </c>
      <c r="X77" s="15">
        <v>1</v>
      </c>
      <c r="Y77" s="15">
        <v>4</v>
      </c>
      <c r="Z77" s="15">
        <v>3</v>
      </c>
      <c r="AA77" s="15">
        <v>1</v>
      </c>
      <c r="AB77" s="15">
        <v>4</v>
      </c>
      <c r="AC77" s="15">
        <v>2</v>
      </c>
      <c r="AD77" s="15">
        <v>2</v>
      </c>
      <c r="AE77" s="15">
        <v>2</v>
      </c>
      <c r="AF77" s="15">
        <v>0</v>
      </c>
      <c r="AG77" s="15">
        <v>4</v>
      </c>
      <c r="AH77" s="15">
        <v>3</v>
      </c>
      <c r="AI77" s="15">
        <v>1</v>
      </c>
      <c r="AJ77" s="15">
        <v>0</v>
      </c>
      <c r="AK77" s="15">
        <v>1</v>
      </c>
      <c r="AL77" s="15">
        <v>0</v>
      </c>
      <c r="AM77" s="15">
        <v>1</v>
      </c>
      <c r="AN77" s="15">
        <v>0</v>
      </c>
      <c r="AO77" s="15">
        <v>3</v>
      </c>
      <c r="AP77" s="15">
        <v>2</v>
      </c>
      <c r="AQ77" s="15">
        <v>0</v>
      </c>
      <c r="AR77" s="15">
        <v>0</v>
      </c>
      <c r="AS77" s="15">
        <v>1</v>
      </c>
      <c r="AT77" s="15">
        <v>1</v>
      </c>
      <c r="AU77" s="15">
        <v>2</v>
      </c>
      <c r="AV77" s="15">
        <v>4</v>
      </c>
      <c r="AW77" s="15">
        <v>1</v>
      </c>
      <c r="AX77" s="15">
        <v>2</v>
      </c>
      <c r="AY77" s="15">
        <v>1</v>
      </c>
      <c r="AZ77" s="15">
        <v>0</v>
      </c>
      <c r="BA77" s="15">
        <v>1</v>
      </c>
      <c r="BB77" s="15">
        <v>1</v>
      </c>
      <c r="BC77" s="15">
        <v>1</v>
      </c>
    </row>
    <row r="78" spans="1:55" x14ac:dyDescent="0.35">
      <c r="A78" s="14" t="s">
        <v>71</v>
      </c>
      <c r="B78" s="15">
        <v>10</v>
      </c>
      <c r="C78" s="16">
        <v>45.587162654996355</v>
      </c>
      <c r="D78" s="15">
        <v>3</v>
      </c>
      <c r="E78" s="15">
        <v>1</v>
      </c>
      <c r="F78" s="15">
        <v>0</v>
      </c>
      <c r="G78" s="15">
        <v>0</v>
      </c>
      <c r="H78" s="15">
        <v>0</v>
      </c>
      <c r="I78" s="15">
        <v>0</v>
      </c>
      <c r="J78" s="15">
        <v>0</v>
      </c>
      <c r="K78" s="15">
        <v>1</v>
      </c>
      <c r="L78" s="15">
        <v>0</v>
      </c>
      <c r="M78" s="15">
        <v>0</v>
      </c>
      <c r="N78" s="15">
        <v>0</v>
      </c>
      <c r="O78" s="15">
        <v>0</v>
      </c>
      <c r="P78" s="15">
        <v>1</v>
      </c>
      <c r="Q78" s="15">
        <v>0</v>
      </c>
      <c r="R78" s="15">
        <v>0</v>
      </c>
      <c r="S78" s="15">
        <v>0</v>
      </c>
      <c r="T78" s="15">
        <v>0</v>
      </c>
      <c r="U78" s="15">
        <v>0</v>
      </c>
      <c r="V78" s="15">
        <v>0</v>
      </c>
      <c r="W78" s="15">
        <v>0</v>
      </c>
      <c r="X78" s="15">
        <v>0</v>
      </c>
      <c r="Y78" s="15">
        <v>0</v>
      </c>
      <c r="Z78" s="15">
        <v>0</v>
      </c>
      <c r="AA78" s="15">
        <v>0</v>
      </c>
      <c r="AB78" s="15">
        <v>0</v>
      </c>
      <c r="AC78" s="15">
        <v>0</v>
      </c>
      <c r="AD78" s="15">
        <v>0</v>
      </c>
      <c r="AE78" s="15">
        <v>0</v>
      </c>
      <c r="AF78" s="15">
        <v>0</v>
      </c>
      <c r="AG78" s="15">
        <v>0</v>
      </c>
      <c r="AH78" s="15">
        <v>0</v>
      </c>
      <c r="AI78" s="15">
        <v>0</v>
      </c>
      <c r="AJ78" s="15">
        <v>1</v>
      </c>
      <c r="AK78" s="15">
        <v>0</v>
      </c>
      <c r="AL78" s="15">
        <v>0</v>
      </c>
      <c r="AM78" s="15">
        <v>0</v>
      </c>
      <c r="AN78" s="15">
        <v>0</v>
      </c>
      <c r="AO78" s="15">
        <v>0</v>
      </c>
      <c r="AP78" s="15">
        <v>1</v>
      </c>
      <c r="AQ78" s="15">
        <v>0</v>
      </c>
      <c r="AR78" s="15">
        <v>0</v>
      </c>
      <c r="AS78" s="15">
        <v>0</v>
      </c>
      <c r="AT78" s="15">
        <v>0</v>
      </c>
      <c r="AU78" s="15">
        <v>0</v>
      </c>
      <c r="AV78" s="15">
        <v>0</v>
      </c>
      <c r="AW78" s="15">
        <v>1</v>
      </c>
      <c r="AX78" s="15">
        <v>0</v>
      </c>
      <c r="AY78" s="15">
        <v>0</v>
      </c>
      <c r="AZ78" s="15">
        <v>0</v>
      </c>
      <c r="BA78" s="15">
        <v>0</v>
      </c>
      <c r="BB78" s="15">
        <v>0</v>
      </c>
      <c r="BC78" s="15">
        <v>1</v>
      </c>
    </row>
    <row r="79" spans="1:55" x14ac:dyDescent="0.35">
      <c r="A79" s="14" t="s">
        <v>72</v>
      </c>
      <c r="B79" s="15">
        <v>54</v>
      </c>
      <c r="C79" s="16">
        <v>133.14265989447213</v>
      </c>
      <c r="D79" s="15">
        <v>3</v>
      </c>
      <c r="E79" s="15">
        <v>0</v>
      </c>
      <c r="F79" s="15">
        <v>1</v>
      </c>
      <c r="G79" s="15">
        <v>2</v>
      </c>
      <c r="H79" s="15">
        <v>0</v>
      </c>
      <c r="I79" s="15">
        <v>0</v>
      </c>
      <c r="J79" s="15">
        <v>1</v>
      </c>
      <c r="K79" s="15">
        <v>1</v>
      </c>
      <c r="L79" s="15">
        <v>2</v>
      </c>
      <c r="M79" s="15">
        <v>5</v>
      </c>
      <c r="N79" s="15">
        <v>1</v>
      </c>
      <c r="O79" s="15">
        <v>0</v>
      </c>
      <c r="P79" s="15">
        <v>0</v>
      </c>
      <c r="Q79" s="15">
        <v>0</v>
      </c>
      <c r="R79" s="15">
        <v>0</v>
      </c>
      <c r="S79" s="15">
        <v>0</v>
      </c>
      <c r="T79" s="15">
        <v>0</v>
      </c>
      <c r="U79" s="15">
        <v>1</v>
      </c>
      <c r="V79" s="15">
        <v>0</v>
      </c>
      <c r="W79" s="15">
        <v>0</v>
      </c>
      <c r="X79" s="15">
        <v>1</v>
      </c>
      <c r="Y79" s="15">
        <v>0</v>
      </c>
      <c r="Z79" s="15">
        <v>0</v>
      </c>
      <c r="AA79" s="15">
        <v>1</v>
      </c>
      <c r="AB79" s="15">
        <v>0</v>
      </c>
      <c r="AC79" s="15">
        <v>1</v>
      </c>
      <c r="AD79" s="15">
        <v>0</v>
      </c>
      <c r="AE79" s="15">
        <v>1</v>
      </c>
      <c r="AF79" s="15">
        <v>1</v>
      </c>
      <c r="AG79" s="15">
        <v>3</v>
      </c>
      <c r="AH79" s="15">
        <v>1</v>
      </c>
      <c r="AI79" s="15">
        <v>1</v>
      </c>
      <c r="AJ79" s="15">
        <v>0</v>
      </c>
      <c r="AK79" s="15">
        <v>1</v>
      </c>
      <c r="AL79" s="15">
        <v>2</v>
      </c>
      <c r="AM79" s="15">
        <v>2</v>
      </c>
      <c r="AN79" s="15">
        <v>2</v>
      </c>
      <c r="AO79" s="15">
        <v>0</v>
      </c>
      <c r="AP79" s="15">
        <v>3</v>
      </c>
      <c r="AQ79" s="15">
        <v>1</v>
      </c>
      <c r="AR79" s="15">
        <v>4</v>
      </c>
      <c r="AS79" s="15">
        <v>3</v>
      </c>
      <c r="AT79" s="15">
        <v>1</v>
      </c>
      <c r="AU79" s="15">
        <v>2</v>
      </c>
      <c r="AV79" s="15">
        <v>0</v>
      </c>
      <c r="AW79" s="15">
        <v>3</v>
      </c>
      <c r="AX79" s="15">
        <v>1</v>
      </c>
      <c r="AY79" s="15">
        <v>1</v>
      </c>
      <c r="AZ79" s="15">
        <v>0</v>
      </c>
      <c r="BA79" s="15">
        <v>0</v>
      </c>
      <c r="BB79" s="15">
        <v>1</v>
      </c>
      <c r="BC79" s="15">
        <v>0</v>
      </c>
    </row>
    <row r="80" spans="1:55" x14ac:dyDescent="0.35">
      <c r="A80" s="14" t="s">
        <v>73</v>
      </c>
      <c r="B80" s="15">
        <v>28</v>
      </c>
      <c r="C80" s="16">
        <v>92.059838895281928</v>
      </c>
      <c r="D80" s="15">
        <v>3</v>
      </c>
      <c r="E80" s="15">
        <v>1</v>
      </c>
      <c r="F80" s="15">
        <v>0</v>
      </c>
      <c r="G80" s="15">
        <v>1</v>
      </c>
      <c r="H80" s="15">
        <v>2</v>
      </c>
      <c r="I80" s="15">
        <v>0</v>
      </c>
      <c r="J80" s="15">
        <v>1</v>
      </c>
      <c r="K80" s="15">
        <v>0</v>
      </c>
      <c r="L80" s="15">
        <v>0</v>
      </c>
      <c r="M80" s="15">
        <v>0</v>
      </c>
      <c r="N80" s="15">
        <v>0</v>
      </c>
      <c r="O80" s="15">
        <v>0</v>
      </c>
      <c r="P80" s="15">
        <v>0</v>
      </c>
      <c r="Q80" s="15">
        <v>0</v>
      </c>
      <c r="R80" s="15">
        <v>0</v>
      </c>
      <c r="S80" s="15">
        <v>0</v>
      </c>
      <c r="T80" s="15">
        <v>0</v>
      </c>
      <c r="U80" s="15">
        <v>0</v>
      </c>
      <c r="V80" s="15">
        <v>0</v>
      </c>
      <c r="W80" s="15">
        <v>0</v>
      </c>
      <c r="X80" s="15">
        <v>0</v>
      </c>
      <c r="Y80" s="15">
        <v>0</v>
      </c>
      <c r="Z80" s="15">
        <v>0</v>
      </c>
      <c r="AA80" s="15">
        <v>0</v>
      </c>
      <c r="AB80" s="15">
        <v>0</v>
      </c>
      <c r="AC80" s="15">
        <v>3</v>
      </c>
      <c r="AD80" s="15">
        <v>0</v>
      </c>
      <c r="AE80" s="15">
        <v>0</v>
      </c>
      <c r="AF80" s="15">
        <v>0</v>
      </c>
      <c r="AG80" s="15">
        <v>0</v>
      </c>
      <c r="AH80" s="15">
        <v>3</v>
      </c>
      <c r="AI80" s="15">
        <v>0</v>
      </c>
      <c r="AJ80" s="15">
        <v>0</v>
      </c>
      <c r="AK80" s="15">
        <v>3</v>
      </c>
      <c r="AL80" s="15">
        <v>0</v>
      </c>
      <c r="AM80" s="15">
        <v>1</v>
      </c>
      <c r="AN80" s="15">
        <v>2</v>
      </c>
      <c r="AO80" s="15">
        <v>0</v>
      </c>
      <c r="AP80" s="15">
        <v>2</v>
      </c>
      <c r="AQ80" s="15">
        <v>1</v>
      </c>
      <c r="AR80" s="15">
        <v>1</v>
      </c>
      <c r="AS80" s="15">
        <v>0</v>
      </c>
      <c r="AT80" s="15">
        <v>0</v>
      </c>
      <c r="AU80" s="15">
        <v>1</v>
      </c>
      <c r="AV80" s="15">
        <v>0</v>
      </c>
      <c r="AW80" s="15">
        <v>1</v>
      </c>
      <c r="AX80" s="15">
        <v>0</v>
      </c>
      <c r="AY80" s="15">
        <v>0</v>
      </c>
      <c r="AZ80" s="15">
        <v>1</v>
      </c>
      <c r="BA80" s="15">
        <v>0</v>
      </c>
      <c r="BB80" s="15">
        <v>1</v>
      </c>
      <c r="BC80" s="15">
        <v>0</v>
      </c>
    </row>
    <row r="81" spans="1:55" x14ac:dyDescent="0.35">
      <c r="A81" s="14" t="s">
        <v>74</v>
      </c>
      <c r="B81" s="15">
        <v>5</v>
      </c>
      <c r="C81" s="16">
        <v>26.20407735443635</v>
      </c>
      <c r="D81" s="15">
        <v>0</v>
      </c>
      <c r="E81" s="15">
        <v>0</v>
      </c>
      <c r="F81" s="15">
        <v>1</v>
      </c>
      <c r="G81" s="15">
        <v>0</v>
      </c>
      <c r="H81" s="15">
        <v>0</v>
      </c>
      <c r="I81" s="15">
        <v>0</v>
      </c>
      <c r="J81" s="15">
        <v>0</v>
      </c>
      <c r="K81" s="15">
        <v>0</v>
      </c>
      <c r="L81" s="15">
        <v>0</v>
      </c>
      <c r="M81" s="15">
        <v>0</v>
      </c>
      <c r="N81" s="15">
        <v>0</v>
      </c>
      <c r="O81" s="15">
        <v>0</v>
      </c>
      <c r="P81" s="15">
        <v>0</v>
      </c>
      <c r="Q81" s="15">
        <v>0</v>
      </c>
      <c r="R81" s="15">
        <v>0</v>
      </c>
      <c r="S81" s="15">
        <v>0</v>
      </c>
      <c r="T81" s="15">
        <v>0</v>
      </c>
      <c r="U81" s="15">
        <v>0</v>
      </c>
      <c r="V81" s="15">
        <v>0</v>
      </c>
      <c r="W81" s="15">
        <v>0</v>
      </c>
      <c r="X81" s="15">
        <v>0</v>
      </c>
      <c r="Y81" s="15">
        <v>0</v>
      </c>
      <c r="Z81" s="15">
        <v>0</v>
      </c>
      <c r="AA81" s="15">
        <v>0</v>
      </c>
      <c r="AB81" s="15">
        <v>0</v>
      </c>
      <c r="AC81" s="15">
        <v>0</v>
      </c>
      <c r="AD81" s="15">
        <v>0</v>
      </c>
      <c r="AE81" s="15">
        <v>1</v>
      </c>
      <c r="AF81" s="15">
        <v>0</v>
      </c>
      <c r="AG81" s="15">
        <v>0</v>
      </c>
      <c r="AH81" s="15">
        <v>0</v>
      </c>
      <c r="AI81" s="15">
        <v>0</v>
      </c>
      <c r="AJ81" s="15">
        <v>0</v>
      </c>
      <c r="AK81" s="15">
        <v>1</v>
      </c>
      <c r="AL81" s="15">
        <v>0</v>
      </c>
      <c r="AM81" s="15">
        <v>1</v>
      </c>
      <c r="AN81" s="15">
        <v>0</v>
      </c>
      <c r="AO81" s="15">
        <v>1</v>
      </c>
      <c r="AP81" s="15">
        <v>0</v>
      </c>
      <c r="AQ81" s="15">
        <v>0</v>
      </c>
      <c r="AR81" s="15">
        <v>0</v>
      </c>
      <c r="AS81" s="15">
        <v>0</v>
      </c>
      <c r="AT81" s="15">
        <v>0</v>
      </c>
      <c r="AU81" s="15">
        <v>0</v>
      </c>
      <c r="AV81" s="15">
        <v>0</v>
      </c>
      <c r="AW81" s="15">
        <v>0</v>
      </c>
      <c r="AX81" s="15">
        <v>0</v>
      </c>
      <c r="AY81" s="15">
        <v>0</v>
      </c>
      <c r="AZ81" s="15">
        <v>0</v>
      </c>
      <c r="BA81" s="15">
        <v>0</v>
      </c>
      <c r="BB81" s="15">
        <v>0</v>
      </c>
      <c r="BC81" s="15">
        <v>0</v>
      </c>
    </row>
    <row r="82" spans="1:55" x14ac:dyDescent="0.35">
      <c r="A82" s="14" t="s">
        <v>75</v>
      </c>
      <c r="B82" s="15">
        <v>7</v>
      </c>
      <c r="C82" s="16">
        <v>33.520088109945888</v>
      </c>
      <c r="D82" s="15">
        <v>0</v>
      </c>
      <c r="E82" s="15">
        <v>1</v>
      </c>
      <c r="F82" s="15">
        <v>0</v>
      </c>
      <c r="G82" s="15">
        <v>0</v>
      </c>
      <c r="H82" s="15">
        <v>0</v>
      </c>
      <c r="I82" s="15">
        <v>0</v>
      </c>
      <c r="J82" s="15">
        <v>0</v>
      </c>
      <c r="K82" s="15">
        <v>0</v>
      </c>
      <c r="L82" s="15">
        <v>0</v>
      </c>
      <c r="M82" s="15">
        <v>0</v>
      </c>
      <c r="N82" s="15">
        <v>0</v>
      </c>
      <c r="O82" s="15">
        <v>0</v>
      </c>
      <c r="P82" s="15">
        <v>0</v>
      </c>
      <c r="Q82" s="15">
        <v>0</v>
      </c>
      <c r="R82" s="15">
        <v>0</v>
      </c>
      <c r="S82" s="15">
        <v>0</v>
      </c>
      <c r="T82" s="15">
        <v>0</v>
      </c>
      <c r="U82" s="15">
        <v>0</v>
      </c>
      <c r="V82" s="15">
        <v>0</v>
      </c>
      <c r="W82" s="15">
        <v>0</v>
      </c>
      <c r="X82" s="15">
        <v>0</v>
      </c>
      <c r="Y82" s="15">
        <v>0</v>
      </c>
      <c r="Z82" s="15">
        <v>0</v>
      </c>
      <c r="AA82" s="15">
        <v>0</v>
      </c>
      <c r="AB82" s="15">
        <v>0</v>
      </c>
      <c r="AC82" s="15">
        <v>0</v>
      </c>
      <c r="AD82" s="15">
        <v>0</v>
      </c>
      <c r="AE82" s="15">
        <v>1</v>
      </c>
      <c r="AF82" s="15">
        <v>0</v>
      </c>
      <c r="AG82" s="15">
        <v>0</v>
      </c>
      <c r="AH82" s="15">
        <v>0</v>
      </c>
      <c r="AI82" s="15">
        <v>0</v>
      </c>
      <c r="AJ82" s="15">
        <v>0</v>
      </c>
      <c r="AK82" s="15">
        <v>0</v>
      </c>
      <c r="AL82" s="15">
        <v>1</v>
      </c>
      <c r="AM82" s="15">
        <v>0</v>
      </c>
      <c r="AN82" s="15">
        <v>0</v>
      </c>
      <c r="AO82" s="15">
        <v>0</v>
      </c>
      <c r="AP82" s="15">
        <v>1</v>
      </c>
      <c r="AQ82" s="15">
        <v>1</v>
      </c>
      <c r="AR82" s="15">
        <v>0</v>
      </c>
      <c r="AS82" s="15">
        <v>1</v>
      </c>
      <c r="AT82" s="15">
        <v>0</v>
      </c>
      <c r="AU82" s="15">
        <v>0</v>
      </c>
      <c r="AV82" s="15">
        <v>0</v>
      </c>
      <c r="AW82" s="15">
        <v>0</v>
      </c>
      <c r="AX82" s="15">
        <v>0</v>
      </c>
      <c r="AY82" s="15">
        <v>1</v>
      </c>
      <c r="AZ82" s="15">
        <v>0</v>
      </c>
      <c r="BA82" s="15">
        <v>0</v>
      </c>
      <c r="BB82" s="15">
        <v>0</v>
      </c>
      <c r="BC82" s="15">
        <v>0</v>
      </c>
    </row>
    <row r="83" spans="1:55" x14ac:dyDescent="0.35">
      <c r="A83" s="14" t="s">
        <v>76</v>
      </c>
      <c r="B83" s="15">
        <v>8</v>
      </c>
      <c r="C83" s="16">
        <v>69.41431670281996</v>
      </c>
      <c r="D83" s="15">
        <v>1</v>
      </c>
      <c r="E83" s="15">
        <v>0</v>
      </c>
      <c r="F83" s="15">
        <v>0</v>
      </c>
      <c r="G83" s="15">
        <v>1</v>
      </c>
      <c r="H83" s="15">
        <v>0</v>
      </c>
      <c r="I83" s="15">
        <v>0</v>
      </c>
      <c r="J83" s="15">
        <v>0</v>
      </c>
      <c r="K83" s="15">
        <v>0</v>
      </c>
      <c r="L83" s="15">
        <v>0</v>
      </c>
      <c r="M83" s="15">
        <v>0</v>
      </c>
      <c r="N83" s="15">
        <v>0</v>
      </c>
      <c r="O83" s="15">
        <v>0</v>
      </c>
      <c r="P83" s="15">
        <v>0</v>
      </c>
      <c r="Q83" s="15">
        <v>1</v>
      </c>
      <c r="R83" s="15">
        <v>0</v>
      </c>
      <c r="S83" s="15">
        <v>0</v>
      </c>
      <c r="T83" s="15">
        <v>0</v>
      </c>
      <c r="U83" s="15">
        <v>0</v>
      </c>
      <c r="V83" s="15">
        <v>1</v>
      </c>
      <c r="W83" s="15">
        <v>0</v>
      </c>
      <c r="X83" s="15">
        <v>0</v>
      </c>
      <c r="Y83" s="15">
        <v>0</v>
      </c>
      <c r="Z83" s="15">
        <v>0</v>
      </c>
      <c r="AA83" s="15">
        <v>0</v>
      </c>
      <c r="AB83" s="15">
        <v>0</v>
      </c>
      <c r="AC83" s="15">
        <v>0</v>
      </c>
      <c r="AD83" s="15">
        <v>0</v>
      </c>
      <c r="AE83" s="15">
        <v>0</v>
      </c>
      <c r="AF83" s="15">
        <v>0</v>
      </c>
      <c r="AG83" s="15">
        <v>0</v>
      </c>
      <c r="AH83" s="15">
        <v>0</v>
      </c>
      <c r="AI83" s="15">
        <v>0</v>
      </c>
      <c r="AJ83" s="15">
        <v>0</v>
      </c>
      <c r="AK83" s="15">
        <v>0</v>
      </c>
      <c r="AL83" s="15">
        <v>1</v>
      </c>
      <c r="AM83" s="15">
        <v>0</v>
      </c>
      <c r="AN83" s="15">
        <v>0</v>
      </c>
      <c r="AO83" s="15">
        <v>0</v>
      </c>
      <c r="AP83" s="15">
        <v>0</v>
      </c>
      <c r="AQ83" s="15">
        <v>0</v>
      </c>
      <c r="AR83" s="15">
        <v>1</v>
      </c>
      <c r="AS83" s="15">
        <v>0</v>
      </c>
      <c r="AT83" s="15">
        <v>0</v>
      </c>
      <c r="AU83" s="15">
        <v>0</v>
      </c>
      <c r="AV83" s="15">
        <v>0</v>
      </c>
      <c r="AW83" s="15">
        <v>1</v>
      </c>
      <c r="AX83" s="15">
        <v>0</v>
      </c>
      <c r="AY83" s="15">
        <v>0</v>
      </c>
      <c r="AZ83" s="15">
        <v>0</v>
      </c>
      <c r="BA83" s="15">
        <v>0</v>
      </c>
      <c r="BB83" s="15">
        <v>1</v>
      </c>
      <c r="BC83" s="15">
        <v>0</v>
      </c>
    </row>
    <row r="84" spans="1:55" x14ac:dyDescent="0.35">
      <c r="A84" s="14" t="s">
        <v>77</v>
      </c>
      <c r="B84" s="15">
        <v>29</v>
      </c>
      <c r="C84" s="16">
        <v>120.41689158327452</v>
      </c>
      <c r="D84" s="15">
        <v>1</v>
      </c>
      <c r="E84" s="15">
        <v>0</v>
      </c>
      <c r="F84" s="15">
        <v>0</v>
      </c>
      <c r="G84" s="15">
        <v>0</v>
      </c>
      <c r="H84" s="15">
        <v>0</v>
      </c>
      <c r="I84" s="15">
        <v>0</v>
      </c>
      <c r="J84" s="15">
        <v>0</v>
      </c>
      <c r="K84" s="15">
        <v>0</v>
      </c>
      <c r="L84" s="15">
        <v>0</v>
      </c>
      <c r="M84" s="15">
        <v>0</v>
      </c>
      <c r="N84" s="15">
        <v>1</v>
      </c>
      <c r="O84" s="15">
        <v>0</v>
      </c>
      <c r="P84" s="15">
        <v>1</v>
      </c>
      <c r="Q84" s="15">
        <v>0</v>
      </c>
      <c r="R84" s="15">
        <v>0</v>
      </c>
      <c r="S84" s="15">
        <v>0</v>
      </c>
      <c r="T84" s="15">
        <v>0</v>
      </c>
      <c r="U84" s="15">
        <v>0</v>
      </c>
      <c r="V84" s="15">
        <v>0</v>
      </c>
      <c r="W84" s="15">
        <v>0</v>
      </c>
      <c r="X84" s="15">
        <v>0</v>
      </c>
      <c r="Y84" s="15">
        <v>0</v>
      </c>
      <c r="Z84" s="15">
        <v>0</v>
      </c>
      <c r="AA84" s="15">
        <v>0</v>
      </c>
      <c r="AB84" s="15">
        <v>0</v>
      </c>
      <c r="AC84" s="15">
        <v>0</v>
      </c>
      <c r="AD84" s="15">
        <v>0</v>
      </c>
      <c r="AE84" s="15">
        <v>1</v>
      </c>
      <c r="AF84" s="15">
        <v>0</v>
      </c>
      <c r="AG84" s="15">
        <v>0</v>
      </c>
      <c r="AH84" s="15">
        <v>0</v>
      </c>
      <c r="AI84" s="15">
        <v>4</v>
      </c>
      <c r="AJ84" s="15">
        <v>0</v>
      </c>
      <c r="AK84" s="15">
        <v>0</v>
      </c>
      <c r="AL84" s="15">
        <v>3</v>
      </c>
      <c r="AM84" s="15">
        <v>2</v>
      </c>
      <c r="AN84" s="15">
        <v>0</v>
      </c>
      <c r="AO84" s="15">
        <v>0</v>
      </c>
      <c r="AP84" s="15">
        <v>0</v>
      </c>
      <c r="AQ84" s="15">
        <v>3</v>
      </c>
      <c r="AR84" s="15">
        <v>2</v>
      </c>
      <c r="AS84" s="15">
        <v>4</v>
      </c>
      <c r="AT84" s="15">
        <v>0</v>
      </c>
      <c r="AU84" s="15">
        <v>0</v>
      </c>
      <c r="AV84" s="15">
        <v>1</v>
      </c>
      <c r="AW84" s="15">
        <v>0</v>
      </c>
      <c r="AX84" s="15">
        <v>1</v>
      </c>
      <c r="AY84" s="15">
        <v>2</v>
      </c>
      <c r="AZ84" s="15">
        <v>1</v>
      </c>
      <c r="BA84" s="15">
        <v>0</v>
      </c>
      <c r="BB84" s="15">
        <v>0</v>
      </c>
      <c r="BC84" s="15">
        <v>2</v>
      </c>
    </row>
    <row r="85" spans="1:55" x14ac:dyDescent="0.35">
      <c r="A85" s="14" t="s">
        <v>78</v>
      </c>
      <c r="B85" s="15">
        <v>12</v>
      </c>
      <c r="C85" s="16">
        <v>156.14834092387767</v>
      </c>
      <c r="D85" s="15">
        <v>0</v>
      </c>
      <c r="E85" s="15">
        <v>1</v>
      </c>
      <c r="F85" s="15">
        <v>0</v>
      </c>
      <c r="G85" s="15">
        <v>1</v>
      </c>
      <c r="H85" s="15">
        <v>0</v>
      </c>
      <c r="I85" s="15">
        <v>0</v>
      </c>
      <c r="J85" s="15">
        <v>0</v>
      </c>
      <c r="K85" s="15">
        <v>0</v>
      </c>
      <c r="L85" s="15">
        <v>0</v>
      </c>
      <c r="M85" s="15">
        <v>0</v>
      </c>
      <c r="N85" s="15">
        <v>0</v>
      </c>
      <c r="O85" s="15">
        <v>0</v>
      </c>
      <c r="P85" s="15">
        <v>0</v>
      </c>
      <c r="Q85" s="15">
        <v>0</v>
      </c>
      <c r="R85" s="15">
        <v>0</v>
      </c>
      <c r="S85" s="15">
        <v>0</v>
      </c>
      <c r="T85" s="15">
        <v>0</v>
      </c>
      <c r="U85" s="15">
        <v>0</v>
      </c>
      <c r="V85" s="15">
        <v>0</v>
      </c>
      <c r="W85" s="15">
        <v>0</v>
      </c>
      <c r="X85" s="15">
        <v>1</v>
      </c>
      <c r="Y85" s="15">
        <v>0</v>
      </c>
      <c r="Z85" s="15">
        <v>0</v>
      </c>
      <c r="AA85" s="15">
        <v>0</v>
      </c>
      <c r="AB85" s="15">
        <v>0</v>
      </c>
      <c r="AC85" s="15">
        <v>0</v>
      </c>
      <c r="AD85" s="15">
        <v>1</v>
      </c>
      <c r="AE85" s="15">
        <v>1</v>
      </c>
      <c r="AF85" s="15">
        <v>1</v>
      </c>
      <c r="AG85" s="15">
        <v>1</v>
      </c>
      <c r="AH85" s="15">
        <v>0</v>
      </c>
      <c r="AI85" s="15">
        <v>0</v>
      </c>
      <c r="AJ85" s="15">
        <v>0</v>
      </c>
      <c r="AK85" s="15">
        <v>0</v>
      </c>
      <c r="AL85" s="15">
        <v>0</v>
      </c>
      <c r="AM85" s="15">
        <v>1</v>
      </c>
      <c r="AN85" s="15">
        <v>0</v>
      </c>
      <c r="AO85" s="15">
        <v>0</v>
      </c>
      <c r="AP85" s="15">
        <v>0</v>
      </c>
      <c r="AQ85" s="15">
        <v>0</v>
      </c>
      <c r="AR85" s="15">
        <v>0</v>
      </c>
      <c r="AS85" s="15">
        <v>1</v>
      </c>
      <c r="AT85" s="15">
        <v>1</v>
      </c>
      <c r="AU85" s="15">
        <v>1</v>
      </c>
      <c r="AV85" s="15">
        <v>0</v>
      </c>
      <c r="AW85" s="15">
        <v>0</v>
      </c>
      <c r="AX85" s="15">
        <v>0</v>
      </c>
      <c r="AY85" s="15">
        <v>1</v>
      </c>
      <c r="AZ85" s="15">
        <v>0</v>
      </c>
      <c r="BA85" s="15">
        <v>0</v>
      </c>
      <c r="BB85" s="15">
        <v>0</v>
      </c>
      <c r="BC85" s="15">
        <v>0</v>
      </c>
    </row>
    <row r="86" spans="1:55" x14ac:dyDescent="0.35">
      <c r="A86" s="14"/>
      <c r="B86" s="12"/>
      <c r="C86" s="13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</row>
    <row r="87" spans="1:55" x14ac:dyDescent="0.35">
      <c r="A87" s="1" t="s">
        <v>79</v>
      </c>
      <c r="B87" s="10">
        <v>615</v>
      </c>
      <c r="C87" s="11">
        <v>133.21174602693259</v>
      </c>
      <c r="D87" s="10">
        <v>17</v>
      </c>
      <c r="E87" s="10">
        <v>22</v>
      </c>
      <c r="F87" s="10">
        <v>5</v>
      </c>
      <c r="G87" s="10">
        <v>10</v>
      </c>
      <c r="H87" s="10">
        <v>4</v>
      </c>
      <c r="I87" s="10">
        <v>4</v>
      </c>
      <c r="J87" s="10">
        <v>6</v>
      </c>
      <c r="K87" s="10">
        <v>7</v>
      </c>
      <c r="L87" s="10">
        <v>6</v>
      </c>
      <c r="M87" s="10">
        <v>2</v>
      </c>
      <c r="N87" s="10">
        <v>5</v>
      </c>
      <c r="O87" s="10">
        <v>7</v>
      </c>
      <c r="P87" s="10">
        <v>15</v>
      </c>
      <c r="Q87" s="10">
        <v>4</v>
      </c>
      <c r="R87" s="10">
        <v>8</v>
      </c>
      <c r="S87" s="10">
        <v>8</v>
      </c>
      <c r="T87" s="10">
        <v>8</v>
      </c>
      <c r="U87" s="10">
        <v>7</v>
      </c>
      <c r="V87" s="10">
        <v>10</v>
      </c>
      <c r="W87" s="10">
        <v>11</v>
      </c>
      <c r="X87" s="10">
        <v>13</v>
      </c>
      <c r="Y87" s="10">
        <v>13</v>
      </c>
      <c r="Z87" s="10">
        <v>22</v>
      </c>
      <c r="AA87" s="10">
        <v>15</v>
      </c>
      <c r="AB87" s="10">
        <v>21</v>
      </c>
      <c r="AC87" s="10">
        <v>23</v>
      </c>
      <c r="AD87" s="10">
        <v>20</v>
      </c>
      <c r="AE87" s="10">
        <v>20</v>
      </c>
      <c r="AF87" s="10">
        <v>13</v>
      </c>
      <c r="AG87" s="10">
        <v>12</v>
      </c>
      <c r="AH87" s="10">
        <v>29</v>
      </c>
      <c r="AI87" s="10">
        <v>17</v>
      </c>
      <c r="AJ87" s="10">
        <v>15</v>
      </c>
      <c r="AK87" s="10">
        <v>17</v>
      </c>
      <c r="AL87" s="10">
        <v>16</v>
      </c>
      <c r="AM87" s="10">
        <v>14</v>
      </c>
      <c r="AN87" s="10">
        <v>12</v>
      </c>
      <c r="AO87" s="10">
        <v>12</v>
      </c>
      <c r="AP87" s="10">
        <v>13</v>
      </c>
      <c r="AQ87" s="10">
        <v>10</v>
      </c>
      <c r="AR87" s="10">
        <v>14</v>
      </c>
      <c r="AS87" s="10">
        <v>11</v>
      </c>
      <c r="AT87" s="10">
        <v>16</v>
      </c>
      <c r="AU87" s="10">
        <v>9</v>
      </c>
      <c r="AV87" s="10">
        <v>10</v>
      </c>
      <c r="AW87" s="10">
        <v>12</v>
      </c>
      <c r="AX87" s="10">
        <v>16</v>
      </c>
      <c r="AY87" s="10">
        <v>7</v>
      </c>
      <c r="AZ87" s="10">
        <v>7</v>
      </c>
      <c r="BA87" s="10">
        <v>7</v>
      </c>
      <c r="BB87" s="10">
        <v>8</v>
      </c>
      <c r="BC87" s="10">
        <v>5</v>
      </c>
    </row>
    <row r="88" spans="1:55" x14ac:dyDescent="0.35">
      <c r="A88" s="14" t="s">
        <v>80</v>
      </c>
      <c r="B88" s="15">
        <v>217</v>
      </c>
      <c r="C88" s="16">
        <v>168.87028116512712</v>
      </c>
      <c r="D88" s="15">
        <v>9</v>
      </c>
      <c r="E88" s="15">
        <v>9</v>
      </c>
      <c r="F88" s="15">
        <v>2</v>
      </c>
      <c r="G88" s="15">
        <v>3</v>
      </c>
      <c r="H88" s="15">
        <v>1</v>
      </c>
      <c r="I88" s="15">
        <v>2</v>
      </c>
      <c r="J88" s="15">
        <v>2</v>
      </c>
      <c r="K88" s="15">
        <v>1</v>
      </c>
      <c r="L88" s="15">
        <v>1</v>
      </c>
      <c r="M88" s="15">
        <v>0</v>
      </c>
      <c r="N88" s="15">
        <v>0</v>
      </c>
      <c r="O88" s="15">
        <v>0</v>
      </c>
      <c r="P88" s="15">
        <v>2</v>
      </c>
      <c r="Q88" s="15">
        <v>3</v>
      </c>
      <c r="R88" s="15">
        <v>2</v>
      </c>
      <c r="S88" s="15">
        <v>2</v>
      </c>
      <c r="T88" s="15">
        <v>1</v>
      </c>
      <c r="U88" s="15">
        <v>2</v>
      </c>
      <c r="V88" s="15">
        <v>5</v>
      </c>
      <c r="W88" s="15">
        <v>4</v>
      </c>
      <c r="X88" s="15">
        <v>4</v>
      </c>
      <c r="Y88" s="15">
        <v>6</v>
      </c>
      <c r="Z88" s="15">
        <v>3</v>
      </c>
      <c r="AA88" s="15">
        <v>2</v>
      </c>
      <c r="AB88" s="15">
        <v>12</v>
      </c>
      <c r="AC88" s="15">
        <v>8</v>
      </c>
      <c r="AD88" s="15">
        <v>3</v>
      </c>
      <c r="AE88" s="15">
        <v>7</v>
      </c>
      <c r="AF88" s="15">
        <v>3</v>
      </c>
      <c r="AG88" s="15">
        <v>3</v>
      </c>
      <c r="AH88" s="15">
        <v>10</v>
      </c>
      <c r="AI88" s="15">
        <v>9</v>
      </c>
      <c r="AJ88" s="15">
        <v>8</v>
      </c>
      <c r="AK88" s="15">
        <v>7</v>
      </c>
      <c r="AL88" s="15">
        <v>8</v>
      </c>
      <c r="AM88" s="15">
        <v>6</v>
      </c>
      <c r="AN88" s="15">
        <v>3</v>
      </c>
      <c r="AO88" s="15">
        <v>4</v>
      </c>
      <c r="AP88" s="15">
        <v>6</v>
      </c>
      <c r="AQ88" s="15">
        <v>5</v>
      </c>
      <c r="AR88" s="15">
        <v>8</v>
      </c>
      <c r="AS88" s="15">
        <v>4</v>
      </c>
      <c r="AT88" s="15">
        <v>9</v>
      </c>
      <c r="AU88" s="15">
        <v>6</v>
      </c>
      <c r="AV88" s="15">
        <v>0</v>
      </c>
      <c r="AW88" s="15">
        <v>6</v>
      </c>
      <c r="AX88" s="15">
        <v>8</v>
      </c>
      <c r="AY88" s="15">
        <v>3</v>
      </c>
      <c r="AZ88" s="15">
        <v>2</v>
      </c>
      <c r="BA88" s="15">
        <v>1</v>
      </c>
      <c r="BB88" s="15">
        <v>0</v>
      </c>
      <c r="BC88" s="15">
        <v>2</v>
      </c>
    </row>
    <row r="89" spans="1:55" x14ac:dyDescent="0.35">
      <c r="A89" s="14" t="s">
        <v>81</v>
      </c>
      <c r="B89" s="15">
        <v>47</v>
      </c>
      <c r="C89" s="16">
        <v>134.81727955940565</v>
      </c>
      <c r="D89" s="15">
        <v>2</v>
      </c>
      <c r="E89" s="15">
        <v>3</v>
      </c>
      <c r="F89" s="15">
        <v>1</v>
      </c>
      <c r="G89" s="15">
        <v>1</v>
      </c>
      <c r="H89" s="15">
        <v>0</v>
      </c>
      <c r="I89" s="15">
        <v>0</v>
      </c>
      <c r="J89" s="15">
        <v>0</v>
      </c>
      <c r="K89" s="15">
        <v>0</v>
      </c>
      <c r="L89" s="15">
        <v>2</v>
      </c>
      <c r="M89" s="15">
        <v>0</v>
      </c>
      <c r="N89" s="15">
        <v>0</v>
      </c>
      <c r="O89" s="15">
        <v>2</v>
      </c>
      <c r="P89" s="15">
        <v>2</v>
      </c>
      <c r="Q89" s="15">
        <v>0</v>
      </c>
      <c r="R89" s="15">
        <v>0</v>
      </c>
      <c r="S89" s="15">
        <v>0</v>
      </c>
      <c r="T89" s="15">
        <v>1</v>
      </c>
      <c r="U89" s="15">
        <v>0</v>
      </c>
      <c r="V89" s="15">
        <v>1</v>
      </c>
      <c r="W89" s="15">
        <v>2</v>
      </c>
      <c r="X89" s="15">
        <v>1</v>
      </c>
      <c r="Y89" s="15">
        <v>1</v>
      </c>
      <c r="Z89" s="15">
        <v>1</v>
      </c>
      <c r="AA89" s="15">
        <v>5</v>
      </c>
      <c r="AB89" s="15">
        <v>0</v>
      </c>
      <c r="AC89" s="15">
        <v>0</v>
      </c>
      <c r="AD89" s="15">
        <v>2</v>
      </c>
      <c r="AE89" s="15">
        <v>2</v>
      </c>
      <c r="AF89" s="15">
        <v>1</v>
      </c>
      <c r="AG89" s="15">
        <v>2</v>
      </c>
      <c r="AH89" s="15">
        <v>1</v>
      </c>
      <c r="AI89" s="15">
        <v>0</v>
      </c>
      <c r="AJ89" s="15">
        <v>2</v>
      </c>
      <c r="AK89" s="15">
        <v>4</v>
      </c>
      <c r="AL89" s="15">
        <v>0</v>
      </c>
      <c r="AM89" s="15">
        <v>0</v>
      </c>
      <c r="AN89" s="15">
        <v>1</v>
      </c>
      <c r="AO89" s="15">
        <v>0</v>
      </c>
      <c r="AP89" s="15">
        <v>0</v>
      </c>
      <c r="AQ89" s="15">
        <v>0</v>
      </c>
      <c r="AR89" s="15">
        <v>1</v>
      </c>
      <c r="AS89" s="15">
        <v>1</v>
      </c>
      <c r="AT89" s="15">
        <v>1</v>
      </c>
      <c r="AU89" s="15">
        <v>0</v>
      </c>
      <c r="AV89" s="15">
        <v>1</v>
      </c>
      <c r="AW89" s="15">
        <v>0</v>
      </c>
      <c r="AX89" s="15">
        <v>1</v>
      </c>
      <c r="AY89" s="15">
        <v>1</v>
      </c>
      <c r="AZ89" s="15">
        <v>0</v>
      </c>
      <c r="BA89" s="15">
        <v>0</v>
      </c>
      <c r="BB89" s="15">
        <v>1</v>
      </c>
      <c r="BC89" s="15">
        <v>0</v>
      </c>
    </row>
    <row r="90" spans="1:55" x14ac:dyDescent="0.35">
      <c r="A90" s="14" t="s">
        <v>82</v>
      </c>
      <c r="B90" s="15">
        <v>23</v>
      </c>
      <c r="C90" s="16">
        <v>46.561532076846774</v>
      </c>
      <c r="D90" s="15">
        <v>0</v>
      </c>
      <c r="E90" s="15">
        <v>0</v>
      </c>
      <c r="F90" s="15">
        <v>0</v>
      </c>
      <c r="G90" s="15">
        <v>0</v>
      </c>
      <c r="H90" s="15">
        <v>0</v>
      </c>
      <c r="I90" s="15">
        <v>0</v>
      </c>
      <c r="J90" s="15">
        <v>0</v>
      </c>
      <c r="K90" s="15">
        <v>0</v>
      </c>
      <c r="L90" s="15">
        <v>1</v>
      </c>
      <c r="M90" s="15">
        <v>0</v>
      </c>
      <c r="N90" s="15">
        <v>1</v>
      </c>
      <c r="O90" s="15">
        <v>0</v>
      </c>
      <c r="P90" s="15">
        <v>1</v>
      </c>
      <c r="Q90" s="15">
        <v>0</v>
      </c>
      <c r="R90" s="15">
        <v>0</v>
      </c>
      <c r="S90" s="15">
        <v>0</v>
      </c>
      <c r="T90" s="15">
        <v>0</v>
      </c>
      <c r="U90" s="15">
        <v>0</v>
      </c>
      <c r="V90" s="15">
        <v>0</v>
      </c>
      <c r="W90" s="15">
        <v>0</v>
      </c>
      <c r="X90" s="15">
        <v>0</v>
      </c>
      <c r="Y90" s="15">
        <v>0</v>
      </c>
      <c r="Z90" s="15">
        <v>0</v>
      </c>
      <c r="AA90" s="15">
        <v>0</v>
      </c>
      <c r="AB90" s="15">
        <v>0</v>
      </c>
      <c r="AC90" s="15">
        <v>0</v>
      </c>
      <c r="AD90" s="15">
        <v>1</v>
      </c>
      <c r="AE90" s="15">
        <v>0</v>
      </c>
      <c r="AF90" s="15">
        <v>0</v>
      </c>
      <c r="AG90" s="15">
        <v>0</v>
      </c>
      <c r="AH90" s="15">
        <v>0</v>
      </c>
      <c r="AI90" s="15">
        <v>1</v>
      </c>
      <c r="AJ90" s="15">
        <v>0</v>
      </c>
      <c r="AK90" s="15">
        <v>0</v>
      </c>
      <c r="AL90" s="15">
        <v>0</v>
      </c>
      <c r="AM90" s="15">
        <v>0</v>
      </c>
      <c r="AN90" s="15">
        <v>2</v>
      </c>
      <c r="AO90" s="15">
        <v>2</v>
      </c>
      <c r="AP90" s="15">
        <v>1</v>
      </c>
      <c r="AQ90" s="15">
        <v>0</v>
      </c>
      <c r="AR90" s="15">
        <v>0</v>
      </c>
      <c r="AS90" s="15">
        <v>0</v>
      </c>
      <c r="AT90" s="15">
        <v>0</v>
      </c>
      <c r="AU90" s="15">
        <v>0</v>
      </c>
      <c r="AV90" s="15">
        <v>0</v>
      </c>
      <c r="AW90" s="15">
        <v>1</v>
      </c>
      <c r="AX90" s="15">
        <v>2</v>
      </c>
      <c r="AY90" s="15">
        <v>0</v>
      </c>
      <c r="AZ90" s="15">
        <v>1</v>
      </c>
      <c r="BA90" s="15">
        <v>3</v>
      </c>
      <c r="BB90" s="15">
        <v>5</v>
      </c>
      <c r="BC90" s="15">
        <v>1</v>
      </c>
    </row>
    <row r="91" spans="1:55" x14ac:dyDescent="0.35">
      <c r="A91" s="14" t="s">
        <v>83</v>
      </c>
      <c r="B91" s="15">
        <v>98</v>
      </c>
      <c r="C91" s="16">
        <v>730.19894195663517</v>
      </c>
      <c r="D91" s="15">
        <v>1</v>
      </c>
      <c r="E91" s="15">
        <v>4</v>
      </c>
      <c r="F91" s="15">
        <v>1</v>
      </c>
      <c r="G91" s="15">
        <v>2</v>
      </c>
      <c r="H91" s="15">
        <v>2</v>
      </c>
      <c r="I91" s="15">
        <v>0</v>
      </c>
      <c r="J91" s="15">
        <v>0</v>
      </c>
      <c r="K91" s="15">
        <v>2</v>
      </c>
      <c r="L91" s="15">
        <v>1</v>
      </c>
      <c r="M91" s="15">
        <v>1</v>
      </c>
      <c r="N91" s="15">
        <v>3</v>
      </c>
      <c r="O91" s="15">
        <v>1</v>
      </c>
      <c r="P91" s="15">
        <v>3</v>
      </c>
      <c r="Q91" s="15">
        <v>0</v>
      </c>
      <c r="R91" s="15">
        <v>4</v>
      </c>
      <c r="S91" s="15">
        <v>1</v>
      </c>
      <c r="T91" s="15">
        <v>1</v>
      </c>
      <c r="U91" s="15">
        <v>0</v>
      </c>
      <c r="V91" s="15">
        <v>1</v>
      </c>
      <c r="W91" s="15">
        <v>0</v>
      </c>
      <c r="X91" s="15">
        <v>3</v>
      </c>
      <c r="Y91" s="15">
        <v>2</v>
      </c>
      <c r="Z91" s="15">
        <v>8</v>
      </c>
      <c r="AA91" s="15">
        <v>2</v>
      </c>
      <c r="AB91" s="15">
        <v>1</v>
      </c>
      <c r="AC91" s="15">
        <v>5</v>
      </c>
      <c r="AD91" s="15">
        <v>2</v>
      </c>
      <c r="AE91" s="15">
        <v>2</v>
      </c>
      <c r="AF91" s="15">
        <v>1</v>
      </c>
      <c r="AG91" s="15">
        <v>3</v>
      </c>
      <c r="AH91" s="15">
        <v>9</v>
      </c>
      <c r="AI91" s="15">
        <v>3</v>
      </c>
      <c r="AJ91" s="15">
        <v>3</v>
      </c>
      <c r="AK91" s="15">
        <v>2</v>
      </c>
      <c r="AL91" s="15">
        <v>3</v>
      </c>
      <c r="AM91" s="15">
        <v>5</v>
      </c>
      <c r="AN91" s="15">
        <v>1</v>
      </c>
      <c r="AO91" s="15">
        <v>2</v>
      </c>
      <c r="AP91" s="15">
        <v>2</v>
      </c>
      <c r="AQ91" s="15">
        <v>1</v>
      </c>
      <c r="AR91" s="15">
        <v>1</v>
      </c>
      <c r="AS91" s="15">
        <v>1</v>
      </c>
      <c r="AT91" s="15">
        <v>1</v>
      </c>
      <c r="AU91" s="15">
        <v>1</v>
      </c>
      <c r="AV91" s="15">
        <v>3</v>
      </c>
      <c r="AW91" s="15">
        <v>0</v>
      </c>
      <c r="AX91" s="15">
        <v>1</v>
      </c>
      <c r="AY91" s="15">
        <v>0</v>
      </c>
      <c r="AZ91" s="15">
        <v>2</v>
      </c>
      <c r="BA91" s="15">
        <v>0</v>
      </c>
      <c r="BB91" s="15">
        <v>0</v>
      </c>
      <c r="BC91" s="15">
        <v>0</v>
      </c>
    </row>
    <row r="92" spans="1:55" x14ac:dyDescent="0.35">
      <c r="A92" s="14" t="s">
        <v>84</v>
      </c>
      <c r="B92" s="15">
        <v>10</v>
      </c>
      <c r="C92" s="16">
        <v>33.234736947057065</v>
      </c>
      <c r="D92" s="15">
        <v>0</v>
      </c>
      <c r="E92" s="15">
        <v>0</v>
      </c>
      <c r="F92" s="15">
        <v>0</v>
      </c>
      <c r="G92" s="15">
        <v>0</v>
      </c>
      <c r="H92" s="15">
        <v>0</v>
      </c>
      <c r="I92" s="15">
        <v>0</v>
      </c>
      <c r="J92" s="15">
        <v>0</v>
      </c>
      <c r="K92" s="15">
        <v>0</v>
      </c>
      <c r="L92" s="15">
        <v>0</v>
      </c>
      <c r="M92" s="15">
        <v>0</v>
      </c>
      <c r="N92" s="15">
        <v>0</v>
      </c>
      <c r="O92" s="15">
        <v>0</v>
      </c>
      <c r="P92" s="15">
        <v>0</v>
      </c>
      <c r="Q92" s="15">
        <v>0</v>
      </c>
      <c r="R92" s="15">
        <v>0</v>
      </c>
      <c r="S92" s="15">
        <v>0</v>
      </c>
      <c r="T92" s="15">
        <v>0</v>
      </c>
      <c r="U92" s="15">
        <v>0</v>
      </c>
      <c r="V92" s="15">
        <v>0</v>
      </c>
      <c r="W92" s="15">
        <v>0</v>
      </c>
      <c r="X92" s="15">
        <v>0</v>
      </c>
      <c r="Y92" s="15">
        <v>0</v>
      </c>
      <c r="Z92" s="15">
        <v>0</v>
      </c>
      <c r="AA92" s="15">
        <v>3</v>
      </c>
      <c r="AB92" s="15">
        <v>1</v>
      </c>
      <c r="AC92" s="15">
        <v>2</v>
      </c>
      <c r="AD92" s="15">
        <v>0</v>
      </c>
      <c r="AE92" s="15">
        <v>0</v>
      </c>
      <c r="AF92" s="15">
        <v>1</v>
      </c>
      <c r="AG92" s="15">
        <v>0</v>
      </c>
      <c r="AH92" s="15">
        <v>1</v>
      </c>
      <c r="AI92" s="15">
        <v>0</v>
      </c>
      <c r="AJ92" s="15">
        <v>0</v>
      </c>
      <c r="AK92" s="15">
        <v>0</v>
      </c>
      <c r="AL92" s="15">
        <v>0</v>
      </c>
      <c r="AM92" s="15">
        <v>0</v>
      </c>
      <c r="AN92" s="15">
        <v>0</v>
      </c>
      <c r="AO92" s="15">
        <v>0</v>
      </c>
      <c r="AP92" s="15">
        <v>0</v>
      </c>
      <c r="AQ92" s="15">
        <v>0</v>
      </c>
      <c r="AR92" s="15">
        <v>0</v>
      </c>
      <c r="AS92" s="15">
        <v>0</v>
      </c>
      <c r="AT92" s="15">
        <v>0</v>
      </c>
      <c r="AU92" s="15">
        <v>0</v>
      </c>
      <c r="AV92" s="15">
        <v>0</v>
      </c>
      <c r="AW92" s="15">
        <v>0</v>
      </c>
      <c r="AX92" s="15">
        <v>1</v>
      </c>
      <c r="AY92" s="15">
        <v>0</v>
      </c>
      <c r="AZ92" s="15">
        <v>0</v>
      </c>
      <c r="BA92" s="15">
        <v>0</v>
      </c>
      <c r="BB92" s="15">
        <v>1</v>
      </c>
      <c r="BC92" s="15">
        <v>0</v>
      </c>
    </row>
    <row r="93" spans="1:55" x14ac:dyDescent="0.35">
      <c r="A93" s="14" t="s">
        <v>85</v>
      </c>
      <c r="B93" s="15">
        <v>52</v>
      </c>
      <c r="C93" s="16">
        <v>172.76895474782378</v>
      </c>
      <c r="D93" s="15">
        <v>2</v>
      </c>
      <c r="E93" s="15">
        <v>1</v>
      </c>
      <c r="F93" s="15">
        <v>0</v>
      </c>
      <c r="G93" s="15">
        <v>2</v>
      </c>
      <c r="H93" s="15">
        <v>0</v>
      </c>
      <c r="I93" s="15">
        <v>2</v>
      </c>
      <c r="J93" s="15">
        <v>0</v>
      </c>
      <c r="K93" s="15">
        <v>0</v>
      </c>
      <c r="L93" s="15">
        <v>0</v>
      </c>
      <c r="M93" s="15">
        <v>0</v>
      </c>
      <c r="N93" s="15">
        <v>1</v>
      </c>
      <c r="O93" s="15">
        <v>0</v>
      </c>
      <c r="P93" s="15">
        <v>0</v>
      </c>
      <c r="Q93" s="15">
        <v>0</v>
      </c>
      <c r="R93" s="15">
        <v>1</v>
      </c>
      <c r="S93" s="15">
        <v>1</v>
      </c>
      <c r="T93" s="15">
        <v>0</v>
      </c>
      <c r="U93" s="15">
        <v>2</v>
      </c>
      <c r="V93" s="15">
        <v>1</v>
      </c>
      <c r="W93" s="15">
        <v>1</v>
      </c>
      <c r="X93" s="15">
        <v>2</v>
      </c>
      <c r="Y93" s="15">
        <v>1</v>
      </c>
      <c r="Z93" s="15">
        <v>4</v>
      </c>
      <c r="AA93" s="15">
        <v>0</v>
      </c>
      <c r="AB93" s="15">
        <v>1</v>
      </c>
      <c r="AC93" s="15">
        <v>3</v>
      </c>
      <c r="AD93" s="15">
        <v>7</v>
      </c>
      <c r="AE93" s="15">
        <v>3</v>
      </c>
      <c r="AF93" s="15">
        <v>2</v>
      </c>
      <c r="AG93" s="15">
        <v>2</v>
      </c>
      <c r="AH93" s="15">
        <v>0</v>
      </c>
      <c r="AI93" s="15">
        <v>0</v>
      </c>
      <c r="AJ93" s="15">
        <v>1</v>
      </c>
      <c r="AK93" s="15">
        <v>3</v>
      </c>
      <c r="AL93" s="15">
        <v>2</v>
      </c>
      <c r="AM93" s="15">
        <v>1</v>
      </c>
      <c r="AN93" s="15">
        <v>1</v>
      </c>
      <c r="AO93" s="15">
        <v>0</v>
      </c>
      <c r="AP93" s="15">
        <v>2</v>
      </c>
      <c r="AQ93" s="15">
        <v>0</v>
      </c>
      <c r="AR93" s="15">
        <v>0</v>
      </c>
      <c r="AS93" s="15">
        <v>0</v>
      </c>
      <c r="AT93" s="15">
        <v>0</v>
      </c>
      <c r="AU93" s="15">
        <v>0</v>
      </c>
      <c r="AV93" s="15">
        <v>1</v>
      </c>
      <c r="AW93" s="15">
        <v>0</v>
      </c>
      <c r="AX93" s="15">
        <v>0</v>
      </c>
      <c r="AY93" s="15">
        <v>1</v>
      </c>
      <c r="AZ93" s="15">
        <v>0</v>
      </c>
      <c r="BA93" s="15">
        <v>0</v>
      </c>
      <c r="BB93" s="15">
        <v>0</v>
      </c>
      <c r="BC93" s="15">
        <v>1</v>
      </c>
    </row>
    <row r="94" spans="1:55" x14ac:dyDescent="0.35">
      <c r="A94" s="14" t="s">
        <v>86</v>
      </c>
      <c r="B94" s="15">
        <v>55</v>
      </c>
      <c r="C94" s="16">
        <v>129.36306331733934</v>
      </c>
      <c r="D94" s="15">
        <v>0</v>
      </c>
      <c r="E94" s="15">
        <v>1</v>
      </c>
      <c r="F94" s="15">
        <v>0</v>
      </c>
      <c r="G94" s="15">
        <v>1</v>
      </c>
      <c r="H94" s="15">
        <v>0</v>
      </c>
      <c r="I94" s="15">
        <v>0</v>
      </c>
      <c r="J94" s="15">
        <v>1</v>
      </c>
      <c r="K94" s="15">
        <v>0</v>
      </c>
      <c r="L94" s="15">
        <v>0</v>
      </c>
      <c r="M94" s="15">
        <v>0</v>
      </c>
      <c r="N94" s="15">
        <v>0</v>
      </c>
      <c r="O94" s="15">
        <v>1</v>
      </c>
      <c r="P94" s="15">
        <v>2</v>
      </c>
      <c r="Q94" s="15">
        <v>0</v>
      </c>
      <c r="R94" s="15">
        <v>1</v>
      </c>
      <c r="S94" s="15">
        <v>2</v>
      </c>
      <c r="T94" s="15">
        <v>2</v>
      </c>
      <c r="U94" s="15">
        <v>3</v>
      </c>
      <c r="V94" s="15">
        <v>0</v>
      </c>
      <c r="W94" s="15">
        <v>0</v>
      </c>
      <c r="X94" s="15">
        <v>0</v>
      </c>
      <c r="Y94" s="15">
        <v>0</v>
      </c>
      <c r="Z94" s="15">
        <v>3</v>
      </c>
      <c r="AA94" s="15">
        <v>1</v>
      </c>
      <c r="AB94" s="15">
        <v>5</v>
      </c>
      <c r="AC94" s="15">
        <v>3</v>
      </c>
      <c r="AD94" s="15">
        <v>2</v>
      </c>
      <c r="AE94" s="15">
        <v>0</v>
      </c>
      <c r="AF94" s="15">
        <v>0</v>
      </c>
      <c r="AG94" s="15">
        <v>0</v>
      </c>
      <c r="AH94" s="15">
        <v>3</v>
      </c>
      <c r="AI94" s="15">
        <v>1</v>
      </c>
      <c r="AJ94" s="15">
        <v>1</v>
      </c>
      <c r="AK94" s="15">
        <v>1</v>
      </c>
      <c r="AL94" s="15">
        <v>1</v>
      </c>
      <c r="AM94" s="15">
        <v>1</v>
      </c>
      <c r="AN94" s="15">
        <v>1</v>
      </c>
      <c r="AO94" s="15">
        <v>3</v>
      </c>
      <c r="AP94" s="15">
        <v>0</v>
      </c>
      <c r="AQ94" s="15">
        <v>2</v>
      </c>
      <c r="AR94" s="15">
        <v>2</v>
      </c>
      <c r="AS94" s="15">
        <v>0</v>
      </c>
      <c r="AT94" s="15">
        <v>2</v>
      </c>
      <c r="AU94" s="15">
        <v>0</v>
      </c>
      <c r="AV94" s="15">
        <v>2</v>
      </c>
      <c r="AW94" s="15">
        <v>1</v>
      </c>
      <c r="AX94" s="15">
        <v>2</v>
      </c>
      <c r="AY94" s="15">
        <v>1</v>
      </c>
      <c r="AZ94" s="15">
        <v>1</v>
      </c>
      <c r="BA94" s="15">
        <v>2</v>
      </c>
      <c r="BB94" s="15">
        <v>0</v>
      </c>
      <c r="BC94" s="15">
        <v>0</v>
      </c>
    </row>
    <row r="95" spans="1:55" x14ac:dyDescent="0.35">
      <c r="A95" s="14" t="s">
        <v>87</v>
      </c>
      <c r="B95" s="15">
        <v>6</v>
      </c>
      <c r="C95" s="16">
        <v>13.695190705530575</v>
      </c>
      <c r="D95" s="15">
        <v>0</v>
      </c>
      <c r="E95" s="15">
        <v>0</v>
      </c>
      <c r="F95" s="15">
        <v>0</v>
      </c>
      <c r="G95" s="15">
        <v>1</v>
      </c>
      <c r="H95" s="15">
        <v>0</v>
      </c>
      <c r="I95" s="15">
        <v>0</v>
      </c>
      <c r="J95" s="15">
        <v>0</v>
      </c>
      <c r="K95" s="15">
        <v>1</v>
      </c>
      <c r="L95" s="15">
        <v>0</v>
      </c>
      <c r="M95" s="15">
        <v>0</v>
      </c>
      <c r="N95" s="15">
        <v>0</v>
      </c>
      <c r="O95" s="15">
        <v>0</v>
      </c>
      <c r="P95" s="15">
        <v>0</v>
      </c>
      <c r="Q95" s="15">
        <v>0</v>
      </c>
      <c r="R95" s="15">
        <v>0</v>
      </c>
      <c r="S95" s="15">
        <v>0</v>
      </c>
      <c r="T95" s="15">
        <v>0</v>
      </c>
      <c r="U95" s="15">
        <v>0</v>
      </c>
      <c r="V95" s="15">
        <v>0</v>
      </c>
      <c r="W95" s="15">
        <v>0</v>
      </c>
      <c r="X95" s="15">
        <v>0</v>
      </c>
      <c r="Y95" s="15">
        <v>0</v>
      </c>
      <c r="Z95" s="15">
        <v>0</v>
      </c>
      <c r="AA95" s="15">
        <v>0</v>
      </c>
      <c r="AB95" s="15">
        <v>0</v>
      </c>
      <c r="AC95" s="15">
        <v>1</v>
      </c>
      <c r="AD95" s="15">
        <v>0</v>
      </c>
      <c r="AE95" s="15">
        <v>1</v>
      </c>
      <c r="AF95" s="15">
        <v>0</v>
      </c>
      <c r="AG95" s="15">
        <v>1</v>
      </c>
      <c r="AH95" s="15">
        <v>0</v>
      </c>
      <c r="AI95" s="15">
        <v>0</v>
      </c>
      <c r="AJ95" s="15">
        <v>0</v>
      </c>
      <c r="AK95" s="15">
        <v>0</v>
      </c>
      <c r="AL95" s="15">
        <v>0</v>
      </c>
      <c r="AM95" s="15">
        <v>0</v>
      </c>
      <c r="AN95" s="15">
        <v>1</v>
      </c>
      <c r="AO95" s="15">
        <v>0</v>
      </c>
      <c r="AP95" s="15">
        <v>0</v>
      </c>
      <c r="AQ95" s="15">
        <v>0</v>
      </c>
      <c r="AR95" s="15">
        <v>0</v>
      </c>
      <c r="AS95" s="15">
        <v>0</v>
      </c>
      <c r="AT95" s="15">
        <v>0</v>
      </c>
      <c r="AU95" s="15">
        <v>0</v>
      </c>
      <c r="AV95" s="15">
        <v>0</v>
      </c>
      <c r="AW95" s="15">
        <v>0</v>
      </c>
      <c r="AX95" s="15">
        <v>0</v>
      </c>
      <c r="AY95" s="15">
        <v>0</v>
      </c>
      <c r="AZ95" s="15">
        <v>0</v>
      </c>
      <c r="BA95" s="15">
        <v>0</v>
      </c>
      <c r="BB95" s="15">
        <v>0</v>
      </c>
      <c r="BC95" s="15">
        <v>0</v>
      </c>
    </row>
    <row r="96" spans="1:55" x14ac:dyDescent="0.35">
      <c r="A96" s="14" t="s">
        <v>88</v>
      </c>
      <c r="B96" s="15">
        <v>37</v>
      </c>
      <c r="C96" s="16">
        <v>206.1396178060059</v>
      </c>
      <c r="D96" s="15">
        <v>1</v>
      </c>
      <c r="E96" s="15">
        <v>0</v>
      </c>
      <c r="F96" s="15">
        <v>0</v>
      </c>
      <c r="G96" s="15">
        <v>0</v>
      </c>
      <c r="H96" s="15">
        <v>0</v>
      </c>
      <c r="I96" s="15">
        <v>0</v>
      </c>
      <c r="J96" s="15">
        <v>2</v>
      </c>
      <c r="K96" s="15">
        <v>1</v>
      </c>
      <c r="L96" s="15">
        <v>0</v>
      </c>
      <c r="M96" s="15">
        <v>1</v>
      </c>
      <c r="N96" s="15">
        <v>0</v>
      </c>
      <c r="O96" s="15">
        <v>1</v>
      </c>
      <c r="P96" s="15">
        <v>5</v>
      </c>
      <c r="Q96" s="15">
        <v>0</v>
      </c>
      <c r="R96" s="15">
        <v>0</v>
      </c>
      <c r="S96" s="15">
        <v>0</v>
      </c>
      <c r="T96" s="15">
        <v>0</v>
      </c>
      <c r="U96" s="15">
        <v>0</v>
      </c>
      <c r="V96" s="15">
        <v>0</v>
      </c>
      <c r="W96" s="15">
        <v>2</v>
      </c>
      <c r="X96" s="15">
        <v>1</v>
      </c>
      <c r="Y96" s="15">
        <v>0</v>
      </c>
      <c r="Z96" s="15">
        <v>2</v>
      </c>
      <c r="AA96" s="15">
        <v>0</v>
      </c>
      <c r="AB96" s="15">
        <v>0</v>
      </c>
      <c r="AC96" s="15">
        <v>1</v>
      </c>
      <c r="AD96" s="15">
        <v>0</v>
      </c>
      <c r="AE96" s="15">
        <v>1</v>
      </c>
      <c r="AF96" s="15">
        <v>1</v>
      </c>
      <c r="AG96" s="15">
        <v>1</v>
      </c>
      <c r="AH96" s="15">
        <v>2</v>
      </c>
      <c r="AI96" s="15">
        <v>1</v>
      </c>
      <c r="AJ96" s="15">
        <v>0</v>
      </c>
      <c r="AK96" s="15">
        <v>0</v>
      </c>
      <c r="AL96" s="15">
        <v>1</v>
      </c>
      <c r="AM96" s="15">
        <v>1</v>
      </c>
      <c r="AN96" s="15">
        <v>2</v>
      </c>
      <c r="AO96" s="15">
        <v>0</v>
      </c>
      <c r="AP96" s="15">
        <v>0</v>
      </c>
      <c r="AQ96" s="15">
        <v>1</v>
      </c>
      <c r="AR96" s="15">
        <v>0</v>
      </c>
      <c r="AS96" s="15">
        <v>2</v>
      </c>
      <c r="AT96" s="15">
        <v>1</v>
      </c>
      <c r="AU96" s="15">
        <v>1</v>
      </c>
      <c r="AV96" s="15">
        <v>0</v>
      </c>
      <c r="AW96" s="15">
        <v>2</v>
      </c>
      <c r="AX96" s="15">
        <v>0</v>
      </c>
      <c r="AY96" s="15">
        <v>0</v>
      </c>
      <c r="AZ96" s="15">
        <v>1</v>
      </c>
      <c r="BA96" s="15">
        <v>0</v>
      </c>
      <c r="BB96" s="15">
        <v>1</v>
      </c>
      <c r="BC96" s="15">
        <v>1</v>
      </c>
    </row>
    <row r="97" spans="1:55" x14ac:dyDescent="0.35">
      <c r="A97" s="14" t="s">
        <v>89</v>
      </c>
      <c r="B97" s="15">
        <v>29</v>
      </c>
      <c r="C97" s="16">
        <v>59.293790508904294</v>
      </c>
      <c r="D97" s="15">
        <v>1</v>
      </c>
      <c r="E97" s="15">
        <v>1</v>
      </c>
      <c r="F97" s="15">
        <v>1</v>
      </c>
      <c r="G97" s="15">
        <v>0</v>
      </c>
      <c r="H97" s="15">
        <v>0</v>
      </c>
      <c r="I97" s="15">
        <v>0</v>
      </c>
      <c r="J97" s="15">
        <v>0</v>
      </c>
      <c r="K97" s="15">
        <v>1</v>
      </c>
      <c r="L97" s="15">
        <v>0</v>
      </c>
      <c r="M97" s="15">
        <v>0</v>
      </c>
      <c r="N97" s="15">
        <v>0</v>
      </c>
      <c r="O97" s="15">
        <v>0</v>
      </c>
      <c r="P97" s="15">
        <v>0</v>
      </c>
      <c r="Q97" s="15">
        <v>1</v>
      </c>
      <c r="R97" s="15">
        <v>0</v>
      </c>
      <c r="S97" s="15">
        <v>1</v>
      </c>
      <c r="T97" s="15">
        <v>2</v>
      </c>
      <c r="U97" s="15">
        <v>0</v>
      </c>
      <c r="V97" s="15">
        <v>1</v>
      </c>
      <c r="W97" s="15">
        <v>2</v>
      </c>
      <c r="X97" s="15">
        <v>1</v>
      </c>
      <c r="Y97" s="15">
        <v>2</v>
      </c>
      <c r="Z97" s="15">
        <v>1</v>
      </c>
      <c r="AA97" s="15">
        <v>0</v>
      </c>
      <c r="AB97" s="15">
        <v>0</v>
      </c>
      <c r="AC97" s="15">
        <v>0</v>
      </c>
      <c r="AD97" s="15">
        <v>1</v>
      </c>
      <c r="AE97" s="15">
        <v>2</v>
      </c>
      <c r="AF97" s="15">
        <v>0</v>
      </c>
      <c r="AG97" s="15">
        <v>0</v>
      </c>
      <c r="AH97" s="15">
        <v>2</v>
      </c>
      <c r="AI97" s="15">
        <v>1</v>
      </c>
      <c r="AJ97" s="15">
        <v>0</v>
      </c>
      <c r="AK97" s="15">
        <v>0</v>
      </c>
      <c r="AL97" s="15">
        <v>1</v>
      </c>
      <c r="AM97" s="15">
        <v>0</v>
      </c>
      <c r="AN97" s="15">
        <v>0</v>
      </c>
      <c r="AO97" s="15">
        <v>1</v>
      </c>
      <c r="AP97" s="15">
        <v>1</v>
      </c>
      <c r="AQ97" s="15">
        <v>1</v>
      </c>
      <c r="AR97" s="15">
        <v>0</v>
      </c>
      <c r="AS97" s="15">
        <v>2</v>
      </c>
      <c r="AT97" s="15">
        <v>0</v>
      </c>
      <c r="AU97" s="15">
        <v>0</v>
      </c>
      <c r="AV97" s="15">
        <v>2</v>
      </c>
      <c r="AW97" s="15">
        <v>0</v>
      </c>
      <c r="AX97" s="15">
        <v>0</v>
      </c>
      <c r="AY97" s="15">
        <v>0</v>
      </c>
      <c r="AZ97" s="15">
        <v>0</v>
      </c>
      <c r="BA97" s="15">
        <v>0</v>
      </c>
      <c r="BB97" s="15">
        <v>0</v>
      </c>
      <c r="BC97" s="15">
        <v>0</v>
      </c>
    </row>
    <row r="98" spans="1:55" x14ac:dyDescent="0.35">
      <c r="A98" s="14" t="s">
        <v>90</v>
      </c>
      <c r="B98" s="15">
        <v>41</v>
      </c>
      <c r="C98" s="16">
        <v>185.36938240347229</v>
      </c>
      <c r="D98" s="15">
        <v>1</v>
      </c>
      <c r="E98" s="15">
        <v>3</v>
      </c>
      <c r="F98" s="15">
        <v>0</v>
      </c>
      <c r="G98" s="15">
        <v>0</v>
      </c>
      <c r="H98" s="15">
        <v>1</v>
      </c>
      <c r="I98" s="15">
        <v>0</v>
      </c>
      <c r="J98" s="15">
        <v>1</v>
      </c>
      <c r="K98" s="15">
        <v>1</v>
      </c>
      <c r="L98" s="15">
        <v>1</v>
      </c>
      <c r="M98" s="15">
        <v>0</v>
      </c>
      <c r="N98" s="15">
        <v>0</v>
      </c>
      <c r="O98" s="15">
        <v>2</v>
      </c>
      <c r="P98" s="15">
        <v>0</v>
      </c>
      <c r="Q98" s="15">
        <v>0</v>
      </c>
      <c r="R98" s="15">
        <v>0</v>
      </c>
      <c r="S98" s="15">
        <v>1</v>
      </c>
      <c r="T98" s="15">
        <v>1</v>
      </c>
      <c r="U98" s="15">
        <v>0</v>
      </c>
      <c r="V98" s="15">
        <v>1</v>
      </c>
      <c r="W98" s="15">
        <v>0</v>
      </c>
      <c r="X98" s="15">
        <v>1</v>
      </c>
      <c r="Y98" s="15">
        <v>1</v>
      </c>
      <c r="Z98" s="15">
        <v>0</v>
      </c>
      <c r="AA98" s="15">
        <v>2</v>
      </c>
      <c r="AB98" s="15">
        <v>1</v>
      </c>
      <c r="AC98" s="15">
        <v>0</v>
      </c>
      <c r="AD98" s="15">
        <v>2</v>
      </c>
      <c r="AE98" s="15">
        <v>2</v>
      </c>
      <c r="AF98" s="15">
        <v>4</v>
      </c>
      <c r="AG98" s="15">
        <v>0</v>
      </c>
      <c r="AH98" s="15">
        <v>1</v>
      </c>
      <c r="AI98" s="15">
        <v>1</v>
      </c>
      <c r="AJ98" s="15">
        <v>0</v>
      </c>
      <c r="AK98" s="15">
        <v>0</v>
      </c>
      <c r="AL98" s="15">
        <v>0</v>
      </c>
      <c r="AM98" s="15">
        <v>0</v>
      </c>
      <c r="AN98" s="15">
        <v>0</v>
      </c>
      <c r="AO98" s="15">
        <v>0</v>
      </c>
      <c r="AP98" s="15">
        <v>1</v>
      </c>
      <c r="AQ98" s="15">
        <v>0</v>
      </c>
      <c r="AR98" s="15">
        <v>2</v>
      </c>
      <c r="AS98" s="15">
        <v>1</v>
      </c>
      <c r="AT98" s="15">
        <v>2</v>
      </c>
      <c r="AU98" s="15">
        <v>1</v>
      </c>
      <c r="AV98" s="15">
        <v>1</v>
      </c>
      <c r="AW98" s="15">
        <v>2</v>
      </c>
      <c r="AX98" s="15">
        <v>1</v>
      </c>
      <c r="AY98" s="15">
        <v>1</v>
      </c>
      <c r="AZ98" s="15">
        <v>0</v>
      </c>
      <c r="BA98" s="15">
        <v>1</v>
      </c>
      <c r="BB98" s="15">
        <v>0</v>
      </c>
      <c r="BC98" s="15">
        <v>0</v>
      </c>
    </row>
    <row r="99" spans="1:55" x14ac:dyDescent="0.35">
      <c r="A99" s="14"/>
      <c r="B99" s="12"/>
      <c r="C99" s="13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</row>
    <row r="100" spans="1:55" x14ac:dyDescent="0.35">
      <c r="A100" s="1" t="s">
        <v>91</v>
      </c>
      <c r="B100" s="10">
        <v>2192</v>
      </c>
      <c r="C100" s="11">
        <v>512.02631142505425</v>
      </c>
      <c r="D100" s="10">
        <v>23</v>
      </c>
      <c r="E100" s="10">
        <v>31</v>
      </c>
      <c r="F100" s="10">
        <v>24</v>
      </c>
      <c r="G100" s="10">
        <v>18</v>
      </c>
      <c r="H100" s="10">
        <v>21</v>
      </c>
      <c r="I100" s="10">
        <v>21</v>
      </c>
      <c r="J100" s="10">
        <v>21</v>
      </c>
      <c r="K100" s="10">
        <v>16</v>
      </c>
      <c r="L100" s="10">
        <v>17</v>
      </c>
      <c r="M100" s="10">
        <v>17</v>
      </c>
      <c r="N100" s="10">
        <v>18</v>
      </c>
      <c r="O100" s="10">
        <v>23</v>
      </c>
      <c r="P100" s="10">
        <v>24</v>
      </c>
      <c r="Q100" s="10">
        <v>21</v>
      </c>
      <c r="R100" s="10">
        <v>26</v>
      </c>
      <c r="S100" s="10">
        <v>19</v>
      </c>
      <c r="T100" s="10">
        <v>15</v>
      </c>
      <c r="U100" s="10">
        <v>22</v>
      </c>
      <c r="V100" s="10">
        <v>25</v>
      </c>
      <c r="W100" s="10">
        <v>21</v>
      </c>
      <c r="X100" s="10">
        <v>44</v>
      </c>
      <c r="Y100" s="10">
        <v>55</v>
      </c>
      <c r="Z100" s="10">
        <v>70</v>
      </c>
      <c r="AA100" s="10">
        <v>52</v>
      </c>
      <c r="AB100" s="10">
        <v>83</v>
      </c>
      <c r="AC100" s="10">
        <v>88</v>
      </c>
      <c r="AD100" s="10">
        <v>88</v>
      </c>
      <c r="AE100" s="10">
        <v>122</v>
      </c>
      <c r="AF100" s="10">
        <v>103</v>
      </c>
      <c r="AG100" s="10">
        <v>98</v>
      </c>
      <c r="AH100" s="10">
        <v>112</v>
      </c>
      <c r="AI100" s="10">
        <v>77</v>
      </c>
      <c r="AJ100" s="10">
        <v>94</v>
      </c>
      <c r="AK100" s="10">
        <v>77</v>
      </c>
      <c r="AL100" s="10">
        <v>67</v>
      </c>
      <c r="AM100" s="10">
        <v>84</v>
      </c>
      <c r="AN100" s="10">
        <v>56</v>
      </c>
      <c r="AO100" s="10">
        <v>49</v>
      </c>
      <c r="AP100" s="10">
        <v>40</v>
      </c>
      <c r="AQ100" s="10">
        <v>38</v>
      </c>
      <c r="AR100" s="10">
        <v>23</v>
      </c>
      <c r="AS100" s="10">
        <v>30</v>
      </c>
      <c r="AT100" s="10">
        <v>40</v>
      </c>
      <c r="AU100" s="10">
        <v>34</v>
      </c>
      <c r="AV100" s="10">
        <v>27</v>
      </c>
      <c r="AW100" s="10">
        <v>28</v>
      </c>
      <c r="AX100" s="10">
        <v>23</v>
      </c>
      <c r="AY100" s="10">
        <v>19</v>
      </c>
      <c r="AZ100" s="10">
        <v>10</v>
      </c>
      <c r="BA100" s="10">
        <v>15</v>
      </c>
      <c r="BB100" s="10">
        <v>11</v>
      </c>
      <c r="BC100" s="10">
        <v>12</v>
      </c>
    </row>
    <row r="101" spans="1:55" x14ac:dyDescent="0.35">
      <c r="A101" s="14" t="s">
        <v>92</v>
      </c>
      <c r="B101" s="15">
        <v>171</v>
      </c>
      <c r="C101" s="16">
        <v>175.09548335568957</v>
      </c>
      <c r="D101" s="15">
        <v>2</v>
      </c>
      <c r="E101" s="15">
        <v>7</v>
      </c>
      <c r="F101" s="15">
        <v>4</v>
      </c>
      <c r="G101" s="15">
        <v>1</v>
      </c>
      <c r="H101" s="15">
        <v>3</v>
      </c>
      <c r="I101" s="15">
        <v>4</v>
      </c>
      <c r="J101" s="15">
        <v>3</v>
      </c>
      <c r="K101" s="15">
        <v>3</v>
      </c>
      <c r="L101" s="15">
        <v>3</v>
      </c>
      <c r="M101" s="15">
        <v>1</v>
      </c>
      <c r="N101" s="15">
        <v>5</v>
      </c>
      <c r="O101" s="15">
        <v>1</v>
      </c>
      <c r="P101" s="15">
        <v>3</v>
      </c>
      <c r="Q101" s="15">
        <v>4</v>
      </c>
      <c r="R101" s="15">
        <v>0</v>
      </c>
      <c r="S101" s="15">
        <v>2</v>
      </c>
      <c r="T101" s="15">
        <v>0</v>
      </c>
      <c r="U101" s="15">
        <v>2</v>
      </c>
      <c r="V101" s="15">
        <v>0</v>
      </c>
      <c r="W101" s="15">
        <v>0</v>
      </c>
      <c r="X101" s="15">
        <v>0</v>
      </c>
      <c r="Y101" s="15">
        <v>5</v>
      </c>
      <c r="Z101" s="15">
        <v>1</v>
      </c>
      <c r="AA101" s="15">
        <v>3</v>
      </c>
      <c r="AB101" s="15">
        <v>3</v>
      </c>
      <c r="AC101" s="15">
        <v>5</v>
      </c>
      <c r="AD101" s="15">
        <v>7</v>
      </c>
      <c r="AE101" s="15">
        <v>12</v>
      </c>
      <c r="AF101" s="15">
        <v>15</v>
      </c>
      <c r="AG101" s="15">
        <v>7</v>
      </c>
      <c r="AH101" s="15">
        <v>7</v>
      </c>
      <c r="AI101" s="15">
        <v>6</v>
      </c>
      <c r="AJ101" s="15">
        <v>4</v>
      </c>
      <c r="AK101" s="15">
        <v>9</v>
      </c>
      <c r="AL101" s="15">
        <v>7</v>
      </c>
      <c r="AM101" s="15">
        <v>7</v>
      </c>
      <c r="AN101" s="15">
        <v>4</v>
      </c>
      <c r="AO101" s="15">
        <v>1</v>
      </c>
      <c r="AP101" s="15">
        <v>1</v>
      </c>
      <c r="AQ101" s="15">
        <v>2</v>
      </c>
      <c r="AR101" s="15">
        <v>0</v>
      </c>
      <c r="AS101" s="15">
        <v>3</v>
      </c>
      <c r="AT101" s="15">
        <v>4</v>
      </c>
      <c r="AU101" s="15">
        <v>4</v>
      </c>
      <c r="AV101" s="15">
        <v>0</v>
      </c>
      <c r="AW101" s="15">
        <v>0</v>
      </c>
      <c r="AX101" s="15">
        <v>0</v>
      </c>
      <c r="AY101" s="15">
        <v>6</v>
      </c>
      <c r="AZ101" s="15">
        <v>0</v>
      </c>
      <c r="BA101" s="15">
        <v>0</v>
      </c>
      <c r="BB101" s="15">
        <v>0</v>
      </c>
      <c r="BC101" s="15">
        <v>0</v>
      </c>
    </row>
    <row r="102" spans="1:55" x14ac:dyDescent="0.35">
      <c r="A102" s="14" t="s">
        <v>93</v>
      </c>
      <c r="B102" s="15">
        <v>624</v>
      </c>
      <c r="C102" s="16">
        <v>452.80061534442603</v>
      </c>
      <c r="D102" s="15">
        <v>11</v>
      </c>
      <c r="E102" s="15">
        <v>15</v>
      </c>
      <c r="F102" s="15">
        <v>12</v>
      </c>
      <c r="G102" s="15">
        <v>7</v>
      </c>
      <c r="H102" s="15">
        <v>8</v>
      </c>
      <c r="I102" s="15">
        <v>9</v>
      </c>
      <c r="J102" s="15">
        <v>5</v>
      </c>
      <c r="K102" s="15">
        <v>5</v>
      </c>
      <c r="L102" s="15">
        <v>6</v>
      </c>
      <c r="M102" s="15">
        <v>9</v>
      </c>
      <c r="N102" s="15">
        <v>4</v>
      </c>
      <c r="O102" s="15">
        <v>8</v>
      </c>
      <c r="P102" s="15">
        <v>5</v>
      </c>
      <c r="Q102" s="15">
        <v>7</v>
      </c>
      <c r="R102" s="15">
        <v>4</v>
      </c>
      <c r="S102" s="15">
        <v>4</v>
      </c>
      <c r="T102" s="15">
        <v>7</v>
      </c>
      <c r="U102" s="15">
        <v>9</v>
      </c>
      <c r="V102" s="15">
        <v>7</v>
      </c>
      <c r="W102" s="15">
        <v>7</v>
      </c>
      <c r="X102" s="15">
        <v>15</v>
      </c>
      <c r="Y102" s="15">
        <v>17</v>
      </c>
      <c r="Z102" s="15">
        <v>19</v>
      </c>
      <c r="AA102" s="15">
        <v>7</v>
      </c>
      <c r="AB102" s="15">
        <v>12</v>
      </c>
      <c r="AC102" s="15">
        <v>29</v>
      </c>
      <c r="AD102" s="15">
        <v>30</v>
      </c>
      <c r="AE102" s="15">
        <v>21</v>
      </c>
      <c r="AF102" s="15">
        <v>19</v>
      </c>
      <c r="AG102" s="15">
        <v>15</v>
      </c>
      <c r="AH102" s="15">
        <v>23</v>
      </c>
      <c r="AI102" s="15">
        <v>23</v>
      </c>
      <c r="AJ102" s="15">
        <v>32</v>
      </c>
      <c r="AK102" s="15">
        <v>9</v>
      </c>
      <c r="AL102" s="15">
        <v>13</v>
      </c>
      <c r="AM102" s="15">
        <v>29</v>
      </c>
      <c r="AN102" s="15">
        <v>16</v>
      </c>
      <c r="AO102" s="15">
        <v>11</v>
      </c>
      <c r="AP102" s="15">
        <v>9</v>
      </c>
      <c r="AQ102" s="15">
        <v>13</v>
      </c>
      <c r="AR102" s="15">
        <v>8</v>
      </c>
      <c r="AS102" s="15">
        <v>10</v>
      </c>
      <c r="AT102" s="15">
        <v>12</v>
      </c>
      <c r="AU102" s="15">
        <v>13</v>
      </c>
      <c r="AV102" s="15">
        <v>8</v>
      </c>
      <c r="AW102" s="15">
        <v>20</v>
      </c>
      <c r="AX102" s="15">
        <v>10</v>
      </c>
      <c r="AY102" s="15">
        <v>6</v>
      </c>
      <c r="AZ102" s="15">
        <v>3</v>
      </c>
      <c r="BA102" s="15">
        <v>10</v>
      </c>
      <c r="BB102" s="15">
        <v>6</v>
      </c>
      <c r="BC102" s="15">
        <v>7</v>
      </c>
    </row>
    <row r="103" spans="1:55" x14ac:dyDescent="0.35">
      <c r="A103" s="14" t="s">
        <v>94</v>
      </c>
      <c r="B103" s="15">
        <v>297</v>
      </c>
      <c r="C103" s="16">
        <v>478.36871436394676</v>
      </c>
      <c r="D103" s="15">
        <v>9</v>
      </c>
      <c r="E103" s="15">
        <v>6</v>
      </c>
      <c r="F103" s="15">
        <v>6</v>
      </c>
      <c r="G103" s="15">
        <v>8</v>
      </c>
      <c r="H103" s="15">
        <v>6</v>
      </c>
      <c r="I103" s="15">
        <v>6</v>
      </c>
      <c r="J103" s="15">
        <v>7</v>
      </c>
      <c r="K103" s="15">
        <v>4</v>
      </c>
      <c r="L103" s="15">
        <v>2</v>
      </c>
      <c r="M103" s="15">
        <v>3</v>
      </c>
      <c r="N103" s="15">
        <v>2</v>
      </c>
      <c r="O103" s="15">
        <v>2</v>
      </c>
      <c r="P103" s="15">
        <v>3</v>
      </c>
      <c r="Q103" s="15">
        <v>1</v>
      </c>
      <c r="R103" s="15">
        <v>3</v>
      </c>
      <c r="S103" s="15">
        <v>3</v>
      </c>
      <c r="T103" s="15">
        <v>2</v>
      </c>
      <c r="U103" s="15">
        <v>1</v>
      </c>
      <c r="V103" s="15">
        <v>2</v>
      </c>
      <c r="W103" s="15">
        <v>4</v>
      </c>
      <c r="X103" s="15">
        <v>4</v>
      </c>
      <c r="Y103" s="15">
        <v>12</v>
      </c>
      <c r="Z103" s="15">
        <v>10</v>
      </c>
      <c r="AA103" s="15">
        <v>10</v>
      </c>
      <c r="AB103" s="15">
        <v>10</v>
      </c>
      <c r="AC103" s="15">
        <v>9</v>
      </c>
      <c r="AD103" s="15">
        <v>11</v>
      </c>
      <c r="AE103" s="15">
        <v>15</v>
      </c>
      <c r="AF103" s="15">
        <v>8</v>
      </c>
      <c r="AG103" s="15">
        <v>12</v>
      </c>
      <c r="AH103" s="15">
        <v>14</v>
      </c>
      <c r="AI103" s="15">
        <v>7</v>
      </c>
      <c r="AJ103" s="15">
        <v>7</v>
      </c>
      <c r="AK103" s="15">
        <v>11</v>
      </c>
      <c r="AL103" s="15">
        <v>3</v>
      </c>
      <c r="AM103" s="15">
        <v>16</v>
      </c>
      <c r="AN103" s="15">
        <v>12</v>
      </c>
      <c r="AO103" s="15">
        <v>6</v>
      </c>
      <c r="AP103" s="15">
        <v>3</v>
      </c>
      <c r="AQ103" s="15">
        <v>1</v>
      </c>
      <c r="AR103" s="15">
        <v>5</v>
      </c>
      <c r="AS103" s="15">
        <v>1</v>
      </c>
      <c r="AT103" s="15">
        <v>6</v>
      </c>
      <c r="AU103" s="15">
        <v>8</v>
      </c>
      <c r="AV103" s="15">
        <v>4</v>
      </c>
      <c r="AW103" s="15">
        <v>0</v>
      </c>
      <c r="AX103" s="15">
        <v>3</v>
      </c>
      <c r="AY103" s="15">
        <v>1</v>
      </c>
      <c r="AZ103" s="15">
        <v>4</v>
      </c>
      <c r="BA103" s="15">
        <v>2</v>
      </c>
      <c r="BB103" s="15">
        <v>1</v>
      </c>
      <c r="BC103" s="15">
        <v>1</v>
      </c>
    </row>
    <row r="104" spans="1:55" x14ac:dyDescent="0.35">
      <c r="A104" s="14" t="s">
        <v>95</v>
      </c>
      <c r="B104" s="15">
        <v>30</v>
      </c>
      <c r="C104" s="16">
        <v>78.501151350219814</v>
      </c>
      <c r="D104" s="15">
        <v>0</v>
      </c>
      <c r="E104" s="15">
        <v>1</v>
      </c>
      <c r="F104" s="15">
        <v>2</v>
      </c>
      <c r="G104" s="15">
        <v>0</v>
      </c>
      <c r="H104" s="15">
        <v>0</v>
      </c>
      <c r="I104" s="15">
        <v>0</v>
      </c>
      <c r="J104" s="15">
        <v>1</v>
      </c>
      <c r="K104" s="15">
        <v>1</v>
      </c>
      <c r="L104" s="15">
        <v>1</v>
      </c>
      <c r="M104" s="15">
        <v>0</v>
      </c>
      <c r="N104" s="15">
        <v>1</v>
      </c>
      <c r="O104" s="15">
        <v>0</v>
      </c>
      <c r="P104" s="15">
        <v>0</v>
      </c>
      <c r="Q104" s="15">
        <v>0</v>
      </c>
      <c r="R104" s="15">
        <v>2</v>
      </c>
      <c r="S104" s="15">
        <v>0</v>
      </c>
      <c r="T104" s="15">
        <v>0</v>
      </c>
      <c r="U104" s="15">
        <v>0</v>
      </c>
      <c r="V104" s="15">
        <v>0</v>
      </c>
      <c r="W104" s="15">
        <v>0</v>
      </c>
      <c r="X104" s="15">
        <v>0</v>
      </c>
      <c r="Y104" s="15">
        <v>1</v>
      </c>
      <c r="Z104" s="15">
        <v>1</v>
      </c>
      <c r="AA104" s="15">
        <v>0</v>
      </c>
      <c r="AB104" s="15">
        <v>1</v>
      </c>
      <c r="AC104" s="15">
        <v>0</v>
      </c>
      <c r="AD104" s="15">
        <v>0</v>
      </c>
      <c r="AE104" s="15">
        <v>1</v>
      </c>
      <c r="AF104" s="15">
        <v>0</v>
      </c>
      <c r="AG104" s="15">
        <v>4</v>
      </c>
      <c r="AH104" s="15">
        <v>1</v>
      </c>
      <c r="AI104" s="15">
        <v>0</v>
      </c>
      <c r="AJ104" s="15">
        <v>1</v>
      </c>
      <c r="AK104" s="15">
        <v>1</v>
      </c>
      <c r="AL104" s="15">
        <v>1</v>
      </c>
      <c r="AM104" s="15">
        <v>1</v>
      </c>
      <c r="AN104" s="15">
        <v>1</v>
      </c>
      <c r="AO104" s="15">
        <v>0</v>
      </c>
      <c r="AP104" s="15">
        <v>0</v>
      </c>
      <c r="AQ104" s="15">
        <v>1</v>
      </c>
      <c r="AR104" s="15">
        <v>1</v>
      </c>
      <c r="AS104" s="15">
        <v>0</v>
      </c>
      <c r="AT104" s="15">
        <v>2</v>
      </c>
      <c r="AU104" s="15">
        <v>0</v>
      </c>
      <c r="AV104" s="15">
        <v>0</v>
      </c>
      <c r="AW104" s="15">
        <v>0</v>
      </c>
      <c r="AX104" s="15">
        <v>1</v>
      </c>
      <c r="AY104" s="15">
        <v>0</v>
      </c>
      <c r="AZ104" s="15">
        <v>0</v>
      </c>
      <c r="BA104" s="15">
        <v>1</v>
      </c>
      <c r="BB104" s="15">
        <v>0</v>
      </c>
      <c r="BC104" s="15">
        <v>1</v>
      </c>
    </row>
    <row r="105" spans="1:55" x14ac:dyDescent="0.35">
      <c r="A105" s="14" t="s">
        <v>96</v>
      </c>
      <c r="B105" s="15">
        <v>674</v>
      </c>
      <c r="C105" s="16">
        <v>1568.9743470366404</v>
      </c>
      <c r="D105" s="15">
        <v>0</v>
      </c>
      <c r="E105" s="15">
        <v>1</v>
      </c>
      <c r="F105" s="15">
        <v>0</v>
      </c>
      <c r="G105" s="15">
        <v>1</v>
      </c>
      <c r="H105" s="15">
        <v>3</v>
      </c>
      <c r="I105" s="15">
        <v>1</v>
      </c>
      <c r="J105" s="15">
        <v>1</v>
      </c>
      <c r="K105" s="15">
        <v>2</v>
      </c>
      <c r="L105" s="15">
        <v>1</v>
      </c>
      <c r="M105" s="15">
        <v>2</v>
      </c>
      <c r="N105" s="15">
        <v>3</v>
      </c>
      <c r="O105" s="15">
        <v>9</v>
      </c>
      <c r="P105" s="15">
        <v>11</v>
      </c>
      <c r="Q105" s="15">
        <v>5</v>
      </c>
      <c r="R105" s="15">
        <v>13</v>
      </c>
      <c r="S105" s="15">
        <v>5</v>
      </c>
      <c r="T105" s="15">
        <v>5</v>
      </c>
      <c r="U105" s="15">
        <v>6</v>
      </c>
      <c r="V105" s="15">
        <v>12</v>
      </c>
      <c r="W105" s="15">
        <v>8</v>
      </c>
      <c r="X105" s="15">
        <v>12</v>
      </c>
      <c r="Y105" s="15">
        <v>14</v>
      </c>
      <c r="Z105" s="15">
        <v>28</v>
      </c>
      <c r="AA105" s="15">
        <v>24</v>
      </c>
      <c r="AB105" s="15">
        <v>42</v>
      </c>
      <c r="AC105" s="15">
        <v>28</v>
      </c>
      <c r="AD105" s="15">
        <v>25</v>
      </c>
      <c r="AE105" s="15">
        <v>41</v>
      </c>
      <c r="AF105" s="15">
        <v>38</v>
      </c>
      <c r="AG105" s="15">
        <v>40</v>
      </c>
      <c r="AH105" s="15">
        <v>43</v>
      </c>
      <c r="AI105" s="15">
        <v>23</v>
      </c>
      <c r="AJ105" s="15">
        <v>39</v>
      </c>
      <c r="AK105" s="15">
        <v>31</v>
      </c>
      <c r="AL105" s="15">
        <v>29</v>
      </c>
      <c r="AM105" s="15">
        <v>19</v>
      </c>
      <c r="AN105" s="15">
        <v>14</v>
      </c>
      <c r="AO105" s="15">
        <v>16</v>
      </c>
      <c r="AP105" s="15">
        <v>10</v>
      </c>
      <c r="AQ105" s="15">
        <v>10</v>
      </c>
      <c r="AR105" s="15">
        <v>6</v>
      </c>
      <c r="AS105" s="15">
        <v>9</v>
      </c>
      <c r="AT105" s="15">
        <v>7</v>
      </c>
      <c r="AU105" s="15">
        <v>5</v>
      </c>
      <c r="AV105" s="15">
        <v>9</v>
      </c>
      <c r="AW105" s="15">
        <v>6</v>
      </c>
      <c r="AX105" s="15">
        <v>7</v>
      </c>
      <c r="AY105" s="15">
        <v>4</v>
      </c>
      <c r="AZ105" s="15">
        <v>0</v>
      </c>
      <c r="BA105" s="15">
        <v>1</v>
      </c>
      <c r="BB105" s="15">
        <v>4</v>
      </c>
      <c r="BC105" s="15">
        <v>1</v>
      </c>
    </row>
    <row r="106" spans="1:55" x14ac:dyDescent="0.35">
      <c r="A106" s="14" t="s">
        <v>97</v>
      </c>
      <c r="B106" s="15">
        <v>396</v>
      </c>
      <c r="C106" s="16">
        <v>802.05780487310869</v>
      </c>
      <c r="D106" s="15">
        <v>1</v>
      </c>
      <c r="E106" s="15">
        <v>1</v>
      </c>
      <c r="F106" s="15">
        <v>0</v>
      </c>
      <c r="G106" s="15">
        <v>1</v>
      </c>
      <c r="H106" s="15">
        <v>1</v>
      </c>
      <c r="I106" s="15">
        <v>1</v>
      </c>
      <c r="J106" s="15">
        <v>4</v>
      </c>
      <c r="K106" s="15">
        <v>1</v>
      </c>
      <c r="L106" s="15">
        <v>4</v>
      </c>
      <c r="M106" s="15">
        <v>2</v>
      </c>
      <c r="N106" s="15">
        <v>3</v>
      </c>
      <c r="O106" s="15">
        <v>3</v>
      </c>
      <c r="P106" s="15">
        <v>2</v>
      </c>
      <c r="Q106" s="15">
        <v>4</v>
      </c>
      <c r="R106" s="15">
        <v>4</v>
      </c>
      <c r="S106" s="15">
        <v>5</v>
      </c>
      <c r="T106" s="15">
        <v>1</v>
      </c>
      <c r="U106" s="15">
        <v>4</v>
      </c>
      <c r="V106" s="15">
        <v>4</v>
      </c>
      <c r="W106" s="15">
        <v>2</v>
      </c>
      <c r="X106" s="15">
        <v>13</v>
      </c>
      <c r="Y106" s="15">
        <v>6</v>
      </c>
      <c r="Z106" s="15">
        <v>11</v>
      </c>
      <c r="AA106" s="15">
        <v>8</v>
      </c>
      <c r="AB106" s="15">
        <v>15</v>
      </c>
      <c r="AC106" s="15">
        <v>17</v>
      </c>
      <c r="AD106" s="15">
        <v>15</v>
      </c>
      <c r="AE106" s="15">
        <v>32</v>
      </c>
      <c r="AF106" s="15">
        <v>23</v>
      </c>
      <c r="AG106" s="15">
        <v>20</v>
      </c>
      <c r="AH106" s="15">
        <v>24</v>
      </c>
      <c r="AI106" s="15">
        <v>18</v>
      </c>
      <c r="AJ106" s="15">
        <v>11</v>
      </c>
      <c r="AK106" s="15">
        <v>16</v>
      </c>
      <c r="AL106" s="15">
        <v>14</v>
      </c>
      <c r="AM106" s="15">
        <v>12</v>
      </c>
      <c r="AN106" s="15">
        <v>9</v>
      </c>
      <c r="AO106" s="15">
        <v>15</v>
      </c>
      <c r="AP106" s="15">
        <v>17</v>
      </c>
      <c r="AQ106" s="15">
        <v>11</v>
      </c>
      <c r="AR106" s="15">
        <v>3</v>
      </c>
      <c r="AS106" s="15">
        <v>7</v>
      </c>
      <c r="AT106" s="15">
        <v>9</v>
      </c>
      <c r="AU106" s="15">
        <v>4</v>
      </c>
      <c r="AV106" s="15">
        <v>6</v>
      </c>
      <c r="AW106" s="15">
        <v>2</v>
      </c>
      <c r="AX106" s="15">
        <v>2</v>
      </c>
      <c r="AY106" s="15">
        <v>2</v>
      </c>
      <c r="AZ106" s="15">
        <v>3</v>
      </c>
      <c r="BA106" s="15">
        <v>1</v>
      </c>
      <c r="BB106" s="15">
        <v>0</v>
      </c>
      <c r="BC106" s="15">
        <v>2</v>
      </c>
    </row>
    <row r="107" spans="1:55" x14ac:dyDescent="0.35">
      <c r="A107" s="14"/>
      <c r="B107" s="12"/>
      <c r="C107" s="13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  <c r="BC107" s="2"/>
    </row>
    <row r="108" spans="1:55" x14ac:dyDescent="0.35">
      <c r="A108" s="14" t="s">
        <v>98</v>
      </c>
      <c r="B108" s="10">
        <v>0</v>
      </c>
      <c r="C108" s="13"/>
      <c r="D108" s="15">
        <v>0</v>
      </c>
      <c r="E108" s="15">
        <v>0</v>
      </c>
      <c r="F108" s="15">
        <v>0</v>
      </c>
      <c r="G108" s="15">
        <v>0</v>
      </c>
      <c r="H108" s="15">
        <v>0</v>
      </c>
      <c r="I108" s="15">
        <v>0</v>
      </c>
      <c r="J108" s="15">
        <v>0</v>
      </c>
      <c r="K108" s="15">
        <v>0</v>
      </c>
      <c r="L108" s="15">
        <v>0</v>
      </c>
      <c r="M108" s="15">
        <v>0</v>
      </c>
      <c r="N108" s="15">
        <v>0</v>
      </c>
      <c r="O108" s="15">
        <v>0</v>
      </c>
      <c r="P108" s="15">
        <v>0</v>
      </c>
      <c r="Q108" s="15">
        <v>0</v>
      </c>
      <c r="R108" s="15">
        <v>0</v>
      </c>
      <c r="S108" s="15">
        <v>0</v>
      </c>
      <c r="T108" s="15">
        <v>0</v>
      </c>
      <c r="U108" s="15">
        <v>0</v>
      </c>
      <c r="V108" s="15">
        <v>0</v>
      </c>
      <c r="W108" s="15">
        <v>0</v>
      </c>
      <c r="X108" s="15">
        <v>0</v>
      </c>
      <c r="Y108" s="15">
        <v>0</v>
      </c>
      <c r="Z108" s="15">
        <v>0</v>
      </c>
      <c r="AA108" s="15">
        <v>0</v>
      </c>
      <c r="AB108" s="15">
        <v>0</v>
      </c>
      <c r="AC108" s="15">
        <v>0</v>
      </c>
      <c r="AD108" s="15">
        <v>0</v>
      </c>
      <c r="AE108" s="15">
        <v>0</v>
      </c>
      <c r="AF108" s="15">
        <v>0</v>
      </c>
      <c r="AG108" s="15">
        <v>0</v>
      </c>
      <c r="AH108" s="15">
        <v>0</v>
      </c>
      <c r="AI108" s="15">
        <v>0</v>
      </c>
      <c r="AJ108" s="15">
        <v>0</v>
      </c>
      <c r="AK108" s="15">
        <v>0</v>
      </c>
      <c r="AL108" s="15">
        <v>0</v>
      </c>
      <c r="AM108" s="15">
        <v>0</v>
      </c>
      <c r="AN108" s="15">
        <v>0</v>
      </c>
      <c r="AO108" s="15">
        <v>0</v>
      </c>
      <c r="AP108" s="15">
        <v>0</v>
      </c>
      <c r="AQ108" s="15">
        <v>0</v>
      </c>
      <c r="AR108" s="15">
        <v>0</v>
      </c>
      <c r="AS108" s="15">
        <v>0</v>
      </c>
      <c r="AT108" s="15">
        <v>0</v>
      </c>
      <c r="AU108" s="15">
        <v>0</v>
      </c>
      <c r="AV108" s="15">
        <v>0</v>
      </c>
      <c r="AW108" s="15">
        <v>0</v>
      </c>
      <c r="AX108" s="15">
        <v>0</v>
      </c>
      <c r="AY108" s="15">
        <v>0</v>
      </c>
      <c r="AZ108" s="15">
        <v>0</v>
      </c>
      <c r="BA108" s="15">
        <v>0</v>
      </c>
      <c r="BB108" s="15">
        <v>0</v>
      </c>
      <c r="BC108" s="15">
        <v>0</v>
      </c>
    </row>
    <row r="109" spans="1:55" x14ac:dyDescent="0.35">
      <c r="A109" s="14" t="s">
        <v>99</v>
      </c>
      <c r="B109" s="10">
        <v>0</v>
      </c>
      <c r="C109" s="13"/>
      <c r="D109" s="15">
        <v>0</v>
      </c>
      <c r="E109" s="15">
        <v>0</v>
      </c>
      <c r="F109" s="15">
        <v>0</v>
      </c>
      <c r="G109" s="15">
        <v>0</v>
      </c>
      <c r="H109" s="15">
        <v>0</v>
      </c>
      <c r="I109" s="15">
        <v>0</v>
      </c>
      <c r="J109" s="15">
        <v>0</v>
      </c>
      <c r="K109" s="15">
        <v>0</v>
      </c>
      <c r="L109" s="15">
        <v>0</v>
      </c>
      <c r="M109" s="15">
        <v>0</v>
      </c>
      <c r="N109" s="15">
        <v>0</v>
      </c>
      <c r="O109" s="15">
        <v>0</v>
      </c>
      <c r="P109" s="15">
        <v>0</v>
      </c>
      <c r="Q109" s="15">
        <v>0</v>
      </c>
      <c r="R109" s="15">
        <v>0</v>
      </c>
      <c r="S109" s="15">
        <v>0</v>
      </c>
      <c r="T109" s="15">
        <v>0</v>
      </c>
      <c r="U109" s="15">
        <v>0</v>
      </c>
      <c r="V109" s="15">
        <v>0</v>
      </c>
      <c r="W109" s="15">
        <v>0</v>
      </c>
      <c r="X109" s="15">
        <v>0</v>
      </c>
      <c r="Y109" s="15">
        <v>0</v>
      </c>
      <c r="Z109" s="15">
        <v>0</v>
      </c>
      <c r="AA109" s="15">
        <v>0</v>
      </c>
      <c r="AB109" s="15">
        <v>0</v>
      </c>
      <c r="AC109" s="15">
        <v>0</v>
      </c>
      <c r="AD109" s="15">
        <v>0</v>
      </c>
      <c r="AE109" s="15">
        <v>0</v>
      </c>
      <c r="AF109" s="15">
        <v>0</v>
      </c>
      <c r="AG109" s="15">
        <v>0</v>
      </c>
      <c r="AH109" s="15">
        <v>0</v>
      </c>
      <c r="AI109" s="15">
        <v>0</v>
      </c>
      <c r="AJ109" s="15">
        <v>0</v>
      </c>
      <c r="AK109" s="15">
        <v>0</v>
      </c>
      <c r="AL109" s="15">
        <v>0</v>
      </c>
      <c r="AM109" s="15">
        <v>0</v>
      </c>
      <c r="AN109" s="15">
        <v>0</v>
      </c>
      <c r="AO109" s="15">
        <v>0</v>
      </c>
      <c r="AP109" s="15">
        <v>0</v>
      </c>
      <c r="AQ109" s="15">
        <v>0</v>
      </c>
      <c r="AR109" s="15">
        <v>0</v>
      </c>
      <c r="AS109" s="15">
        <v>0</v>
      </c>
      <c r="AT109" s="15">
        <v>0</v>
      </c>
      <c r="AU109" s="15">
        <v>0</v>
      </c>
      <c r="AV109" s="15">
        <v>0</v>
      </c>
      <c r="AW109" s="15">
        <v>0</v>
      </c>
      <c r="AX109" s="15">
        <v>0</v>
      </c>
      <c r="AY109" s="15">
        <v>0</v>
      </c>
      <c r="AZ109" s="15">
        <v>0</v>
      </c>
      <c r="BA109" s="15">
        <v>0</v>
      </c>
      <c r="BB109" s="15">
        <v>0</v>
      </c>
      <c r="BC109" s="15">
        <v>0</v>
      </c>
    </row>
    <row r="110" spans="1:55" x14ac:dyDescent="0.35">
      <c r="A110" s="17" t="s">
        <v>100</v>
      </c>
      <c r="B110" s="18"/>
      <c r="C110" s="18"/>
      <c r="D110" s="18"/>
      <c r="E110" s="18"/>
      <c r="F110" s="18"/>
      <c r="G110" s="18"/>
      <c r="H110" s="18"/>
      <c r="I110" s="18"/>
      <c r="J110" s="18"/>
      <c r="K110" s="18"/>
      <c r="L110" s="18"/>
      <c r="M110" s="18"/>
      <c r="N110" s="18"/>
      <c r="O110" s="18"/>
      <c r="P110" s="18"/>
      <c r="Q110" s="18"/>
      <c r="R110" s="18"/>
      <c r="S110" s="18"/>
      <c r="T110" s="18"/>
      <c r="U110" s="18"/>
      <c r="V110" s="18"/>
      <c r="W110" s="18"/>
      <c r="X110" s="18"/>
      <c r="Y110" s="18"/>
      <c r="Z110" s="18"/>
      <c r="AA110" s="18"/>
      <c r="AB110" s="18"/>
      <c r="AC110" s="18"/>
      <c r="AD110" s="18"/>
      <c r="AE110" s="18"/>
      <c r="AF110" s="18"/>
      <c r="AG110" s="18"/>
      <c r="AH110" s="18"/>
      <c r="AI110" s="18"/>
      <c r="AJ110" s="18"/>
      <c r="AK110" s="18"/>
      <c r="AL110" s="18"/>
      <c r="AM110" s="18"/>
      <c r="AN110" s="18"/>
      <c r="AO110" s="18"/>
      <c r="AP110" s="18"/>
      <c r="AQ110" s="18"/>
      <c r="AR110" s="18"/>
      <c r="AS110" s="18"/>
      <c r="AT110" s="18"/>
      <c r="AU110" s="18"/>
      <c r="AV110" s="18"/>
      <c r="AW110" s="18"/>
      <c r="AX110" s="18"/>
      <c r="AY110" s="18"/>
      <c r="AZ110" s="18"/>
      <c r="BA110" s="18"/>
      <c r="BB110" s="18"/>
      <c r="BC110" s="18"/>
    </row>
  </sheetData>
  <mergeCells count="57">
    <mergeCell ref="AY8:AY9"/>
    <mergeCell ref="AZ8:AZ9"/>
    <mergeCell ref="BA8:BA9"/>
    <mergeCell ref="BB8:BB9"/>
    <mergeCell ref="BC8:BC9"/>
    <mergeCell ref="AX8:AX9"/>
    <mergeCell ref="AM8:AM9"/>
    <mergeCell ref="AN8:AN9"/>
    <mergeCell ref="AO8:AO9"/>
    <mergeCell ref="AP8:AP9"/>
    <mergeCell ref="AQ8:AQ9"/>
    <mergeCell ref="AR8:AR9"/>
    <mergeCell ref="AS8:AS9"/>
    <mergeCell ref="AT8:AT9"/>
    <mergeCell ref="AU8:AU9"/>
    <mergeCell ref="AV8:AV9"/>
    <mergeCell ref="AW8:AW9"/>
    <mergeCell ref="AL8:AL9"/>
    <mergeCell ref="AA8:AA9"/>
    <mergeCell ref="AB8:AB9"/>
    <mergeCell ref="AC8:AC9"/>
    <mergeCell ref="AD8:AD9"/>
    <mergeCell ref="AE8:AE9"/>
    <mergeCell ref="AF8:AF9"/>
    <mergeCell ref="AG8:AG9"/>
    <mergeCell ref="AH8:AH9"/>
    <mergeCell ref="AI8:AI9"/>
    <mergeCell ref="AJ8:AJ9"/>
    <mergeCell ref="AK8:AK9"/>
    <mergeCell ref="Z8:Z9"/>
    <mergeCell ref="O8:O9"/>
    <mergeCell ref="P8:P9"/>
    <mergeCell ref="Q8:Q9"/>
    <mergeCell ref="R8:R9"/>
    <mergeCell ref="S8:S9"/>
    <mergeCell ref="T8:T9"/>
    <mergeCell ref="U8:U9"/>
    <mergeCell ref="V8:V9"/>
    <mergeCell ref="W8:W9"/>
    <mergeCell ref="X8:X9"/>
    <mergeCell ref="Y8:Y9"/>
    <mergeCell ref="N8:N9"/>
    <mergeCell ref="A7:A9"/>
    <mergeCell ref="B7:C7"/>
    <mergeCell ref="D7:BC7"/>
    <mergeCell ref="B8:B9"/>
    <mergeCell ref="C8:C9"/>
    <mergeCell ref="D8:D9"/>
    <mergeCell ref="E8:E9"/>
    <mergeCell ref="F8:F9"/>
    <mergeCell ref="G8:G9"/>
    <mergeCell ref="H8:H9"/>
    <mergeCell ref="I8:I9"/>
    <mergeCell ref="J8:J9"/>
    <mergeCell ref="K8:K9"/>
    <mergeCell ref="L8:L9"/>
    <mergeCell ref="M8:M9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E7C8E1-F8ED-45DB-8D9F-80692B072443}">
  <dimension ref="A1:BC111"/>
  <sheetViews>
    <sheetView workbookViewId="0"/>
  </sheetViews>
  <sheetFormatPr baseColWidth="10" defaultColWidth="11.453125" defaultRowHeight="14.5" x14ac:dyDescent="0.35"/>
  <sheetData>
    <row r="1" spans="1:55" x14ac:dyDescent="0.35">
      <c r="A1" s="1"/>
      <c r="B1" s="2"/>
      <c r="C1" s="3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</row>
    <row r="2" spans="1:55" x14ac:dyDescent="0.35">
      <c r="A2" s="1" t="s">
        <v>0</v>
      </c>
      <c r="B2" s="2"/>
      <c r="C2" s="3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</row>
    <row r="3" spans="1:55" x14ac:dyDescent="0.35">
      <c r="A3" s="1" t="s">
        <v>1</v>
      </c>
      <c r="B3" s="2"/>
      <c r="C3" s="3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</row>
    <row r="4" spans="1:55" x14ac:dyDescent="0.35">
      <c r="A4" s="4" t="s">
        <v>2</v>
      </c>
      <c r="B4" s="2"/>
      <c r="C4" s="3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  <c r="AU4" s="2"/>
      <c r="AV4" s="2"/>
      <c r="AW4" s="2"/>
      <c r="AX4" s="2"/>
      <c r="AY4" s="2"/>
      <c r="AZ4" s="2"/>
      <c r="BA4" s="2"/>
      <c r="BB4" s="2"/>
      <c r="BC4" s="2"/>
    </row>
    <row r="5" spans="1:55" x14ac:dyDescent="0.35">
      <c r="A5" s="1" t="s">
        <v>101</v>
      </c>
      <c r="B5" s="2"/>
      <c r="C5" s="3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  <c r="AN5" s="2"/>
      <c r="AO5" s="2"/>
      <c r="AP5" s="2"/>
      <c r="AQ5" s="2"/>
      <c r="AR5" s="2"/>
      <c r="AS5" s="2"/>
      <c r="AT5" s="2"/>
      <c r="AU5" s="2"/>
      <c r="AV5" s="2"/>
      <c r="AW5" s="2"/>
      <c r="AX5" s="2"/>
      <c r="AY5" s="2"/>
      <c r="AZ5" s="2"/>
      <c r="BA5" s="2"/>
      <c r="BB5" s="2"/>
      <c r="BC5" s="2"/>
    </row>
    <row r="6" spans="1:55" x14ac:dyDescent="0.35">
      <c r="A6" s="5"/>
      <c r="B6" s="6"/>
      <c r="C6" s="7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  <c r="AM6" s="2"/>
      <c r="AN6" s="2"/>
      <c r="AO6" s="2"/>
      <c r="AP6" s="2"/>
      <c r="AQ6" s="2"/>
      <c r="AR6" s="2"/>
      <c r="AS6" s="2"/>
      <c r="AT6" s="2"/>
      <c r="AU6" s="2"/>
      <c r="AV6" s="2"/>
      <c r="AW6" s="2"/>
      <c r="AX6" s="2"/>
      <c r="AY6" s="2"/>
      <c r="AZ6" s="2"/>
      <c r="BA6" s="2"/>
      <c r="BB6" s="2"/>
      <c r="BC6" s="2"/>
    </row>
    <row r="7" spans="1:55" x14ac:dyDescent="0.35">
      <c r="A7" s="77" t="s">
        <v>4</v>
      </c>
      <c r="B7" s="80" t="s">
        <v>5</v>
      </c>
      <c r="C7" s="80"/>
      <c r="D7" s="81" t="s">
        <v>6</v>
      </c>
      <c r="E7" s="81"/>
      <c r="F7" s="81"/>
      <c r="G7" s="81"/>
      <c r="H7" s="81"/>
      <c r="I7" s="81"/>
      <c r="J7" s="81"/>
      <c r="K7" s="81"/>
      <c r="L7" s="81"/>
      <c r="M7" s="81"/>
      <c r="N7" s="81"/>
      <c r="O7" s="81"/>
      <c r="P7" s="81"/>
      <c r="Q7" s="81"/>
      <c r="R7" s="81"/>
      <c r="S7" s="81"/>
      <c r="T7" s="81"/>
      <c r="U7" s="81"/>
      <c r="V7" s="81"/>
      <c r="W7" s="81"/>
      <c r="X7" s="81"/>
      <c r="Y7" s="81"/>
      <c r="Z7" s="81"/>
      <c r="AA7" s="81"/>
      <c r="AB7" s="81"/>
      <c r="AC7" s="81"/>
      <c r="AD7" s="81"/>
      <c r="AE7" s="81"/>
      <c r="AF7" s="81"/>
      <c r="AG7" s="81"/>
      <c r="AH7" s="81"/>
      <c r="AI7" s="81"/>
      <c r="AJ7" s="81"/>
      <c r="AK7" s="81"/>
      <c r="AL7" s="81"/>
      <c r="AM7" s="81"/>
      <c r="AN7" s="81"/>
      <c r="AO7" s="81"/>
      <c r="AP7" s="81"/>
      <c r="AQ7" s="81"/>
      <c r="AR7" s="81"/>
      <c r="AS7" s="81"/>
      <c r="AT7" s="81"/>
      <c r="AU7" s="81"/>
      <c r="AV7" s="81"/>
      <c r="AW7" s="81"/>
      <c r="AX7" s="81"/>
      <c r="AY7" s="81"/>
      <c r="AZ7" s="81"/>
      <c r="BA7" s="81"/>
      <c r="BB7" s="81"/>
      <c r="BC7" s="81"/>
    </row>
    <row r="8" spans="1:55" x14ac:dyDescent="0.35">
      <c r="A8" s="78"/>
      <c r="B8" s="82" t="s">
        <v>7</v>
      </c>
      <c r="C8" s="84" t="s">
        <v>8</v>
      </c>
      <c r="D8" s="75">
        <v>1</v>
      </c>
      <c r="E8" s="75">
        <v>2</v>
      </c>
      <c r="F8" s="75">
        <v>3</v>
      </c>
      <c r="G8" s="75">
        <v>4</v>
      </c>
      <c r="H8" s="75">
        <v>5</v>
      </c>
      <c r="I8" s="75">
        <v>6</v>
      </c>
      <c r="J8" s="75">
        <v>7</v>
      </c>
      <c r="K8" s="75">
        <v>8</v>
      </c>
      <c r="L8" s="75">
        <v>9</v>
      </c>
      <c r="M8" s="75">
        <v>10</v>
      </c>
      <c r="N8" s="75">
        <v>11</v>
      </c>
      <c r="O8" s="75">
        <v>12</v>
      </c>
      <c r="P8" s="75">
        <v>13</v>
      </c>
      <c r="Q8" s="75">
        <v>14</v>
      </c>
      <c r="R8" s="75">
        <v>15</v>
      </c>
      <c r="S8" s="75">
        <v>16</v>
      </c>
      <c r="T8" s="75">
        <v>17</v>
      </c>
      <c r="U8" s="75">
        <v>18</v>
      </c>
      <c r="V8" s="75">
        <v>19</v>
      </c>
      <c r="W8" s="75">
        <v>20</v>
      </c>
      <c r="X8" s="75">
        <v>21</v>
      </c>
      <c r="Y8" s="75">
        <v>22</v>
      </c>
      <c r="Z8" s="75">
        <v>23</v>
      </c>
      <c r="AA8" s="75">
        <v>24</v>
      </c>
      <c r="AB8" s="75">
        <v>25</v>
      </c>
      <c r="AC8" s="75">
        <v>26</v>
      </c>
      <c r="AD8" s="75">
        <v>27</v>
      </c>
      <c r="AE8" s="75">
        <v>28</v>
      </c>
      <c r="AF8" s="75">
        <v>29</v>
      </c>
      <c r="AG8" s="75">
        <v>30</v>
      </c>
      <c r="AH8" s="75">
        <v>31</v>
      </c>
      <c r="AI8" s="75">
        <v>32</v>
      </c>
      <c r="AJ8" s="75">
        <v>33</v>
      </c>
      <c r="AK8" s="75">
        <v>34</v>
      </c>
      <c r="AL8" s="75">
        <v>35</v>
      </c>
      <c r="AM8" s="75">
        <v>36</v>
      </c>
      <c r="AN8" s="75">
        <v>37</v>
      </c>
      <c r="AO8" s="75">
        <v>38</v>
      </c>
      <c r="AP8" s="75">
        <v>39</v>
      </c>
      <c r="AQ8" s="75">
        <v>40</v>
      </c>
      <c r="AR8" s="75">
        <v>41</v>
      </c>
      <c r="AS8" s="75">
        <v>42</v>
      </c>
      <c r="AT8" s="75">
        <v>43</v>
      </c>
      <c r="AU8" s="75">
        <v>44</v>
      </c>
      <c r="AV8" s="75">
        <v>45</v>
      </c>
      <c r="AW8" s="75">
        <v>46</v>
      </c>
      <c r="AX8" s="75">
        <v>47</v>
      </c>
      <c r="AY8" s="75">
        <v>48</v>
      </c>
      <c r="AZ8" s="75">
        <v>49</v>
      </c>
      <c r="BA8" s="75">
        <v>50</v>
      </c>
      <c r="BB8" s="75">
        <v>51</v>
      </c>
      <c r="BC8" s="75">
        <v>52</v>
      </c>
    </row>
    <row r="9" spans="1:55" x14ac:dyDescent="0.35">
      <c r="A9" s="79"/>
      <c r="B9" s="83"/>
      <c r="C9" s="85"/>
      <c r="D9" s="76"/>
      <c r="E9" s="76"/>
      <c r="F9" s="76"/>
      <c r="G9" s="76"/>
      <c r="H9" s="76"/>
      <c r="I9" s="76"/>
      <c r="J9" s="76"/>
      <c r="K9" s="76"/>
      <c r="L9" s="76"/>
      <c r="M9" s="76"/>
      <c r="N9" s="76"/>
      <c r="O9" s="76"/>
      <c r="P9" s="76"/>
      <c r="Q9" s="76"/>
      <c r="R9" s="76"/>
      <c r="S9" s="76"/>
      <c r="T9" s="76"/>
      <c r="U9" s="76"/>
      <c r="V9" s="76"/>
      <c r="W9" s="76"/>
      <c r="X9" s="76"/>
      <c r="Y9" s="76"/>
      <c r="Z9" s="76"/>
      <c r="AA9" s="76"/>
      <c r="AB9" s="76"/>
      <c r="AC9" s="76"/>
      <c r="AD9" s="76"/>
      <c r="AE9" s="76"/>
      <c r="AF9" s="76"/>
      <c r="AG9" s="76"/>
      <c r="AH9" s="76"/>
      <c r="AI9" s="76"/>
      <c r="AJ9" s="76"/>
      <c r="AK9" s="76"/>
      <c r="AL9" s="76"/>
      <c r="AM9" s="76"/>
      <c r="AN9" s="76"/>
      <c r="AO9" s="76"/>
      <c r="AP9" s="76"/>
      <c r="AQ9" s="76"/>
      <c r="AR9" s="76"/>
      <c r="AS9" s="76"/>
      <c r="AT9" s="76"/>
      <c r="AU9" s="76"/>
      <c r="AV9" s="76"/>
      <c r="AW9" s="76"/>
      <c r="AX9" s="76"/>
      <c r="AY9" s="76"/>
      <c r="AZ9" s="76"/>
      <c r="BA9" s="76"/>
      <c r="BB9" s="76"/>
      <c r="BC9" s="76"/>
    </row>
    <row r="10" spans="1:55" x14ac:dyDescent="0.35">
      <c r="A10" s="8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2"/>
      <c r="AL10" s="2"/>
      <c r="AM10" s="2"/>
      <c r="AN10" s="2"/>
      <c r="AO10" s="2"/>
      <c r="AP10" s="2"/>
      <c r="AQ10" s="2"/>
      <c r="AR10" s="2"/>
      <c r="AS10" s="2"/>
      <c r="AT10" s="2"/>
      <c r="AU10" s="2"/>
      <c r="AV10" s="2"/>
      <c r="AW10" s="2"/>
      <c r="AX10" s="2"/>
      <c r="AY10" s="2"/>
      <c r="AZ10" s="2"/>
      <c r="BA10" s="2"/>
      <c r="BB10" s="2"/>
      <c r="BC10" s="2"/>
    </row>
    <row r="11" spans="1:55" x14ac:dyDescent="0.35">
      <c r="A11" s="9" t="s">
        <v>9</v>
      </c>
      <c r="B11" s="10">
        <f ca="1">SUM(D11:BC11)</f>
        <v>2545</v>
      </c>
      <c r="C11" s="11">
        <f ca="1">IFERROR(B11/[1]Tablas!$B$25*100000,"N/D")</f>
        <v>50.865482683451013</v>
      </c>
      <c r="D11" s="10">
        <f ca="1">SUM(D13,D35,D52,D62,D74,D87,D100,D108,D109)</f>
        <v>45</v>
      </c>
      <c r="E11" s="10">
        <f t="shared" ref="E11:BC11" ca="1" si="0">SUM(E13,E35,E52,E62,E74,E87,E100,E108,E109)</f>
        <v>27</v>
      </c>
      <c r="F11" s="10">
        <f t="shared" ca="1" si="0"/>
        <v>32</v>
      </c>
      <c r="G11" s="10">
        <f t="shared" ca="1" si="0"/>
        <v>28</v>
      </c>
      <c r="H11" s="10">
        <f t="shared" ca="1" si="0"/>
        <v>36</v>
      </c>
      <c r="I11" s="10">
        <f t="shared" ca="1" si="0"/>
        <v>34</v>
      </c>
      <c r="J11" s="10">
        <f t="shared" ca="1" si="0"/>
        <v>31</v>
      </c>
      <c r="K11" s="10">
        <f t="shared" ca="1" si="0"/>
        <v>26</v>
      </c>
      <c r="L11" s="10">
        <f t="shared" ca="1" si="0"/>
        <v>28</v>
      </c>
      <c r="M11" s="10">
        <f t="shared" ca="1" si="0"/>
        <v>20</v>
      </c>
      <c r="N11" s="10">
        <f t="shared" ca="1" si="0"/>
        <v>33</v>
      </c>
      <c r="O11" s="10">
        <f t="shared" ca="1" si="0"/>
        <v>27</v>
      </c>
      <c r="P11" s="10">
        <f t="shared" ca="1" si="0"/>
        <v>24</v>
      </c>
      <c r="Q11" s="10">
        <f t="shared" ca="1" si="0"/>
        <v>30</v>
      </c>
      <c r="R11" s="10">
        <f t="shared" ca="1" si="0"/>
        <v>46</v>
      </c>
      <c r="S11" s="10">
        <f t="shared" ca="1" si="0"/>
        <v>37</v>
      </c>
      <c r="T11" s="10">
        <f t="shared" ca="1" si="0"/>
        <v>33</v>
      </c>
      <c r="U11" s="10">
        <f t="shared" ca="1" si="0"/>
        <v>35</v>
      </c>
      <c r="V11" s="10">
        <f t="shared" ca="1" si="0"/>
        <v>30</v>
      </c>
      <c r="W11" s="10">
        <f t="shared" ca="1" si="0"/>
        <v>39</v>
      </c>
      <c r="X11" s="10">
        <f t="shared" ca="1" si="0"/>
        <v>46</v>
      </c>
      <c r="Y11" s="10">
        <f t="shared" ca="1" si="0"/>
        <v>51</v>
      </c>
      <c r="Z11" s="10">
        <f t="shared" ca="1" si="0"/>
        <v>51</v>
      </c>
      <c r="AA11" s="10">
        <f t="shared" ca="1" si="0"/>
        <v>67</v>
      </c>
      <c r="AB11" s="10">
        <f t="shared" ca="1" si="0"/>
        <v>69</v>
      </c>
      <c r="AC11" s="10">
        <f t="shared" ca="1" si="0"/>
        <v>75</v>
      </c>
      <c r="AD11" s="10">
        <f t="shared" ca="1" si="0"/>
        <v>63</v>
      </c>
      <c r="AE11" s="10">
        <f t="shared" ca="1" si="0"/>
        <v>59</v>
      </c>
      <c r="AF11" s="10">
        <f t="shared" ca="1" si="0"/>
        <v>99</v>
      </c>
      <c r="AG11" s="10">
        <f t="shared" ca="1" si="0"/>
        <v>72</v>
      </c>
      <c r="AH11" s="10">
        <f t="shared" ca="1" si="0"/>
        <v>86</v>
      </c>
      <c r="AI11" s="10">
        <f t="shared" ca="1" si="0"/>
        <v>67</v>
      </c>
      <c r="AJ11" s="10">
        <f t="shared" ca="1" si="0"/>
        <v>65</v>
      </c>
      <c r="AK11" s="10">
        <f t="shared" ca="1" si="0"/>
        <v>68</v>
      </c>
      <c r="AL11" s="10">
        <f t="shared" ca="1" si="0"/>
        <v>53</v>
      </c>
      <c r="AM11" s="10">
        <f t="shared" ca="1" si="0"/>
        <v>52</v>
      </c>
      <c r="AN11" s="10">
        <f t="shared" ca="1" si="0"/>
        <v>39</v>
      </c>
      <c r="AO11" s="10">
        <f t="shared" ca="1" si="0"/>
        <v>43</v>
      </c>
      <c r="AP11" s="10">
        <f t="shared" ca="1" si="0"/>
        <v>35</v>
      </c>
      <c r="AQ11" s="10">
        <f t="shared" ca="1" si="0"/>
        <v>48</v>
      </c>
      <c r="AR11" s="10">
        <f t="shared" ca="1" si="0"/>
        <v>42</v>
      </c>
      <c r="AS11" s="10">
        <f t="shared" ca="1" si="0"/>
        <v>68</v>
      </c>
      <c r="AT11" s="10">
        <f t="shared" ca="1" si="0"/>
        <v>62</v>
      </c>
      <c r="AU11" s="10">
        <f t="shared" ca="1" si="0"/>
        <v>76</v>
      </c>
      <c r="AV11" s="10">
        <f t="shared" ca="1" si="0"/>
        <v>65</v>
      </c>
      <c r="AW11" s="10">
        <f t="shared" ca="1" si="0"/>
        <v>58</v>
      </c>
      <c r="AX11" s="10">
        <f t="shared" ca="1" si="0"/>
        <v>67</v>
      </c>
      <c r="AY11" s="10">
        <f t="shared" ca="1" si="0"/>
        <v>50</v>
      </c>
      <c r="AZ11" s="10">
        <f t="shared" ca="1" si="0"/>
        <v>57</v>
      </c>
      <c r="BA11" s="10">
        <f t="shared" ca="1" si="0"/>
        <v>72</v>
      </c>
      <c r="BB11" s="10">
        <f t="shared" ca="1" si="0"/>
        <v>39</v>
      </c>
      <c r="BC11" s="10">
        <f t="shared" ca="1" si="0"/>
        <v>40</v>
      </c>
    </row>
    <row r="12" spans="1:55" x14ac:dyDescent="0.35">
      <c r="A12" s="1"/>
      <c r="B12" s="12"/>
      <c r="C12" s="13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/>
      <c r="AK12" s="2"/>
      <c r="AL12" s="2"/>
      <c r="AM12" s="2"/>
      <c r="AN12" s="2"/>
      <c r="AO12" s="2"/>
      <c r="AP12" s="2"/>
      <c r="AQ12" s="2"/>
      <c r="AR12" s="2"/>
      <c r="AS12" s="2"/>
      <c r="AT12" s="2"/>
      <c r="AU12" s="2"/>
      <c r="AV12" s="2"/>
      <c r="AW12" s="2"/>
      <c r="AX12" s="2"/>
      <c r="AY12" s="2"/>
      <c r="AZ12" s="2"/>
      <c r="BA12" s="2"/>
      <c r="BB12" s="2"/>
      <c r="BC12" s="2"/>
    </row>
    <row r="13" spans="1:55" x14ac:dyDescent="0.35">
      <c r="A13" s="1" t="s">
        <v>10</v>
      </c>
      <c r="B13" s="10">
        <f t="shared" ref="B13:B75" ca="1" si="1">SUM(D13:BC13)</f>
        <v>284</v>
      </c>
      <c r="C13" s="11">
        <f ca="1">IFERROR(B13/[1]Tablas!#REF!*100000,"N/D")</f>
        <v>17.368500878210117</v>
      </c>
      <c r="D13" s="10">
        <f ca="1">SUM(D14:D33)</f>
        <v>2</v>
      </c>
      <c r="E13" s="10">
        <f t="shared" ref="E13:BC13" ca="1" si="2">SUM(E14:E33)</f>
        <v>2</v>
      </c>
      <c r="F13" s="10">
        <f t="shared" ca="1" si="2"/>
        <v>6</v>
      </c>
      <c r="G13" s="10">
        <f t="shared" ca="1" si="2"/>
        <v>6</v>
      </c>
      <c r="H13" s="10">
        <f t="shared" ca="1" si="2"/>
        <v>1</v>
      </c>
      <c r="I13" s="10">
        <f t="shared" ca="1" si="2"/>
        <v>3</v>
      </c>
      <c r="J13" s="10">
        <f t="shared" ca="1" si="2"/>
        <v>0</v>
      </c>
      <c r="K13" s="10">
        <f t="shared" ca="1" si="2"/>
        <v>1</v>
      </c>
      <c r="L13" s="10">
        <f t="shared" ca="1" si="2"/>
        <v>3</v>
      </c>
      <c r="M13" s="10">
        <f t="shared" ca="1" si="2"/>
        <v>4</v>
      </c>
      <c r="N13" s="10">
        <f t="shared" ca="1" si="2"/>
        <v>4</v>
      </c>
      <c r="O13" s="10">
        <f t="shared" ca="1" si="2"/>
        <v>4</v>
      </c>
      <c r="P13" s="10">
        <f t="shared" ca="1" si="2"/>
        <v>5</v>
      </c>
      <c r="Q13" s="10">
        <f t="shared" ca="1" si="2"/>
        <v>3</v>
      </c>
      <c r="R13" s="10">
        <f t="shared" ca="1" si="2"/>
        <v>6</v>
      </c>
      <c r="S13" s="10">
        <f t="shared" ca="1" si="2"/>
        <v>3</v>
      </c>
      <c r="T13" s="10">
        <f t="shared" ca="1" si="2"/>
        <v>5</v>
      </c>
      <c r="U13" s="10">
        <f t="shared" ca="1" si="2"/>
        <v>1</v>
      </c>
      <c r="V13" s="10">
        <f t="shared" ca="1" si="2"/>
        <v>3</v>
      </c>
      <c r="W13" s="10">
        <f t="shared" ca="1" si="2"/>
        <v>4</v>
      </c>
      <c r="X13" s="10">
        <f t="shared" ca="1" si="2"/>
        <v>4</v>
      </c>
      <c r="Y13" s="10">
        <f t="shared" ca="1" si="2"/>
        <v>6</v>
      </c>
      <c r="Z13" s="10">
        <f t="shared" ca="1" si="2"/>
        <v>3</v>
      </c>
      <c r="AA13" s="10">
        <f t="shared" ca="1" si="2"/>
        <v>7</v>
      </c>
      <c r="AB13" s="10">
        <f t="shared" ca="1" si="2"/>
        <v>8</v>
      </c>
      <c r="AC13" s="10">
        <f t="shared" ca="1" si="2"/>
        <v>4</v>
      </c>
      <c r="AD13" s="10">
        <f t="shared" ca="1" si="2"/>
        <v>5</v>
      </c>
      <c r="AE13" s="10">
        <f t="shared" ca="1" si="2"/>
        <v>9</v>
      </c>
      <c r="AF13" s="10">
        <f t="shared" ca="1" si="2"/>
        <v>5</v>
      </c>
      <c r="AG13" s="10">
        <f t="shared" ca="1" si="2"/>
        <v>7</v>
      </c>
      <c r="AH13" s="10">
        <f t="shared" ca="1" si="2"/>
        <v>6</v>
      </c>
      <c r="AI13" s="10">
        <f t="shared" ca="1" si="2"/>
        <v>8</v>
      </c>
      <c r="AJ13" s="10">
        <f t="shared" ca="1" si="2"/>
        <v>5</v>
      </c>
      <c r="AK13" s="10">
        <f t="shared" ca="1" si="2"/>
        <v>8</v>
      </c>
      <c r="AL13" s="10">
        <f t="shared" ca="1" si="2"/>
        <v>7</v>
      </c>
      <c r="AM13" s="10">
        <f t="shared" ca="1" si="2"/>
        <v>2</v>
      </c>
      <c r="AN13" s="10">
        <f t="shared" ca="1" si="2"/>
        <v>7</v>
      </c>
      <c r="AO13" s="10">
        <f t="shared" ca="1" si="2"/>
        <v>6</v>
      </c>
      <c r="AP13" s="10">
        <f t="shared" ca="1" si="2"/>
        <v>6</v>
      </c>
      <c r="AQ13" s="10">
        <f t="shared" ca="1" si="2"/>
        <v>11</v>
      </c>
      <c r="AR13" s="10">
        <f t="shared" ca="1" si="2"/>
        <v>9</v>
      </c>
      <c r="AS13" s="10">
        <f t="shared" ca="1" si="2"/>
        <v>11</v>
      </c>
      <c r="AT13" s="10">
        <f t="shared" ca="1" si="2"/>
        <v>11</v>
      </c>
      <c r="AU13" s="10">
        <f t="shared" ca="1" si="2"/>
        <v>9</v>
      </c>
      <c r="AV13" s="10">
        <f t="shared" ca="1" si="2"/>
        <v>9</v>
      </c>
      <c r="AW13" s="10">
        <f t="shared" ca="1" si="2"/>
        <v>8</v>
      </c>
      <c r="AX13" s="10">
        <f t="shared" ca="1" si="2"/>
        <v>8</v>
      </c>
      <c r="AY13" s="10">
        <f t="shared" ca="1" si="2"/>
        <v>7</v>
      </c>
      <c r="AZ13" s="10">
        <f t="shared" ca="1" si="2"/>
        <v>11</v>
      </c>
      <c r="BA13" s="10">
        <f t="shared" ca="1" si="2"/>
        <v>4</v>
      </c>
      <c r="BB13" s="10">
        <f t="shared" ca="1" si="2"/>
        <v>5</v>
      </c>
      <c r="BC13" s="10">
        <f t="shared" ca="1" si="2"/>
        <v>2</v>
      </c>
    </row>
    <row r="14" spans="1:55" x14ac:dyDescent="0.35">
      <c r="A14" s="14" t="s">
        <v>11</v>
      </c>
      <c r="B14" s="15">
        <f t="shared" ca="1" si="1"/>
        <v>67</v>
      </c>
      <c r="C14" s="16">
        <f ca="1">IFERROR(B14/[1]Tablas!#REF!*100000,"N/D")</f>
        <v>19.57988006592867</v>
      </c>
      <c r="D14" s="15">
        <f ca="1">IFERROR(GETPIVOTDATA("Cuenta de CANT",Tabla9,"PROV",[1]Tablas!$A$27,"SEFIS",D$16,"CANT",[1]Tablas!#REF!),0)</f>
        <v>0</v>
      </c>
      <c r="E14" s="15">
        <f ca="1">IFERROR(GETPIVOTDATA("Cuenta de CANT",Tabla9,"PROV",[1]Tablas!$A$27,"SEFIS",E$16,"CANT",[1]Tablas!#REF!),0)</f>
        <v>0</v>
      </c>
      <c r="F14" s="15">
        <f ca="1">IFERROR(GETPIVOTDATA("Cuenta de CANT",Tabla9,"PROV",[1]Tablas!$A$27,"SEFIS",F$16,"CANT",[1]Tablas!#REF!),0)</f>
        <v>0</v>
      </c>
      <c r="G14" s="15">
        <f ca="1">IFERROR(GETPIVOTDATA("Cuenta de CANT",Tabla9,"PROV",[1]Tablas!$A$27,"SEFIS",G$16,"CANT",[1]Tablas!#REF!),0)</f>
        <v>0</v>
      </c>
      <c r="H14" s="15">
        <f ca="1">IFERROR(GETPIVOTDATA("Cuenta de CANT",Tabla9,"PROV",[1]Tablas!$A$27,"SEFIS",H$16,"CANT",[1]Tablas!#REF!),0)</f>
        <v>1</v>
      </c>
      <c r="I14" s="15">
        <f ca="1">IFERROR(GETPIVOTDATA("Cuenta de CANT",Tabla9,"PROV",[1]Tablas!$A$27,"SEFIS",I$16,"CANT",[1]Tablas!#REF!),0)</f>
        <v>1</v>
      </c>
      <c r="J14" s="15">
        <f ca="1">IFERROR(GETPIVOTDATA("Cuenta de CANT",Tabla9,"PROV",[1]Tablas!$A$27,"SEFIS",J$16,"CANT",[1]Tablas!#REF!),0)</f>
        <v>0</v>
      </c>
      <c r="K14" s="15">
        <f ca="1">IFERROR(GETPIVOTDATA("Cuenta de CANT",Tabla9,"PROV",[1]Tablas!$A$27,"SEFIS",K$16,"CANT",[1]Tablas!#REF!),0)</f>
        <v>1</v>
      </c>
      <c r="L14" s="15">
        <f ca="1">IFERROR(GETPIVOTDATA("Cuenta de CANT",Tabla9,"PROV",[1]Tablas!$A$27,"SEFIS",L$16,"CANT",[1]Tablas!#REF!),0)</f>
        <v>0</v>
      </c>
      <c r="M14" s="15">
        <f ca="1">IFERROR(GETPIVOTDATA("Cuenta de CANT",Tabla9,"PROV",[1]Tablas!$A$27,"SEFIS",M$16,"CANT",[1]Tablas!#REF!),0)</f>
        <v>2</v>
      </c>
      <c r="N14" s="15">
        <f ca="1">IFERROR(GETPIVOTDATA("Cuenta de CANT",Tabla9,"PROV",[1]Tablas!$A$27,"SEFIS",N$16,"CANT",[1]Tablas!#REF!),0)</f>
        <v>3</v>
      </c>
      <c r="O14" s="15">
        <f ca="1">IFERROR(GETPIVOTDATA("Cuenta de CANT",Tabla9,"PROV",[1]Tablas!$A$27,"SEFIS",O$16,"CANT",[1]Tablas!#REF!),0)</f>
        <v>2</v>
      </c>
      <c r="P14" s="15">
        <f ca="1">IFERROR(GETPIVOTDATA("Cuenta de CANT",Tabla9,"PROV",[1]Tablas!$A$27,"SEFIS",P$16,"CANT",[1]Tablas!#REF!),0)</f>
        <v>1</v>
      </c>
      <c r="Q14" s="15">
        <f ca="1">IFERROR(GETPIVOTDATA("Cuenta de CANT",Tabla9,"PROV",[1]Tablas!$A$27,"SEFIS",Q$16,"CANT",[1]Tablas!#REF!),0)</f>
        <v>0</v>
      </c>
      <c r="R14" s="15">
        <f ca="1">IFERROR(GETPIVOTDATA("Cuenta de CANT",Tabla9,"PROV",[1]Tablas!$A$27,"SEFIS",R$16,"CANT",[1]Tablas!#REF!),0)</f>
        <v>0</v>
      </c>
      <c r="S14" s="15">
        <f ca="1">IFERROR(GETPIVOTDATA("Cuenta de CANT",Tabla9,"PROV",[1]Tablas!$A$27,"SEFIS",S$16,"CANT",[1]Tablas!#REF!),0)</f>
        <v>2</v>
      </c>
      <c r="T14" s="15">
        <f ca="1">IFERROR(GETPIVOTDATA("Cuenta de CANT",Tabla9,"PROV",[1]Tablas!$A$27,"SEFIS",T$16,"CANT",[1]Tablas!#REF!),0)</f>
        <v>1</v>
      </c>
      <c r="U14" s="15">
        <f ca="1">IFERROR(GETPIVOTDATA("Cuenta de CANT",Tabla9,"PROV",[1]Tablas!$A$27,"SEFIS",U$16,"CANT",[1]Tablas!#REF!),0)</f>
        <v>0</v>
      </c>
      <c r="V14" s="15">
        <f ca="1">IFERROR(GETPIVOTDATA("Cuenta de CANT",Tabla9,"PROV",[1]Tablas!$A$27,"SEFIS",V$16,"CANT",[1]Tablas!#REF!),0)</f>
        <v>0</v>
      </c>
      <c r="W14" s="15">
        <f ca="1">IFERROR(GETPIVOTDATA("Cuenta de CANT",Tabla9,"PROV",[1]Tablas!$A$27,"SEFIS",W$16,"CANT",[1]Tablas!#REF!),0)</f>
        <v>1</v>
      </c>
      <c r="X14" s="15">
        <f ca="1">IFERROR(GETPIVOTDATA("Cuenta de CANT",Tabla9,"PROV",[1]Tablas!$A$27,"SEFIS",X$16,"CANT",[1]Tablas!#REF!),0)</f>
        <v>0</v>
      </c>
      <c r="Y14" s="15">
        <f ca="1">IFERROR(GETPIVOTDATA("Cuenta de CANT",Tabla9,"PROV",[1]Tablas!$A$27,"SEFIS",Y$16,"CANT",[1]Tablas!#REF!),0)</f>
        <v>0</v>
      </c>
      <c r="Z14" s="15">
        <f ca="1">IFERROR(GETPIVOTDATA("Cuenta de CANT",Tabla9,"PROV",[1]Tablas!$A$27,"SEFIS",Z$16,"CANT",[1]Tablas!#REF!),0)</f>
        <v>0</v>
      </c>
      <c r="AA14" s="15">
        <f ca="1">IFERROR(GETPIVOTDATA("Cuenta de CANT",Tabla9,"PROV",[1]Tablas!$A$27,"SEFIS",AA$16,"CANT",[1]Tablas!#REF!),0)</f>
        <v>0</v>
      </c>
      <c r="AB14" s="15">
        <f ca="1">IFERROR(GETPIVOTDATA("Cuenta de CANT",Tabla9,"PROV",[1]Tablas!$A$27,"SEFIS",AB$16,"CANT",[1]Tablas!#REF!),0)</f>
        <v>3</v>
      </c>
      <c r="AC14" s="15">
        <f ca="1">IFERROR(GETPIVOTDATA("Cuenta de CANT",Tabla9,"PROV",[1]Tablas!$A$27,"SEFIS",AC$16,"CANT",[1]Tablas!#REF!),0)</f>
        <v>1</v>
      </c>
      <c r="AD14" s="15">
        <f ca="1">IFERROR(GETPIVOTDATA("Cuenta de CANT",Tabla9,"PROV",[1]Tablas!$A$27,"SEFIS",AD$16,"CANT",[1]Tablas!#REF!),0)</f>
        <v>4</v>
      </c>
      <c r="AE14" s="15">
        <f ca="1">IFERROR(GETPIVOTDATA("Cuenta de CANT",Tabla9,"PROV",[1]Tablas!$A$27,"SEFIS",AE$16,"CANT",[1]Tablas!#REF!),0)</f>
        <v>0</v>
      </c>
      <c r="AF14" s="15">
        <f ca="1">IFERROR(GETPIVOTDATA("Cuenta de CANT",Tabla9,"PROV",[1]Tablas!$A$27,"SEFIS",AF$16,"CANT",[1]Tablas!#REF!),0)</f>
        <v>1</v>
      </c>
      <c r="AG14" s="15">
        <f ca="1">IFERROR(GETPIVOTDATA("Cuenta de CANT",Tabla9,"PROV",[1]Tablas!$A$27,"SEFIS",AG$16,"CANT",[1]Tablas!#REF!),0)</f>
        <v>3</v>
      </c>
      <c r="AH14" s="15">
        <f ca="1">IFERROR(GETPIVOTDATA("Cuenta de CANT",Tabla9,"PROV",[1]Tablas!$A$27,"SEFIS",AH$16,"CANT",[1]Tablas!#REF!),0)</f>
        <v>1</v>
      </c>
      <c r="AI14" s="15">
        <f ca="1">IFERROR(GETPIVOTDATA("Cuenta de CANT",Tabla9,"PROV",[1]Tablas!$A$27,"SEFIS",AI$16,"CANT",[1]Tablas!#REF!),0)</f>
        <v>0</v>
      </c>
      <c r="AJ14" s="15">
        <f ca="1">IFERROR(GETPIVOTDATA("Cuenta de CANT",Tabla9,"PROV",[1]Tablas!$A$27,"SEFIS",AJ$16,"CANT",[1]Tablas!#REF!),0)</f>
        <v>2</v>
      </c>
      <c r="AK14" s="15">
        <f ca="1">IFERROR(GETPIVOTDATA("Cuenta de CANT",Tabla9,"PROV",[1]Tablas!$A$27,"SEFIS",AK$16,"CANT",[1]Tablas!#REF!),0)</f>
        <v>4</v>
      </c>
      <c r="AL14" s="15">
        <f ca="1">IFERROR(GETPIVOTDATA("Cuenta de CANT",Tabla9,"PROV",[1]Tablas!$A$27,"SEFIS",AL$16,"CANT",[1]Tablas!#REF!),0)</f>
        <v>2</v>
      </c>
      <c r="AM14" s="15">
        <f ca="1">IFERROR(GETPIVOTDATA("Cuenta de CANT",Tabla9,"PROV",[1]Tablas!$A$27,"SEFIS",AM$16,"CANT",[1]Tablas!#REF!),0)</f>
        <v>1</v>
      </c>
      <c r="AN14" s="15">
        <f ca="1">IFERROR(GETPIVOTDATA("Cuenta de CANT",Tabla9,"PROV",[1]Tablas!$A$27,"SEFIS",AN$16,"CANT",[1]Tablas!#REF!),0)</f>
        <v>0</v>
      </c>
      <c r="AO14" s="15">
        <f ca="1">IFERROR(GETPIVOTDATA("Cuenta de CANT",Tabla9,"PROV",[1]Tablas!$A$27,"SEFIS",AO$16,"CANT",[1]Tablas!#REF!),0)</f>
        <v>2</v>
      </c>
      <c r="AP14" s="15">
        <f ca="1">IFERROR(GETPIVOTDATA("Cuenta de CANT",Tabla9,"PROV",[1]Tablas!$A$27,"SEFIS",AP$16,"CANT",[1]Tablas!#REF!),0)</f>
        <v>2</v>
      </c>
      <c r="AQ14" s="15">
        <f ca="1">IFERROR(GETPIVOTDATA("Cuenta de CANT",Tabla9,"PROV",[1]Tablas!$A$27,"SEFIS",AQ$16,"CANT",[1]Tablas!#REF!),0)</f>
        <v>3</v>
      </c>
      <c r="AR14" s="15">
        <f ca="1">IFERROR(GETPIVOTDATA("Cuenta de CANT",Tabla9,"PROV",[1]Tablas!$A$27,"SEFIS",AR$16,"CANT",[1]Tablas!#REF!),0)</f>
        <v>3</v>
      </c>
      <c r="AS14" s="15">
        <f ca="1">IFERROR(GETPIVOTDATA("Cuenta de CANT",Tabla9,"PROV",[1]Tablas!$A$27,"SEFIS",AS$16,"CANT",[1]Tablas!#REF!),0)</f>
        <v>3</v>
      </c>
      <c r="AT14" s="15">
        <f ca="1">IFERROR(GETPIVOTDATA("Cuenta de CANT",Tabla9,"PROV",[1]Tablas!$A$27,"SEFIS",AT$16,"CANT",[1]Tablas!#REF!),0)</f>
        <v>3</v>
      </c>
      <c r="AU14" s="15">
        <f ca="1">IFERROR(GETPIVOTDATA("Cuenta de CANT",Tabla9,"PROV",[1]Tablas!$A$27,"SEFIS",AU$16,"CANT",[1]Tablas!#REF!),0)</f>
        <v>0</v>
      </c>
      <c r="AV14" s="15">
        <f ca="1">IFERROR(GETPIVOTDATA("Cuenta de CANT",Tabla9,"PROV",[1]Tablas!$A$27,"SEFIS",AV$16,"CANT",[1]Tablas!#REF!),0)</f>
        <v>0</v>
      </c>
      <c r="AW14" s="15">
        <f ca="1">IFERROR(GETPIVOTDATA("Cuenta de CANT",Tabla9,"PROV",[1]Tablas!$A$27,"SEFIS",AW$16,"CANT",[1]Tablas!#REF!),0)</f>
        <v>3</v>
      </c>
      <c r="AX14" s="15">
        <f ca="1">IFERROR(GETPIVOTDATA("Cuenta de CANT",Tabla9,"PROV",[1]Tablas!$A$27,"SEFIS",AX$16,"CANT",[1]Tablas!#REF!),0)</f>
        <v>2</v>
      </c>
      <c r="AY14" s="15">
        <f ca="1">IFERROR(GETPIVOTDATA("Cuenta de CANT",Tabla9,"PROV",[1]Tablas!$A$27,"SEFIS",AY$16,"CANT",[1]Tablas!#REF!),0)</f>
        <v>2</v>
      </c>
      <c r="AZ14" s="15">
        <f ca="1">IFERROR(GETPIVOTDATA("Cuenta de CANT",Tabla9,"PROV",[1]Tablas!$A$27,"SEFIS",AZ$16,"CANT",[1]Tablas!#REF!),0)</f>
        <v>6</v>
      </c>
      <c r="BA14" s="15">
        <f ca="1">IFERROR(GETPIVOTDATA("Cuenta de CANT",Tabla9,"PROV",[1]Tablas!$A$27,"SEFIS",BA$16,"CANT",[1]Tablas!#REF!),0)</f>
        <v>0</v>
      </c>
      <c r="BB14" s="15">
        <f ca="1">IFERROR(GETPIVOTDATA("Cuenta de CANT",Tabla9,"PROV",[1]Tablas!$A$27,"SEFIS",BB$16,"CANT",[1]Tablas!#REF!),0)</f>
        <v>1</v>
      </c>
      <c r="BC14" s="15">
        <f ca="1">IFERROR(GETPIVOTDATA("Cuenta de CANT",Tabla9,"PROV",[1]Tablas!$A$27,"SEFIS",BC$16,"CANT",[1]Tablas!#REF!),0)</f>
        <v>0</v>
      </c>
    </row>
    <row r="15" spans="1:55" x14ac:dyDescent="0.35">
      <c r="A15" s="14" t="s">
        <v>12</v>
      </c>
      <c r="B15" s="15">
        <f t="shared" ca="1" si="1"/>
        <v>1</v>
      </c>
      <c r="C15" s="16">
        <f ca="1">IFERROR(B15/[1]Tablas!#REF!*100000,"N/D")</f>
        <v>1.4550110580840414</v>
      </c>
      <c r="D15" s="15">
        <f ca="1">IFERROR(GETPIVOTDATA("Cuenta de CANT",Tabla9,"PROV",[1]Tablas!$A$27,"SEFIS",D$16,"CANT",[1]Tablas!#REF!),0)</f>
        <v>0</v>
      </c>
      <c r="E15" s="15">
        <f ca="1">IFERROR(GETPIVOTDATA("Cuenta de CANT",Tabla9,"PROV",[1]Tablas!$A$27,"SEFIS",E$16,"CANT",[1]Tablas!#REF!),0)</f>
        <v>0</v>
      </c>
      <c r="F15" s="15">
        <f ca="1">IFERROR(GETPIVOTDATA("Cuenta de CANT",Tabla9,"PROV",[1]Tablas!$A$27,"SEFIS",F$16,"CANT",[1]Tablas!#REF!),0)</f>
        <v>0</v>
      </c>
      <c r="G15" s="15">
        <f ca="1">IFERROR(GETPIVOTDATA("Cuenta de CANT",Tabla9,"PROV",[1]Tablas!$A$27,"SEFIS",G$16,"CANT",[1]Tablas!#REF!),0)</f>
        <v>0</v>
      </c>
      <c r="H15" s="15">
        <f ca="1">IFERROR(GETPIVOTDATA("Cuenta de CANT",Tabla9,"PROV",[1]Tablas!$A$27,"SEFIS",H$16,"CANT",[1]Tablas!#REF!),0)</f>
        <v>0</v>
      </c>
      <c r="I15" s="15">
        <f ca="1">IFERROR(GETPIVOTDATA("Cuenta de CANT",Tabla9,"PROV",[1]Tablas!$A$27,"SEFIS",I$16,"CANT",[1]Tablas!#REF!),0)</f>
        <v>0</v>
      </c>
      <c r="J15" s="15">
        <f ca="1">IFERROR(GETPIVOTDATA("Cuenta de CANT",Tabla9,"PROV",[1]Tablas!$A$27,"SEFIS",J$16,"CANT",[1]Tablas!#REF!),0)</f>
        <v>0</v>
      </c>
      <c r="K15" s="15">
        <f ca="1">IFERROR(GETPIVOTDATA("Cuenta de CANT",Tabla9,"PROV",[1]Tablas!$A$27,"SEFIS",K$16,"CANT",[1]Tablas!#REF!),0)</f>
        <v>0</v>
      </c>
      <c r="L15" s="15">
        <f ca="1">IFERROR(GETPIVOTDATA("Cuenta de CANT",Tabla9,"PROV",[1]Tablas!$A$27,"SEFIS",L$16,"CANT",[1]Tablas!#REF!),0)</f>
        <v>0</v>
      </c>
      <c r="M15" s="15">
        <f ca="1">IFERROR(GETPIVOTDATA("Cuenta de CANT",Tabla9,"PROV",[1]Tablas!$A$27,"SEFIS",M$16,"CANT",[1]Tablas!#REF!),0)</f>
        <v>0</v>
      </c>
      <c r="N15" s="15">
        <f ca="1">IFERROR(GETPIVOTDATA("Cuenta de CANT",Tabla9,"PROV",[1]Tablas!$A$27,"SEFIS",N$16,"CANT",[1]Tablas!#REF!),0)</f>
        <v>0</v>
      </c>
      <c r="O15" s="15">
        <f ca="1">IFERROR(GETPIVOTDATA("Cuenta de CANT",Tabla9,"PROV",[1]Tablas!$A$27,"SEFIS",O$16,"CANT",[1]Tablas!#REF!),0)</f>
        <v>0</v>
      </c>
      <c r="P15" s="15">
        <f ca="1">IFERROR(GETPIVOTDATA("Cuenta de CANT",Tabla9,"PROV",[1]Tablas!$A$27,"SEFIS",P$16,"CANT",[1]Tablas!#REF!),0)</f>
        <v>0</v>
      </c>
      <c r="Q15" s="15">
        <f ca="1">IFERROR(GETPIVOTDATA("Cuenta de CANT",Tabla9,"PROV",[1]Tablas!$A$27,"SEFIS",Q$16,"CANT",[1]Tablas!#REF!),0)</f>
        <v>0</v>
      </c>
      <c r="R15" s="15">
        <f ca="1">IFERROR(GETPIVOTDATA("Cuenta de CANT",Tabla9,"PROV",[1]Tablas!$A$27,"SEFIS",R$16,"CANT",[1]Tablas!#REF!),0)</f>
        <v>0</v>
      </c>
      <c r="S15" s="15">
        <f ca="1">IFERROR(GETPIVOTDATA("Cuenta de CANT",Tabla9,"PROV",[1]Tablas!$A$27,"SEFIS",S$16,"CANT",[1]Tablas!#REF!),0)</f>
        <v>0</v>
      </c>
      <c r="T15" s="15">
        <f ca="1">IFERROR(GETPIVOTDATA("Cuenta de CANT",Tabla9,"PROV",[1]Tablas!$A$27,"SEFIS",T$16,"CANT",[1]Tablas!#REF!),0)</f>
        <v>0</v>
      </c>
      <c r="U15" s="15">
        <f ca="1">IFERROR(GETPIVOTDATA("Cuenta de CANT",Tabla9,"PROV",[1]Tablas!$A$27,"SEFIS",U$16,"CANT",[1]Tablas!#REF!),0)</f>
        <v>0</v>
      </c>
      <c r="V15" s="15">
        <f ca="1">IFERROR(GETPIVOTDATA("Cuenta de CANT",Tabla9,"PROV",[1]Tablas!$A$27,"SEFIS",V$16,"CANT",[1]Tablas!#REF!),0)</f>
        <v>0</v>
      </c>
      <c r="W15" s="15">
        <f ca="1">IFERROR(GETPIVOTDATA("Cuenta de CANT",Tabla9,"PROV",[1]Tablas!$A$27,"SEFIS",W$16,"CANT",[1]Tablas!#REF!),0)</f>
        <v>0</v>
      </c>
      <c r="X15" s="15">
        <f ca="1">IFERROR(GETPIVOTDATA("Cuenta de CANT",Tabla9,"PROV",[1]Tablas!$A$27,"SEFIS",X$16,"CANT",[1]Tablas!#REF!),0)</f>
        <v>0</v>
      </c>
      <c r="Y15" s="15">
        <f ca="1">IFERROR(GETPIVOTDATA("Cuenta de CANT",Tabla9,"PROV",[1]Tablas!$A$27,"SEFIS",Y$16,"CANT",[1]Tablas!#REF!),0)</f>
        <v>0</v>
      </c>
      <c r="Z15" s="15">
        <f ca="1">IFERROR(GETPIVOTDATA("Cuenta de CANT",Tabla9,"PROV",[1]Tablas!$A$27,"SEFIS",Z$16,"CANT",[1]Tablas!#REF!),0)</f>
        <v>0</v>
      </c>
      <c r="AA15" s="15">
        <f ca="1">IFERROR(GETPIVOTDATA("Cuenta de CANT",Tabla9,"PROV",[1]Tablas!$A$27,"SEFIS",AA$16,"CANT",[1]Tablas!#REF!),0)</f>
        <v>0</v>
      </c>
      <c r="AB15" s="15">
        <f ca="1">IFERROR(GETPIVOTDATA("Cuenta de CANT",Tabla9,"PROV",[1]Tablas!$A$27,"SEFIS",AB$16,"CANT",[1]Tablas!#REF!),0)</f>
        <v>0</v>
      </c>
      <c r="AC15" s="15">
        <f ca="1">IFERROR(GETPIVOTDATA("Cuenta de CANT",Tabla9,"PROV",[1]Tablas!$A$27,"SEFIS",AC$16,"CANT",[1]Tablas!#REF!),0)</f>
        <v>0</v>
      </c>
      <c r="AD15" s="15">
        <f ca="1">IFERROR(GETPIVOTDATA("Cuenta de CANT",Tabla9,"PROV",[1]Tablas!$A$27,"SEFIS",AD$16,"CANT",[1]Tablas!#REF!),0)</f>
        <v>0</v>
      </c>
      <c r="AE15" s="15">
        <f ca="1">IFERROR(GETPIVOTDATA("Cuenta de CANT",Tabla9,"PROV",[1]Tablas!$A$27,"SEFIS",AE$16,"CANT",[1]Tablas!#REF!),0)</f>
        <v>0</v>
      </c>
      <c r="AF15" s="15">
        <f ca="1">IFERROR(GETPIVOTDATA("Cuenta de CANT",Tabla9,"PROV",[1]Tablas!$A$27,"SEFIS",AF$16,"CANT",[1]Tablas!#REF!),0)</f>
        <v>0</v>
      </c>
      <c r="AG15" s="15">
        <f ca="1">IFERROR(GETPIVOTDATA("Cuenta de CANT",Tabla9,"PROV",[1]Tablas!$A$27,"SEFIS",AG$16,"CANT",[1]Tablas!#REF!),0)</f>
        <v>0</v>
      </c>
      <c r="AH15" s="15">
        <f ca="1">IFERROR(GETPIVOTDATA("Cuenta de CANT",Tabla9,"PROV",[1]Tablas!$A$27,"SEFIS",AH$16,"CANT",[1]Tablas!#REF!),0)</f>
        <v>0</v>
      </c>
      <c r="AI15" s="15">
        <f ca="1">IFERROR(GETPIVOTDATA("Cuenta de CANT",Tabla9,"PROV",[1]Tablas!$A$27,"SEFIS",AI$16,"CANT",[1]Tablas!#REF!),0)</f>
        <v>1</v>
      </c>
      <c r="AJ15" s="15">
        <f ca="1">IFERROR(GETPIVOTDATA("Cuenta de CANT",Tabla9,"PROV",[1]Tablas!$A$27,"SEFIS",AJ$16,"CANT",[1]Tablas!#REF!),0)</f>
        <v>0</v>
      </c>
      <c r="AK15" s="15">
        <f ca="1">IFERROR(GETPIVOTDATA("Cuenta de CANT",Tabla9,"PROV",[1]Tablas!$A$27,"SEFIS",AK$16,"CANT",[1]Tablas!#REF!),0)</f>
        <v>0</v>
      </c>
      <c r="AL15" s="15">
        <f ca="1">IFERROR(GETPIVOTDATA("Cuenta de CANT",Tabla9,"PROV",[1]Tablas!$A$27,"SEFIS",AL$16,"CANT",[1]Tablas!#REF!),0)</f>
        <v>0</v>
      </c>
      <c r="AM15" s="15">
        <f ca="1">IFERROR(GETPIVOTDATA("Cuenta de CANT",Tabla9,"PROV",[1]Tablas!$A$27,"SEFIS",AM$16,"CANT",[1]Tablas!#REF!),0)</f>
        <v>0</v>
      </c>
      <c r="AN15" s="15">
        <f ca="1">IFERROR(GETPIVOTDATA("Cuenta de CANT",Tabla9,"PROV",[1]Tablas!$A$27,"SEFIS",AN$16,"CANT",[1]Tablas!#REF!),0)</f>
        <v>0</v>
      </c>
      <c r="AO15" s="15">
        <f ca="1">IFERROR(GETPIVOTDATA("Cuenta de CANT",Tabla9,"PROV",[1]Tablas!$A$27,"SEFIS",AO$16,"CANT",[1]Tablas!#REF!),0)</f>
        <v>0</v>
      </c>
      <c r="AP15" s="15">
        <f ca="1">IFERROR(GETPIVOTDATA("Cuenta de CANT",Tabla9,"PROV",[1]Tablas!$A$27,"SEFIS",AP$16,"CANT",[1]Tablas!#REF!),0)</f>
        <v>0</v>
      </c>
      <c r="AQ15" s="15">
        <f ca="1">IFERROR(GETPIVOTDATA("Cuenta de CANT",Tabla9,"PROV",[1]Tablas!$A$27,"SEFIS",AQ$16,"CANT",[1]Tablas!#REF!),0)</f>
        <v>0</v>
      </c>
      <c r="AR15" s="15">
        <f ca="1">IFERROR(GETPIVOTDATA("Cuenta de CANT",Tabla9,"PROV",[1]Tablas!$A$27,"SEFIS",AR$16,"CANT",[1]Tablas!#REF!),0)</f>
        <v>0</v>
      </c>
      <c r="AS15" s="15">
        <f ca="1">IFERROR(GETPIVOTDATA("Cuenta de CANT",Tabla9,"PROV",[1]Tablas!$A$27,"SEFIS",AS$16,"CANT",[1]Tablas!#REF!),0)</f>
        <v>0</v>
      </c>
      <c r="AT15" s="15">
        <f ca="1">IFERROR(GETPIVOTDATA("Cuenta de CANT",Tabla9,"PROV",[1]Tablas!$A$27,"SEFIS",AT$16,"CANT",[1]Tablas!#REF!),0)</f>
        <v>0</v>
      </c>
      <c r="AU15" s="15">
        <f ca="1">IFERROR(GETPIVOTDATA("Cuenta de CANT",Tabla9,"PROV",[1]Tablas!$A$27,"SEFIS",AU$16,"CANT",[1]Tablas!#REF!),0)</f>
        <v>0</v>
      </c>
      <c r="AV15" s="15">
        <f ca="1">IFERROR(GETPIVOTDATA("Cuenta de CANT",Tabla9,"PROV",[1]Tablas!$A$27,"SEFIS",AV$16,"CANT",[1]Tablas!#REF!),0)</f>
        <v>0</v>
      </c>
      <c r="AW15" s="15">
        <f ca="1">IFERROR(GETPIVOTDATA("Cuenta de CANT",Tabla9,"PROV",[1]Tablas!$A$27,"SEFIS",AW$16,"CANT",[1]Tablas!#REF!),0)</f>
        <v>0</v>
      </c>
      <c r="AX15" s="15">
        <f ca="1">IFERROR(GETPIVOTDATA("Cuenta de CANT",Tabla9,"PROV",[1]Tablas!$A$27,"SEFIS",AX$16,"CANT",[1]Tablas!#REF!),0)</f>
        <v>0</v>
      </c>
      <c r="AY15" s="15">
        <f ca="1">IFERROR(GETPIVOTDATA("Cuenta de CANT",Tabla9,"PROV",[1]Tablas!$A$27,"SEFIS",AY$16,"CANT",[1]Tablas!#REF!),0)</f>
        <v>0</v>
      </c>
      <c r="AZ15" s="15">
        <f ca="1">IFERROR(GETPIVOTDATA("Cuenta de CANT",Tabla9,"PROV",[1]Tablas!$A$27,"SEFIS",AZ$16,"CANT",[1]Tablas!#REF!),0)</f>
        <v>0</v>
      </c>
      <c r="BA15" s="15">
        <f ca="1">IFERROR(GETPIVOTDATA("Cuenta de CANT",Tabla9,"PROV",[1]Tablas!$A$27,"SEFIS",BA$16,"CANT",[1]Tablas!#REF!),0)</f>
        <v>0</v>
      </c>
      <c r="BB15" s="15">
        <f ca="1">IFERROR(GETPIVOTDATA("Cuenta de CANT",Tabla9,"PROV",[1]Tablas!$A$27,"SEFIS",BB$16,"CANT",[1]Tablas!#REF!),0)</f>
        <v>0</v>
      </c>
      <c r="BC15" s="15">
        <f ca="1">IFERROR(GETPIVOTDATA("Cuenta de CANT",Tabla9,"PROV",[1]Tablas!$A$27,"SEFIS",BC$16,"CANT",[1]Tablas!#REF!),0)</f>
        <v>0</v>
      </c>
    </row>
    <row r="16" spans="1:55" x14ac:dyDescent="0.35">
      <c r="A16" s="14" t="s">
        <v>13</v>
      </c>
      <c r="B16" s="15">
        <f t="shared" ca="1" si="1"/>
        <v>36</v>
      </c>
      <c r="C16" s="16">
        <f ca="1">IFERROR(B16/[1]Tablas!#REF!*100000,"N/D")</f>
        <v>14.958179423362182</v>
      </c>
      <c r="D16" s="15">
        <f ca="1">IFERROR(GETPIVOTDATA("Cuenta de CANT",Tabla9,"PROV",[1]Tablas!$A$27,"SEFIS",D$16,"CANT",[1]Tablas!#REF!),0)</f>
        <v>1</v>
      </c>
      <c r="E16" s="15">
        <f ca="1">IFERROR(GETPIVOTDATA("Cuenta de CANT",Tabla9,"PROV",[1]Tablas!$A$27,"SEFIS",E$16,"CANT",[1]Tablas!#REF!),0)</f>
        <v>0</v>
      </c>
      <c r="F16" s="15">
        <f ca="1">IFERROR(GETPIVOTDATA("Cuenta de CANT",Tabla9,"PROV",[1]Tablas!$A$27,"SEFIS",F$16,"CANT",[1]Tablas!#REF!),0)</f>
        <v>0</v>
      </c>
      <c r="G16" s="15">
        <f ca="1">IFERROR(GETPIVOTDATA("Cuenta de CANT",Tabla9,"PROV",[1]Tablas!$A$27,"SEFIS",G$16,"CANT",[1]Tablas!#REF!),0)</f>
        <v>1</v>
      </c>
      <c r="H16" s="15">
        <f ca="1">IFERROR(GETPIVOTDATA("Cuenta de CANT",Tabla9,"PROV",[1]Tablas!$A$27,"SEFIS",H$16,"CANT",[1]Tablas!#REF!),0)</f>
        <v>0</v>
      </c>
      <c r="I16" s="15">
        <f ca="1">IFERROR(GETPIVOTDATA("Cuenta de CANT",Tabla9,"PROV",[1]Tablas!$A$27,"SEFIS",I$16,"CANT",[1]Tablas!#REF!),0)</f>
        <v>0</v>
      </c>
      <c r="J16" s="15">
        <f ca="1">IFERROR(GETPIVOTDATA("Cuenta de CANT",Tabla9,"PROV",[1]Tablas!$A$27,"SEFIS",J$16,"CANT",[1]Tablas!#REF!),0)</f>
        <v>0</v>
      </c>
      <c r="K16" s="15">
        <f ca="1">IFERROR(GETPIVOTDATA("Cuenta de CANT",Tabla9,"PROV",[1]Tablas!$A$27,"SEFIS",K$16,"CANT",[1]Tablas!#REF!),0)</f>
        <v>0</v>
      </c>
      <c r="L16" s="15">
        <f ca="1">IFERROR(GETPIVOTDATA("Cuenta de CANT",Tabla9,"PROV",[1]Tablas!$A$27,"SEFIS",L$16,"CANT",[1]Tablas!#REF!),0)</f>
        <v>1</v>
      </c>
      <c r="M16" s="15">
        <f ca="1">IFERROR(GETPIVOTDATA("Cuenta de CANT",Tabla9,"PROV",[1]Tablas!$A$27,"SEFIS",M$16,"CANT",[1]Tablas!#REF!),0)</f>
        <v>0</v>
      </c>
      <c r="N16" s="15">
        <f ca="1">IFERROR(GETPIVOTDATA("Cuenta de CANT",Tabla9,"PROV",[1]Tablas!$A$27,"SEFIS",N$16,"CANT",[1]Tablas!#REF!),0)</f>
        <v>0</v>
      </c>
      <c r="O16" s="15">
        <f ca="1">IFERROR(GETPIVOTDATA("Cuenta de CANT",Tabla9,"PROV",[1]Tablas!$A$27,"SEFIS",O$16,"CANT",[1]Tablas!#REF!),0)</f>
        <v>0</v>
      </c>
      <c r="P16" s="15">
        <f ca="1">IFERROR(GETPIVOTDATA("Cuenta de CANT",Tabla9,"PROV",[1]Tablas!$A$27,"SEFIS",P$16,"CANT",[1]Tablas!#REF!),0)</f>
        <v>0</v>
      </c>
      <c r="Q16" s="15">
        <f ca="1">IFERROR(GETPIVOTDATA("Cuenta de CANT",Tabla9,"PROV",[1]Tablas!$A$27,"SEFIS",Q$16,"CANT",[1]Tablas!#REF!),0)</f>
        <v>1</v>
      </c>
      <c r="R16" s="15">
        <f ca="1">IFERROR(GETPIVOTDATA("Cuenta de CANT",Tabla9,"PROV",[1]Tablas!$A$27,"SEFIS",R$16,"CANT",[1]Tablas!#REF!),0)</f>
        <v>0</v>
      </c>
      <c r="S16" s="15">
        <f ca="1">IFERROR(GETPIVOTDATA("Cuenta de CANT",Tabla9,"PROV",[1]Tablas!$A$27,"SEFIS",S$16,"CANT",[1]Tablas!#REF!),0)</f>
        <v>1</v>
      </c>
      <c r="T16" s="15">
        <f ca="1">IFERROR(GETPIVOTDATA("Cuenta de CANT",Tabla9,"PROV",[1]Tablas!$A$27,"SEFIS",T$16,"CANT",[1]Tablas!#REF!),0)</f>
        <v>0</v>
      </c>
      <c r="U16" s="15">
        <f ca="1">IFERROR(GETPIVOTDATA("Cuenta de CANT",Tabla9,"PROV",[1]Tablas!$A$27,"SEFIS",U$16,"CANT",[1]Tablas!#REF!),0)</f>
        <v>0</v>
      </c>
      <c r="V16" s="15">
        <f ca="1">IFERROR(GETPIVOTDATA("Cuenta de CANT",Tabla9,"PROV",[1]Tablas!$A$27,"SEFIS",V$16,"CANT",[1]Tablas!#REF!),0)</f>
        <v>0</v>
      </c>
      <c r="W16" s="15">
        <f ca="1">IFERROR(GETPIVOTDATA("Cuenta de CANT",Tabla9,"PROV",[1]Tablas!$A$27,"SEFIS",W$16,"CANT",[1]Tablas!#REF!),0)</f>
        <v>0</v>
      </c>
      <c r="X16" s="15">
        <f ca="1">IFERROR(GETPIVOTDATA("Cuenta de CANT",Tabla9,"PROV",[1]Tablas!$A$27,"SEFIS",X$16,"CANT",[1]Tablas!#REF!),0)</f>
        <v>0</v>
      </c>
      <c r="Y16" s="15">
        <f ca="1">IFERROR(GETPIVOTDATA("Cuenta de CANT",Tabla9,"PROV",[1]Tablas!$A$27,"SEFIS",Y$16,"CANT",[1]Tablas!#REF!),0)</f>
        <v>0</v>
      </c>
      <c r="Z16" s="15">
        <f ca="1">IFERROR(GETPIVOTDATA("Cuenta de CANT",Tabla9,"PROV",[1]Tablas!$A$27,"SEFIS",Z$16,"CANT",[1]Tablas!#REF!),0)</f>
        <v>0</v>
      </c>
      <c r="AA16" s="15">
        <f ca="1">IFERROR(GETPIVOTDATA("Cuenta de CANT",Tabla9,"PROV",[1]Tablas!$A$27,"SEFIS",AA$16,"CANT",[1]Tablas!#REF!),0)</f>
        <v>1</v>
      </c>
      <c r="AB16" s="15">
        <f ca="1">IFERROR(GETPIVOTDATA("Cuenta de CANT",Tabla9,"PROV",[1]Tablas!$A$27,"SEFIS",AB$16,"CANT",[1]Tablas!#REF!),0)</f>
        <v>1</v>
      </c>
      <c r="AC16" s="15">
        <f ca="1">IFERROR(GETPIVOTDATA("Cuenta de CANT",Tabla9,"PROV",[1]Tablas!$A$27,"SEFIS",AC$16,"CANT",[1]Tablas!#REF!),0)</f>
        <v>0</v>
      </c>
      <c r="AD16" s="15">
        <f ca="1">IFERROR(GETPIVOTDATA("Cuenta de CANT",Tabla9,"PROV",[1]Tablas!$A$27,"SEFIS",AD$16,"CANT",[1]Tablas!#REF!),0)</f>
        <v>0</v>
      </c>
      <c r="AE16" s="15">
        <f ca="1">IFERROR(GETPIVOTDATA("Cuenta de CANT",Tabla9,"PROV",[1]Tablas!$A$27,"SEFIS",AE$16,"CANT",[1]Tablas!#REF!),0)</f>
        <v>3</v>
      </c>
      <c r="AF16" s="15">
        <f ca="1">IFERROR(GETPIVOTDATA("Cuenta de CANT",Tabla9,"PROV",[1]Tablas!$A$27,"SEFIS",AF$16,"CANT",[1]Tablas!#REF!),0)</f>
        <v>2</v>
      </c>
      <c r="AG16" s="15">
        <f ca="1">IFERROR(GETPIVOTDATA("Cuenta de CANT",Tabla9,"PROV",[1]Tablas!$A$27,"SEFIS",AG$16,"CANT",[1]Tablas!#REF!),0)</f>
        <v>1</v>
      </c>
      <c r="AH16" s="15">
        <f ca="1">IFERROR(GETPIVOTDATA("Cuenta de CANT",Tabla9,"PROV",[1]Tablas!$A$27,"SEFIS",AH$16,"CANT",[1]Tablas!#REF!),0)</f>
        <v>1</v>
      </c>
      <c r="AI16" s="15">
        <f ca="1">IFERROR(GETPIVOTDATA("Cuenta de CANT",Tabla9,"PROV",[1]Tablas!$A$27,"SEFIS",AI$16,"CANT",[1]Tablas!#REF!),0)</f>
        <v>1</v>
      </c>
      <c r="AJ16" s="15">
        <f ca="1">IFERROR(GETPIVOTDATA("Cuenta de CANT",Tabla9,"PROV",[1]Tablas!$A$27,"SEFIS",AJ$16,"CANT",[1]Tablas!#REF!),0)</f>
        <v>1</v>
      </c>
      <c r="AK16" s="15">
        <f ca="1">IFERROR(GETPIVOTDATA("Cuenta de CANT",Tabla9,"PROV",[1]Tablas!$A$27,"SEFIS",AK$16,"CANT",[1]Tablas!#REF!),0)</f>
        <v>1</v>
      </c>
      <c r="AL16" s="15">
        <f ca="1">IFERROR(GETPIVOTDATA("Cuenta de CANT",Tabla9,"PROV",[1]Tablas!$A$27,"SEFIS",AL$16,"CANT",[1]Tablas!#REF!),0)</f>
        <v>3</v>
      </c>
      <c r="AM16" s="15">
        <f ca="1">IFERROR(GETPIVOTDATA("Cuenta de CANT",Tabla9,"PROV",[1]Tablas!$A$27,"SEFIS",AM$16,"CANT",[1]Tablas!#REF!),0)</f>
        <v>0</v>
      </c>
      <c r="AN16" s="15">
        <f ca="1">IFERROR(GETPIVOTDATA("Cuenta de CANT",Tabla9,"PROV",[1]Tablas!$A$27,"SEFIS",AN$16,"CANT",[1]Tablas!#REF!),0)</f>
        <v>1</v>
      </c>
      <c r="AO16" s="15">
        <f ca="1">IFERROR(GETPIVOTDATA("Cuenta de CANT",Tabla9,"PROV",[1]Tablas!$A$27,"SEFIS",AO$16,"CANT",[1]Tablas!#REF!),0)</f>
        <v>0</v>
      </c>
      <c r="AP16" s="15">
        <f ca="1">IFERROR(GETPIVOTDATA("Cuenta de CANT",Tabla9,"PROV",[1]Tablas!$A$27,"SEFIS",AP$16,"CANT",[1]Tablas!#REF!),0)</f>
        <v>2</v>
      </c>
      <c r="AQ16" s="15">
        <f ca="1">IFERROR(GETPIVOTDATA("Cuenta de CANT",Tabla9,"PROV",[1]Tablas!$A$27,"SEFIS",AQ$16,"CANT",[1]Tablas!#REF!),0)</f>
        <v>3</v>
      </c>
      <c r="AR16" s="15">
        <f ca="1">IFERROR(GETPIVOTDATA("Cuenta de CANT",Tabla9,"PROV",[1]Tablas!$A$27,"SEFIS",AR$16,"CANT",[1]Tablas!#REF!),0)</f>
        <v>0</v>
      </c>
      <c r="AS16" s="15">
        <f ca="1">IFERROR(GETPIVOTDATA("Cuenta de CANT",Tabla9,"PROV",[1]Tablas!$A$27,"SEFIS",AS$16,"CANT",[1]Tablas!#REF!),0)</f>
        <v>0</v>
      </c>
      <c r="AT16" s="15">
        <f ca="1">IFERROR(GETPIVOTDATA("Cuenta de CANT",Tabla9,"PROV",[1]Tablas!$A$27,"SEFIS",AT$16,"CANT",[1]Tablas!#REF!),0)</f>
        <v>2</v>
      </c>
      <c r="AU16" s="15">
        <f ca="1">IFERROR(GETPIVOTDATA("Cuenta de CANT",Tabla9,"PROV",[1]Tablas!$A$27,"SEFIS",AU$16,"CANT",[1]Tablas!#REF!),0)</f>
        <v>0</v>
      </c>
      <c r="AV16" s="15">
        <f ca="1">IFERROR(GETPIVOTDATA("Cuenta de CANT",Tabla9,"PROV",[1]Tablas!$A$27,"SEFIS",AV$16,"CANT",[1]Tablas!#REF!),0)</f>
        <v>2</v>
      </c>
      <c r="AW16" s="15">
        <f ca="1">IFERROR(GETPIVOTDATA("Cuenta de CANT",Tabla9,"PROV",[1]Tablas!$A$27,"SEFIS",AW$16,"CANT",[1]Tablas!#REF!),0)</f>
        <v>1</v>
      </c>
      <c r="AX16" s="15">
        <f ca="1">IFERROR(GETPIVOTDATA("Cuenta de CANT",Tabla9,"PROV",[1]Tablas!$A$27,"SEFIS",AX$16,"CANT",[1]Tablas!#REF!),0)</f>
        <v>2</v>
      </c>
      <c r="AY16" s="15">
        <f ca="1">IFERROR(GETPIVOTDATA("Cuenta de CANT",Tabla9,"PROV",[1]Tablas!$A$27,"SEFIS",AY$16,"CANT",[1]Tablas!#REF!),0)</f>
        <v>1</v>
      </c>
      <c r="AZ16" s="15">
        <f ca="1">IFERROR(GETPIVOTDATA("Cuenta de CANT",Tabla9,"PROV",[1]Tablas!$A$27,"SEFIS",AZ$16,"CANT",[1]Tablas!#REF!),0)</f>
        <v>1</v>
      </c>
      <c r="BA16" s="15">
        <f ca="1">IFERROR(GETPIVOTDATA("Cuenta de CANT",Tabla9,"PROV",[1]Tablas!$A$27,"SEFIS",BA$16,"CANT",[1]Tablas!#REF!),0)</f>
        <v>0</v>
      </c>
      <c r="BB16" s="15">
        <f ca="1">IFERROR(GETPIVOTDATA("Cuenta de CANT",Tabla9,"PROV",[1]Tablas!$A$27,"SEFIS",BB$16,"CANT",[1]Tablas!#REF!),0)</f>
        <v>1</v>
      </c>
      <c r="BC16" s="15">
        <f ca="1">IFERROR(GETPIVOTDATA("Cuenta de CANT",Tabla9,"PROV",[1]Tablas!$A$27,"SEFIS",BC$16,"CANT",[1]Tablas!#REF!),0)</f>
        <v>0</v>
      </c>
    </row>
    <row r="17" spans="1:55" x14ac:dyDescent="0.35">
      <c r="A17" s="14" t="s">
        <v>14</v>
      </c>
      <c r="B17" s="15">
        <f t="shared" ca="1" si="1"/>
        <v>0</v>
      </c>
      <c r="C17" s="16">
        <f ca="1">IFERROR(B17/[1]Tablas!#REF!*100000,"N/D")</f>
        <v>0</v>
      </c>
      <c r="D17" s="15">
        <f ca="1">IFERROR(GETPIVOTDATA("Cuenta de CANT",Tabla9,"PROV",[1]Tablas!$A$27,"SEFIS",D$16,"CANT",[1]Tablas!#REF!),0)</f>
        <v>0</v>
      </c>
      <c r="E17" s="15">
        <f ca="1">IFERROR(GETPIVOTDATA("Cuenta de CANT",Tabla9,"PROV",[1]Tablas!$A$27,"SEFIS",E$16,"CANT",[1]Tablas!#REF!),0)</f>
        <v>0</v>
      </c>
      <c r="F17" s="15">
        <f ca="1">IFERROR(GETPIVOTDATA("Cuenta de CANT",Tabla9,"PROV",[1]Tablas!$A$27,"SEFIS",F$16,"CANT",[1]Tablas!#REF!),0)</f>
        <v>0</v>
      </c>
      <c r="G17" s="15">
        <f ca="1">IFERROR(GETPIVOTDATA("Cuenta de CANT",Tabla9,"PROV",[1]Tablas!$A$27,"SEFIS",G$16,"CANT",[1]Tablas!#REF!),0)</f>
        <v>0</v>
      </c>
      <c r="H17" s="15">
        <f ca="1">IFERROR(GETPIVOTDATA("Cuenta de CANT",Tabla9,"PROV",[1]Tablas!$A$27,"SEFIS",H$16,"CANT",[1]Tablas!#REF!),0)</f>
        <v>0</v>
      </c>
      <c r="I17" s="15">
        <f ca="1">IFERROR(GETPIVOTDATA("Cuenta de CANT",Tabla9,"PROV",[1]Tablas!$A$27,"SEFIS",I$16,"CANT",[1]Tablas!#REF!),0)</f>
        <v>0</v>
      </c>
      <c r="J17" s="15">
        <f ca="1">IFERROR(GETPIVOTDATA("Cuenta de CANT",Tabla9,"PROV",[1]Tablas!$A$27,"SEFIS",J$16,"CANT",[1]Tablas!#REF!),0)</f>
        <v>0</v>
      </c>
      <c r="K17" s="15">
        <f ca="1">IFERROR(GETPIVOTDATA("Cuenta de CANT",Tabla9,"PROV",[1]Tablas!$A$27,"SEFIS",K$16,"CANT",[1]Tablas!#REF!),0)</f>
        <v>0</v>
      </c>
      <c r="L17" s="15">
        <f ca="1">IFERROR(GETPIVOTDATA("Cuenta de CANT",Tabla9,"PROV",[1]Tablas!$A$27,"SEFIS",L$16,"CANT",[1]Tablas!#REF!),0)</f>
        <v>0</v>
      </c>
      <c r="M17" s="15">
        <f ca="1">IFERROR(GETPIVOTDATA("Cuenta de CANT",Tabla9,"PROV",[1]Tablas!$A$27,"SEFIS",M$16,"CANT",[1]Tablas!#REF!),0)</f>
        <v>0</v>
      </c>
      <c r="N17" s="15">
        <f ca="1">IFERROR(GETPIVOTDATA("Cuenta de CANT",Tabla9,"PROV",[1]Tablas!$A$27,"SEFIS",N$16,"CANT",[1]Tablas!#REF!),0)</f>
        <v>0</v>
      </c>
      <c r="O17" s="15">
        <f ca="1">IFERROR(GETPIVOTDATA("Cuenta de CANT",Tabla9,"PROV",[1]Tablas!$A$27,"SEFIS",O$16,"CANT",[1]Tablas!#REF!),0)</f>
        <v>0</v>
      </c>
      <c r="P17" s="15">
        <f ca="1">IFERROR(GETPIVOTDATA("Cuenta de CANT",Tabla9,"PROV",[1]Tablas!$A$27,"SEFIS",P$16,"CANT",[1]Tablas!#REF!),0)</f>
        <v>0</v>
      </c>
      <c r="Q17" s="15">
        <f ca="1">IFERROR(GETPIVOTDATA("Cuenta de CANT",Tabla9,"PROV",[1]Tablas!$A$27,"SEFIS",Q$16,"CANT",[1]Tablas!#REF!),0)</f>
        <v>0</v>
      </c>
      <c r="R17" s="15">
        <f ca="1">IFERROR(GETPIVOTDATA("Cuenta de CANT",Tabla9,"PROV",[1]Tablas!$A$27,"SEFIS",R$16,"CANT",[1]Tablas!#REF!),0)</f>
        <v>0</v>
      </c>
      <c r="S17" s="15">
        <f ca="1">IFERROR(GETPIVOTDATA("Cuenta de CANT",Tabla9,"PROV",[1]Tablas!$A$27,"SEFIS",S$16,"CANT",[1]Tablas!#REF!),0)</f>
        <v>0</v>
      </c>
      <c r="T17" s="15">
        <f ca="1">IFERROR(GETPIVOTDATA("Cuenta de CANT",Tabla9,"PROV",[1]Tablas!$A$27,"SEFIS",T$16,"CANT",[1]Tablas!#REF!),0)</f>
        <v>0</v>
      </c>
      <c r="U17" s="15">
        <f ca="1">IFERROR(GETPIVOTDATA("Cuenta de CANT",Tabla9,"PROV",[1]Tablas!$A$27,"SEFIS",U$16,"CANT",[1]Tablas!#REF!),0)</f>
        <v>0</v>
      </c>
      <c r="V17" s="15">
        <f ca="1">IFERROR(GETPIVOTDATA("Cuenta de CANT",Tabla9,"PROV",[1]Tablas!$A$27,"SEFIS",V$16,"CANT",[1]Tablas!#REF!),0)</f>
        <v>0</v>
      </c>
      <c r="W17" s="15">
        <f ca="1">IFERROR(GETPIVOTDATA("Cuenta de CANT",Tabla9,"PROV",[1]Tablas!$A$27,"SEFIS",W$16,"CANT",[1]Tablas!#REF!),0)</f>
        <v>0</v>
      </c>
      <c r="X17" s="15">
        <f ca="1">IFERROR(GETPIVOTDATA("Cuenta de CANT",Tabla9,"PROV",[1]Tablas!$A$27,"SEFIS",X$16,"CANT",[1]Tablas!#REF!),0)</f>
        <v>0</v>
      </c>
      <c r="Y17" s="15">
        <f ca="1">IFERROR(GETPIVOTDATA("Cuenta de CANT",Tabla9,"PROV",[1]Tablas!$A$27,"SEFIS",Y$16,"CANT",[1]Tablas!#REF!),0)</f>
        <v>0</v>
      </c>
      <c r="Z17" s="15">
        <f ca="1">IFERROR(GETPIVOTDATA("Cuenta de CANT",Tabla9,"PROV",[1]Tablas!$A$27,"SEFIS",Z$16,"CANT",[1]Tablas!#REF!),0)</f>
        <v>0</v>
      </c>
      <c r="AA17" s="15">
        <f ca="1">IFERROR(GETPIVOTDATA("Cuenta de CANT",Tabla9,"PROV",[1]Tablas!$A$27,"SEFIS",AA$16,"CANT",[1]Tablas!#REF!),0)</f>
        <v>0</v>
      </c>
      <c r="AB17" s="15">
        <f ca="1">IFERROR(GETPIVOTDATA("Cuenta de CANT",Tabla9,"PROV",[1]Tablas!$A$27,"SEFIS",AB$16,"CANT",[1]Tablas!#REF!),0)</f>
        <v>0</v>
      </c>
      <c r="AC17" s="15">
        <f ca="1">IFERROR(GETPIVOTDATA("Cuenta de CANT",Tabla9,"PROV",[1]Tablas!$A$27,"SEFIS",AC$16,"CANT",[1]Tablas!#REF!),0)</f>
        <v>0</v>
      </c>
      <c r="AD17" s="15">
        <f ca="1">IFERROR(GETPIVOTDATA("Cuenta de CANT",Tabla9,"PROV",[1]Tablas!$A$27,"SEFIS",AD$16,"CANT",[1]Tablas!#REF!),0)</f>
        <v>0</v>
      </c>
      <c r="AE17" s="15">
        <f ca="1">IFERROR(GETPIVOTDATA("Cuenta de CANT",Tabla9,"PROV",[1]Tablas!$A$27,"SEFIS",AE$16,"CANT",[1]Tablas!#REF!),0)</f>
        <v>0</v>
      </c>
      <c r="AF17" s="15">
        <f ca="1">IFERROR(GETPIVOTDATA("Cuenta de CANT",Tabla9,"PROV",[1]Tablas!$A$27,"SEFIS",AF$16,"CANT",[1]Tablas!#REF!),0)</f>
        <v>0</v>
      </c>
      <c r="AG17" s="15">
        <f ca="1">IFERROR(GETPIVOTDATA("Cuenta de CANT",Tabla9,"PROV",[1]Tablas!$A$27,"SEFIS",AG$16,"CANT",[1]Tablas!#REF!),0)</f>
        <v>0</v>
      </c>
      <c r="AH17" s="15">
        <f ca="1">IFERROR(GETPIVOTDATA("Cuenta de CANT",Tabla9,"PROV",[1]Tablas!$A$27,"SEFIS",AH$16,"CANT",[1]Tablas!#REF!),0)</f>
        <v>0</v>
      </c>
      <c r="AI17" s="15">
        <f ca="1">IFERROR(GETPIVOTDATA("Cuenta de CANT",Tabla9,"PROV",[1]Tablas!$A$27,"SEFIS",AI$16,"CANT",[1]Tablas!#REF!),0)</f>
        <v>0</v>
      </c>
      <c r="AJ17" s="15">
        <f ca="1">IFERROR(GETPIVOTDATA("Cuenta de CANT",Tabla9,"PROV",[1]Tablas!$A$27,"SEFIS",AJ$16,"CANT",[1]Tablas!#REF!),0)</f>
        <v>0</v>
      </c>
      <c r="AK17" s="15">
        <f ca="1">IFERROR(GETPIVOTDATA("Cuenta de CANT",Tabla9,"PROV",[1]Tablas!$A$27,"SEFIS",AK$16,"CANT",[1]Tablas!#REF!),0)</f>
        <v>0</v>
      </c>
      <c r="AL17" s="15">
        <f ca="1">IFERROR(GETPIVOTDATA("Cuenta de CANT",Tabla9,"PROV",[1]Tablas!$A$27,"SEFIS",AL$16,"CANT",[1]Tablas!#REF!),0)</f>
        <v>0</v>
      </c>
      <c r="AM17" s="15">
        <f ca="1">IFERROR(GETPIVOTDATA("Cuenta de CANT",Tabla9,"PROV",[1]Tablas!$A$27,"SEFIS",AM$16,"CANT",[1]Tablas!#REF!),0)</f>
        <v>0</v>
      </c>
      <c r="AN17" s="15">
        <f ca="1">IFERROR(GETPIVOTDATA("Cuenta de CANT",Tabla9,"PROV",[1]Tablas!$A$27,"SEFIS",AN$16,"CANT",[1]Tablas!#REF!),0)</f>
        <v>0</v>
      </c>
      <c r="AO17" s="15">
        <f ca="1">IFERROR(GETPIVOTDATA("Cuenta de CANT",Tabla9,"PROV",[1]Tablas!$A$27,"SEFIS",AO$16,"CANT",[1]Tablas!#REF!),0)</f>
        <v>0</v>
      </c>
      <c r="AP17" s="15">
        <f ca="1">IFERROR(GETPIVOTDATA("Cuenta de CANT",Tabla9,"PROV",[1]Tablas!$A$27,"SEFIS",AP$16,"CANT",[1]Tablas!#REF!),0)</f>
        <v>0</v>
      </c>
      <c r="AQ17" s="15">
        <f ca="1">IFERROR(GETPIVOTDATA("Cuenta de CANT",Tabla9,"PROV",[1]Tablas!$A$27,"SEFIS",AQ$16,"CANT",[1]Tablas!#REF!),0)</f>
        <v>0</v>
      </c>
      <c r="AR17" s="15">
        <f ca="1">IFERROR(GETPIVOTDATA("Cuenta de CANT",Tabla9,"PROV",[1]Tablas!$A$27,"SEFIS",AR$16,"CANT",[1]Tablas!#REF!),0)</f>
        <v>0</v>
      </c>
      <c r="AS17" s="15">
        <f ca="1">IFERROR(GETPIVOTDATA("Cuenta de CANT",Tabla9,"PROV",[1]Tablas!$A$27,"SEFIS",AS$16,"CANT",[1]Tablas!#REF!),0)</f>
        <v>0</v>
      </c>
      <c r="AT17" s="15">
        <f ca="1">IFERROR(GETPIVOTDATA("Cuenta de CANT",Tabla9,"PROV",[1]Tablas!$A$27,"SEFIS",AT$16,"CANT",[1]Tablas!#REF!),0)</f>
        <v>0</v>
      </c>
      <c r="AU17" s="15">
        <f ca="1">IFERROR(GETPIVOTDATA("Cuenta de CANT",Tabla9,"PROV",[1]Tablas!$A$27,"SEFIS",AU$16,"CANT",[1]Tablas!#REF!),0)</f>
        <v>0</v>
      </c>
      <c r="AV17" s="15">
        <f ca="1">IFERROR(GETPIVOTDATA("Cuenta de CANT",Tabla9,"PROV",[1]Tablas!$A$27,"SEFIS",AV$16,"CANT",[1]Tablas!#REF!),0)</f>
        <v>0</v>
      </c>
      <c r="AW17" s="15">
        <f ca="1">IFERROR(GETPIVOTDATA("Cuenta de CANT",Tabla9,"PROV",[1]Tablas!$A$27,"SEFIS",AW$16,"CANT",[1]Tablas!#REF!),0)</f>
        <v>0</v>
      </c>
      <c r="AX17" s="15">
        <f ca="1">IFERROR(GETPIVOTDATA("Cuenta de CANT",Tabla9,"PROV",[1]Tablas!$A$27,"SEFIS",AX$16,"CANT",[1]Tablas!#REF!),0)</f>
        <v>0</v>
      </c>
      <c r="AY17" s="15">
        <f ca="1">IFERROR(GETPIVOTDATA("Cuenta de CANT",Tabla9,"PROV",[1]Tablas!$A$27,"SEFIS",AY$16,"CANT",[1]Tablas!#REF!),0)</f>
        <v>0</v>
      </c>
      <c r="AZ17" s="15">
        <f ca="1">IFERROR(GETPIVOTDATA("Cuenta de CANT",Tabla9,"PROV",[1]Tablas!$A$27,"SEFIS",AZ$16,"CANT",[1]Tablas!#REF!),0)</f>
        <v>0</v>
      </c>
      <c r="BA17" s="15">
        <f ca="1">IFERROR(GETPIVOTDATA("Cuenta de CANT",Tabla9,"PROV",[1]Tablas!$A$27,"SEFIS",BA$16,"CANT",[1]Tablas!#REF!),0)</f>
        <v>0</v>
      </c>
      <c r="BB17" s="15">
        <f ca="1">IFERROR(GETPIVOTDATA("Cuenta de CANT",Tabla9,"PROV",[1]Tablas!$A$27,"SEFIS",BB$16,"CANT",[1]Tablas!#REF!),0)</f>
        <v>0</v>
      </c>
      <c r="BC17" s="15">
        <f ca="1">IFERROR(GETPIVOTDATA("Cuenta de CANT",Tabla9,"PROV",[1]Tablas!$A$27,"SEFIS",BC$16,"CANT",[1]Tablas!#REF!),0)</f>
        <v>0</v>
      </c>
    </row>
    <row r="18" spans="1:55" x14ac:dyDescent="0.35">
      <c r="A18" s="14" t="s">
        <v>15</v>
      </c>
      <c r="B18" s="15">
        <f t="shared" ca="1" si="1"/>
        <v>1</v>
      </c>
      <c r="C18" s="16">
        <f ca="1">IFERROR(B18/[1]Tablas!#REF!*100000,"N/D")</f>
        <v>5.4752518615856332</v>
      </c>
      <c r="D18" s="15">
        <f ca="1">IFERROR(GETPIVOTDATA("Cuenta de CANT",Tabla9,"PROV",[1]Tablas!$A$27,"SEFIS",D$16,"CANT",[1]Tablas!#REF!),0)</f>
        <v>0</v>
      </c>
      <c r="E18" s="15">
        <f ca="1">IFERROR(GETPIVOTDATA("Cuenta de CANT",Tabla9,"PROV",[1]Tablas!$A$27,"SEFIS",E$16,"CANT",[1]Tablas!#REF!),0)</f>
        <v>0</v>
      </c>
      <c r="F18" s="15">
        <f ca="1">IFERROR(GETPIVOTDATA("Cuenta de CANT",Tabla9,"PROV",[1]Tablas!$A$27,"SEFIS",F$16,"CANT",[1]Tablas!#REF!),0)</f>
        <v>0</v>
      </c>
      <c r="G18" s="15">
        <f ca="1">IFERROR(GETPIVOTDATA("Cuenta de CANT",Tabla9,"PROV",[1]Tablas!$A$27,"SEFIS",G$16,"CANT",[1]Tablas!#REF!),0)</f>
        <v>0</v>
      </c>
      <c r="H18" s="15">
        <f ca="1">IFERROR(GETPIVOTDATA("Cuenta de CANT",Tabla9,"PROV",[1]Tablas!$A$27,"SEFIS",H$16,"CANT",[1]Tablas!#REF!),0)</f>
        <v>0</v>
      </c>
      <c r="I18" s="15">
        <f ca="1">IFERROR(GETPIVOTDATA("Cuenta de CANT",Tabla9,"PROV",[1]Tablas!$A$27,"SEFIS",I$16,"CANT",[1]Tablas!#REF!),0)</f>
        <v>0</v>
      </c>
      <c r="J18" s="15">
        <f ca="1">IFERROR(GETPIVOTDATA("Cuenta de CANT",Tabla9,"PROV",[1]Tablas!$A$27,"SEFIS",J$16,"CANT",[1]Tablas!#REF!),0)</f>
        <v>0</v>
      </c>
      <c r="K18" s="15">
        <f ca="1">IFERROR(GETPIVOTDATA("Cuenta de CANT",Tabla9,"PROV",[1]Tablas!$A$27,"SEFIS",K$16,"CANT",[1]Tablas!#REF!),0)</f>
        <v>0</v>
      </c>
      <c r="L18" s="15">
        <f ca="1">IFERROR(GETPIVOTDATA("Cuenta de CANT",Tabla9,"PROV",[1]Tablas!$A$27,"SEFIS",L$16,"CANT",[1]Tablas!#REF!),0)</f>
        <v>0</v>
      </c>
      <c r="M18" s="15">
        <f ca="1">IFERROR(GETPIVOTDATA("Cuenta de CANT",Tabla9,"PROV",[1]Tablas!$A$27,"SEFIS",M$16,"CANT",[1]Tablas!#REF!),0)</f>
        <v>0</v>
      </c>
      <c r="N18" s="15">
        <f ca="1">IFERROR(GETPIVOTDATA("Cuenta de CANT",Tabla9,"PROV",[1]Tablas!$A$27,"SEFIS",N$16,"CANT",[1]Tablas!#REF!),0)</f>
        <v>0</v>
      </c>
      <c r="O18" s="15">
        <f ca="1">IFERROR(GETPIVOTDATA("Cuenta de CANT",Tabla9,"PROV",[1]Tablas!$A$27,"SEFIS",O$16,"CANT",[1]Tablas!#REF!),0)</f>
        <v>0</v>
      </c>
      <c r="P18" s="15">
        <f ca="1">IFERROR(GETPIVOTDATA("Cuenta de CANT",Tabla9,"PROV",[1]Tablas!$A$27,"SEFIS",P$16,"CANT",[1]Tablas!#REF!),0)</f>
        <v>0</v>
      </c>
      <c r="Q18" s="15">
        <f ca="1">IFERROR(GETPIVOTDATA("Cuenta de CANT",Tabla9,"PROV",[1]Tablas!$A$27,"SEFIS",Q$16,"CANT",[1]Tablas!#REF!),0)</f>
        <v>0</v>
      </c>
      <c r="R18" s="15">
        <f ca="1">IFERROR(GETPIVOTDATA("Cuenta de CANT",Tabla9,"PROV",[1]Tablas!$A$27,"SEFIS",R$16,"CANT",[1]Tablas!#REF!),0)</f>
        <v>0</v>
      </c>
      <c r="S18" s="15">
        <f ca="1">IFERROR(GETPIVOTDATA("Cuenta de CANT",Tabla9,"PROV",[1]Tablas!$A$27,"SEFIS",S$16,"CANT",[1]Tablas!#REF!),0)</f>
        <v>0</v>
      </c>
      <c r="T18" s="15">
        <f ca="1">IFERROR(GETPIVOTDATA("Cuenta de CANT",Tabla9,"PROV",[1]Tablas!$A$27,"SEFIS",T$16,"CANT",[1]Tablas!#REF!),0)</f>
        <v>0</v>
      </c>
      <c r="U18" s="15">
        <f ca="1">IFERROR(GETPIVOTDATA("Cuenta de CANT",Tabla9,"PROV",[1]Tablas!$A$27,"SEFIS",U$16,"CANT",[1]Tablas!#REF!),0)</f>
        <v>0</v>
      </c>
      <c r="V18" s="15">
        <f ca="1">IFERROR(GETPIVOTDATA("Cuenta de CANT",Tabla9,"PROV",[1]Tablas!$A$27,"SEFIS",V$16,"CANT",[1]Tablas!#REF!),0)</f>
        <v>0</v>
      </c>
      <c r="W18" s="15">
        <f ca="1">IFERROR(GETPIVOTDATA("Cuenta de CANT",Tabla9,"PROV",[1]Tablas!$A$27,"SEFIS",W$16,"CANT",[1]Tablas!#REF!),0)</f>
        <v>0</v>
      </c>
      <c r="X18" s="15">
        <f ca="1">IFERROR(GETPIVOTDATA("Cuenta de CANT",Tabla9,"PROV",[1]Tablas!$A$27,"SEFIS",X$16,"CANT",[1]Tablas!#REF!),0)</f>
        <v>0</v>
      </c>
      <c r="Y18" s="15">
        <f ca="1">IFERROR(GETPIVOTDATA("Cuenta de CANT",Tabla9,"PROV",[1]Tablas!$A$27,"SEFIS",Y$16,"CANT",[1]Tablas!#REF!),0)</f>
        <v>0</v>
      </c>
      <c r="Z18" s="15">
        <f ca="1">IFERROR(GETPIVOTDATA("Cuenta de CANT",Tabla9,"PROV",[1]Tablas!$A$27,"SEFIS",Z$16,"CANT",[1]Tablas!#REF!),0)</f>
        <v>0</v>
      </c>
      <c r="AA18" s="15">
        <f ca="1">IFERROR(GETPIVOTDATA("Cuenta de CANT",Tabla9,"PROV",[1]Tablas!$A$27,"SEFIS",AA$16,"CANT",[1]Tablas!#REF!),0)</f>
        <v>0</v>
      </c>
      <c r="AB18" s="15">
        <f ca="1">IFERROR(GETPIVOTDATA("Cuenta de CANT",Tabla9,"PROV",[1]Tablas!$A$27,"SEFIS",AB$16,"CANT",[1]Tablas!#REF!),0)</f>
        <v>0</v>
      </c>
      <c r="AC18" s="15">
        <f ca="1">IFERROR(GETPIVOTDATA("Cuenta de CANT",Tabla9,"PROV",[1]Tablas!$A$27,"SEFIS",AC$16,"CANT",[1]Tablas!#REF!),0)</f>
        <v>0</v>
      </c>
      <c r="AD18" s="15">
        <f ca="1">IFERROR(GETPIVOTDATA("Cuenta de CANT",Tabla9,"PROV",[1]Tablas!$A$27,"SEFIS",AD$16,"CANT",[1]Tablas!#REF!),0)</f>
        <v>0</v>
      </c>
      <c r="AE18" s="15">
        <f ca="1">IFERROR(GETPIVOTDATA("Cuenta de CANT",Tabla9,"PROV",[1]Tablas!$A$27,"SEFIS",AE$16,"CANT",[1]Tablas!#REF!),0)</f>
        <v>0</v>
      </c>
      <c r="AF18" s="15">
        <f ca="1">IFERROR(GETPIVOTDATA("Cuenta de CANT",Tabla9,"PROV",[1]Tablas!$A$27,"SEFIS",AF$16,"CANT",[1]Tablas!#REF!),0)</f>
        <v>0</v>
      </c>
      <c r="AG18" s="15">
        <f ca="1">IFERROR(GETPIVOTDATA("Cuenta de CANT",Tabla9,"PROV",[1]Tablas!$A$27,"SEFIS",AG$16,"CANT",[1]Tablas!#REF!),0)</f>
        <v>0</v>
      </c>
      <c r="AH18" s="15">
        <f ca="1">IFERROR(GETPIVOTDATA("Cuenta de CANT",Tabla9,"PROV",[1]Tablas!$A$27,"SEFIS",AH$16,"CANT",[1]Tablas!#REF!),0)</f>
        <v>0</v>
      </c>
      <c r="AI18" s="15">
        <f ca="1">IFERROR(GETPIVOTDATA("Cuenta de CANT",Tabla9,"PROV",[1]Tablas!$A$27,"SEFIS",AI$16,"CANT",[1]Tablas!#REF!),0)</f>
        <v>0</v>
      </c>
      <c r="AJ18" s="15">
        <f ca="1">IFERROR(GETPIVOTDATA("Cuenta de CANT",Tabla9,"PROV",[1]Tablas!$A$27,"SEFIS",AJ$16,"CANT",[1]Tablas!#REF!),0)</f>
        <v>0</v>
      </c>
      <c r="AK18" s="15">
        <f ca="1">IFERROR(GETPIVOTDATA("Cuenta de CANT",Tabla9,"PROV",[1]Tablas!$A$27,"SEFIS",AK$16,"CANT",[1]Tablas!#REF!),0)</f>
        <v>0</v>
      </c>
      <c r="AL18" s="15">
        <f ca="1">IFERROR(GETPIVOTDATA("Cuenta de CANT",Tabla9,"PROV",[1]Tablas!$A$27,"SEFIS",AL$16,"CANT",[1]Tablas!#REF!),0)</f>
        <v>0</v>
      </c>
      <c r="AM18" s="15">
        <f ca="1">IFERROR(GETPIVOTDATA("Cuenta de CANT",Tabla9,"PROV",[1]Tablas!$A$27,"SEFIS",AM$16,"CANT",[1]Tablas!#REF!),0)</f>
        <v>0</v>
      </c>
      <c r="AN18" s="15">
        <f ca="1">IFERROR(GETPIVOTDATA("Cuenta de CANT",Tabla9,"PROV",[1]Tablas!$A$27,"SEFIS",AN$16,"CANT",[1]Tablas!#REF!),0)</f>
        <v>0</v>
      </c>
      <c r="AO18" s="15">
        <f ca="1">IFERROR(GETPIVOTDATA("Cuenta de CANT",Tabla9,"PROV",[1]Tablas!$A$27,"SEFIS",AO$16,"CANT",[1]Tablas!#REF!),0)</f>
        <v>0</v>
      </c>
      <c r="AP18" s="15">
        <f ca="1">IFERROR(GETPIVOTDATA("Cuenta de CANT",Tabla9,"PROV",[1]Tablas!$A$27,"SEFIS",AP$16,"CANT",[1]Tablas!#REF!),0)</f>
        <v>0</v>
      </c>
      <c r="AQ18" s="15">
        <f ca="1">IFERROR(GETPIVOTDATA("Cuenta de CANT",Tabla9,"PROV",[1]Tablas!$A$27,"SEFIS",AQ$16,"CANT",[1]Tablas!#REF!),0)</f>
        <v>0</v>
      </c>
      <c r="AR18" s="15">
        <f ca="1">IFERROR(GETPIVOTDATA("Cuenta de CANT",Tabla9,"PROV",[1]Tablas!$A$27,"SEFIS",AR$16,"CANT",[1]Tablas!#REF!),0)</f>
        <v>0</v>
      </c>
      <c r="AS18" s="15">
        <f ca="1">IFERROR(GETPIVOTDATA("Cuenta de CANT",Tabla9,"PROV",[1]Tablas!$A$27,"SEFIS",AS$16,"CANT",[1]Tablas!#REF!),0)</f>
        <v>1</v>
      </c>
      <c r="AT18" s="15">
        <f ca="1">IFERROR(GETPIVOTDATA("Cuenta de CANT",Tabla9,"PROV",[1]Tablas!$A$27,"SEFIS",AT$16,"CANT",[1]Tablas!#REF!),0)</f>
        <v>0</v>
      </c>
      <c r="AU18" s="15">
        <f ca="1">IFERROR(GETPIVOTDATA("Cuenta de CANT",Tabla9,"PROV",[1]Tablas!$A$27,"SEFIS",AU$16,"CANT",[1]Tablas!#REF!),0)</f>
        <v>0</v>
      </c>
      <c r="AV18" s="15">
        <f ca="1">IFERROR(GETPIVOTDATA("Cuenta de CANT",Tabla9,"PROV",[1]Tablas!$A$27,"SEFIS",AV$16,"CANT",[1]Tablas!#REF!),0)</f>
        <v>0</v>
      </c>
      <c r="AW18" s="15">
        <f ca="1">IFERROR(GETPIVOTDATA("Cuenta de CANT",Tabla9,"PROV",[1]Tablas!$A$27,"SEFIS",AW$16,"CANT",[1]Tablas!#REF!),0)</f>
        <v>0</v>
      </c>
      <c r="AX18" s="15">
        <f ca="1">IFERROR(GETPIVOTDATA("Cuenta de CANT",Tabla9,"PROV",[1]Tablas!$A$27,"SEFIS",AX$16,"CANT",[1]Tablas!#REF!),0)</f>
        <v>0</v>
      </c>
      <c r="AY18" s="15">
        <f ca="1">IFERROR(GETPIVOTDATA("Cuenta de CANT",Tabla9,"PROV",[1]Tablas!$A$27,"SEFIS",AY$16,"CANT",[1]Tablas!#REF!),0)</f>
        <v>0</v>
      </c>
      <c r="AZ18" s="15">
        <f ca="1">IFERROR(GETPIVOTDATA("Cuenta de CANT",Tabla9,"PROV",[1]Tablas!$A$27,"SEFIS",AZ$16,"CANT",[1]Tablas!#REF!),0)</f>
        <v>0</v>
      </c>
      <c r="BA18" s="15">
        <f ca="1">IFERROR(GETPIVOTDATA("Cuenta de CANT",Tabla9,"PROV",[1]Tablas!$A$27,"SEFIS",BA$16,"CANT",[1]Tablas!#REF!),0)</f>
        <v>0</v>
      </c>
      <c r="BB18" s="15">
        <f ca="1">IFERROR(GETPIVOTDATA("Cuenta de CANT",Tabla9,"PROV",[1]Tablas!$A$27,"SEFIS",BB$16,"CANT",[1]Tablas!#REF!),0)</f>
        <v>0</v>
      </c>
      <c r="BC18" s="15">
        <f ca="1">IFERROR(GETPIVOTDATA("Cuenta de CANT",Tabla9,"PROV",[1]Tablas!$A$27,"SEFIS",BC$16,"CANT",[1]Tablas!#REF!),0)</f>
        <v>0</v>
      </c>
    </row>
    <row r="19" spans="1:55" x14ac:dyDescent="0.35">
      <c r="A19" s="14" t="s">
        <v>16</v>
      </c>
      <c r="B19" s="15">
        <f t="shared" ca="1" si="1"/>
        <v>9</v>
      </c>
      <c r="C19" s="16">
        <f ca="1">IFERROR(B19/[1]Tablas!#REF!*100000,"N/D")</f>
        <v>14.405301150823504</v>
      </c>
      <c r="D19" s="15">
        <f ca="1">IFERROR(GETPIVOTDATA("Cuenta de CANT",Tabla9,"PROV",[1]Tablas!$A$27,"SEFIS",D$16,"CANT",[1]Tablas!#REF!),0)</f>
        <v>0</v>
      </c>
      <c r="E19" s="15">
        <f ca="1">IFERROR(GETPIVOTDATA("Cuenta de CANT",Tabla9,"PROV",[1]Tablas!$A$27,"SEFIS",E$16,"CANT",[1]Tablas!#REF!),0)</f>
        <v>0</v>
      </c>
      <c r="F19" s="15">
        <f ca="1">IFERROR(GETPIVOTDATA("Cuenta de CANT",Tabla9,"PROV",[1]Tablas!$A$27,"SEFIS",F$16,"CANT",[1]Tablas!#REF!),0)</f>
        <v>0</v>
      </c>
      <c r="G19" s="15">
        <f ca="1">IFERROR(GETPIVOTDATA("Cuenta de CANT",Tabla9,"PROV",[1]Tablas!$A$27,"SEFIS",G$16,"CANT",[1]Tablas!#REF!),0)</f>
        <v>0</v>
      </c>
      <c r="H19" s="15">
        <f ca="1">IFERROR(GETPIVOTDATA("Cuenta de CANT",Tabla9,"PROV",[1]Tablas!$A$27,"SEFIS",H$16,"CANT",[1]Tablas!#REF!),0)</f>
        <v>0</v>
      </c>
      <c r="I19" s="15">
        <f ca="1">IFERROR(GETPIVOTDATA("Cuenta de CANT",Tabla9,"PROV",[1]Tablas!$A$27,"SEFIS",I$16,"CANT",[1]Tablas!#REF!),0)</f>
        <v>0</v>
      </c>
      <c r="J19" s="15">
        <f ca="1">IFERROR(GETPIVOTDATA("Cuenta de CANT",Tabla9,"PROV",[1]Tablas!$A$27,"SEFIS",J$16,"CANT",[1]Tablas!#REF!),0)</f>
        <v>0</v>
      </c>
      <c r="K19" s="15">
        <f ca="1">IFERROR(GETPIVOTDATA("Cuenta de CANT",Tabla9,"PROV",[1]Tablas!$A$27,"SEFIS",K$16,"CANT",[1]Tablas!#REF!),0)</f>
        <v>0</v>
      </c>
      <c r="L19" s="15">
        <f ca="1">IFERROR(GETPIVOTDATA("Cuenta de CANT",Tabla9,"PROV",[1]Tablas!$A$27,"SEFIS",L$16,"CANT",[1]Tablas!#REF!),0)</f>
        <v>0</v>
      </c>
      <c r="M19" s="15">
        <f ca="1">IFERROR(GETPIVOTDATA("Cuenta de CANT",Tabla9,"PROV",[1]Tablas!$A$27,"SEFIS",M$16,"CANT",[1]Tablas!#REF!),0)</f>
        <v>0</v>
      </c>
      <c r="N19" s="15">
        <f ca="1">IFERROR(GETPIVOTDATA("Cuenta de CANT",Tabla9,"PROV",[1]Tablas!$A$27,"SEFIS",N$16,"CANT",[1]Tablas!#REF!),0)</f>
        <v>0</v>
      </c>
      <c r="O19" s="15">
        <f ca="1">IFERROR(GETPIVOTDATA("Cuenta de CANT",Tabla9,"PROV",[1]Tablas!$A$27,"SEFIS",O$16,"CANT",[1]Tablas!#REF!),0)</f>
        <v>0</v>
      </c>
      <c r="P19" s="15">
        <f ca="1">IFERROR(GETPIVOTDATA("Cuenta de CANT",Tabla9,"PROV",[1]Tablas!$A$27,"SEFIS",P$16,"CANT",[1]Tablas!#REF!),0)</f>
        <v>0</v>
      </c>
      <c r="Q19" s="15">
        <f ca="1">IFERROR(GETPIVOTDATA("Cuenta de CANT",Tabla9,"PROV",[1]Tablas!$A$27,"SEFIS",Q$16,"CANT",[1]Tablas!#REF!),0)</f>
        <v>0</v>
      </c>
      <c r="R19" s="15">
        <f ca="1">IFERROR(GETPIVOTDATA("Cuenta de CANT",Tabla9,"PROV",[1]Tablas!$A$27,"SEFIS",R$16,"CANT",[1]Tablas!#REF!),0)</f>
        <v>2</v>
      </c>
      <c r="S19" s="15">
        <f ca="1">IFERROR(GETPIVOTDATA("Cuenta de CANT",Tabla9,"PROV",[1]Tablas!$A$27,"SEFIS",S$16,"CANT",[1]Tablas!#REF!),0)</f>
        <v>0</v>
      </c>
      <c r="T19" s="15">
        <f ca="1">IFERROR(GETPIVOTDATA("Cuenta de CANT",Tabla9,"PROV",[1]Tablas!$A$27,"SEFIS",T$16,"CANT",[1]Tablas!#REF!),0)</f>
        <v>0</v>
      </c>
      <c r="U19" s="15">
        <f ca="1">IFERROR(GETPIVOTDATA("Cuenta de CANT",Tabla9,"PROV",[1]Tablas!$A$27,"SEFIS",U$16,"CANT",[1]Tablas!#REF!),0)</f>
        <v>0</v>
      </c>
      <c r="V19" s="15">
        <f ca="1">IFERROR(GETPIVOTDATA("Cuenta de CANT",Tabla9,"PROV",[1]Tablas!$A$27,"SEFIS",V$16,"CANT",[1]Tablas!#REF!),0)</f>
        <v>0</v>
      </c>
      <c r="W19" s="15">
        <f ca="1">IFERROR(GETPIVOTDATA("Cuenta de CANT",Tabla9,"PROV",[1]Tablas!$A$27,"SEFIS",W$16,"CANT",[1]Tablas!#REF!),0)</f>
        <v>0</v>
      </c>
      <c r="X19" s="15">
        <f ca="1">IFERROR(GETPIVOTDATA("Cuenta de CANT",Tabla9,"PROV",[1]Tablas!$A$27,"SEFIS",X$16,"CANT",[1]Tablas!#REF!),0)</f>
        <v>0</v>
      </c>
      <c r="Y19" s="15">
        <f ca="1">IFERROR(GETPIVOTDATA("Cuenta de CANT",Tabla9,"PROV",[1]Tablas!$A$27,"SEFIS",Y$16,"CANT",[1]Tablas!#REF!),0)</f>
        <v>1</v>
      </c>
      <c r="Z19" s="15">
        <f ca="1">IFERROR(GETPIVOTDATA("Cuenta de CANT",Tabla9,"PROV",[1]Tablas!$A$27,"SEFIS",Z$16,"CANT",[1]Tablas!#REF!),0)</f>
        <v>0</v>
      </c>
      <c r="AA19" s="15">
        <f ca="1">IFERROR(GETPIVOTDATA("Cuenta de CANT",Tabla9,"PROV",[1]Tablas!$A$27,"SEFIS",AA$16,"CANT",[1]Tablas!#REF!),0)</f>
        <v>0</v>
      </c>
      <c r="AB19" s="15">
        <f ca="1">IFERROR(GETPIVOTDATA("Cuenta de CANT",Tabla9,"PROV",[1]Tablas!$A$27,"SEFIS",AB$16,"CANT",[1]Tablas!#REF!),0)</f>
        <v>0</v>
      </c>
      <c r="AC19" s="15">
        <f ca="1">IFERROR(GETPIVOTDATA("Cuenta de CANT",Tabla9,"PROV",[1]Tablas!$A$27,"SEFIS",AC$16,"CANT",[1]Tablas!#REF!),0)</f>
        <v>0</v>
      </c>
      <c r="AD19" s="15">
        <f ca="1">IFERROR(GETPIVOTDATA("Cuenta de CANT",Tabla9,"PROV",[1]Tablas!$A$27,"SEFIS",AD$16,"CANT",[1]Tablas!#REF!),0)</f>
        <v>0</v>
      </c>
      <c r="AE19" s="15">
        <f ca="1">IFERROR(GETPIVOTDATA("Cuenta de CANT",Tabla9,"PROV",[1]Tablas!$A$27,"SEFIS",AE$16,"CANT",[1]Tablas!#REF!),0)</f>
        <v>2</v>
      </c>
      <c r="AF19" s="15">
        <f ca="1">IFERROR(GETPIVOTDATA("Cuenta de CANT",Tabla9,"PROV",[1]Tablas!$A$27,"SEFIS",AF$16,"CANT",[1]Tablas!#REF!),0)</f>
        <v>0</v>
      </c>
      <c r="AG19" s="15">
        <f ca="1">IFERROR(GETPIVOTDATA("Cuenta de CANT",Tabla9,"PROV",[1]Tablas!$A$27,"SEFIS",AG$16,"CANT",[1]Tablas!#REF!),0)</f>
        <v>0</v>
      </c>
      <c r="AH19" s="15">
        <f ca="1">IFERROR(GETPIVOTDATA("Cuenta de CANT",Tabla9,"PROV",[1]Tablas!$A$27,"SEFIS",AH$16,"CANT",[1]Tablas!#REF!),0)</f>
        <v>0</v>
      </c>
      <c r="AI19" s="15">
        <f ca="1">IFERROR(GETPIVOTDATA("Cuenta de CANT",Tabla9,"PROV",[1]Tablas!$A$27,"SEFIS",AI$16,"CANT",[1]Tablas!#REF!),0)</f>
        <v>0</v>
      </c>
      <c r="AJ19" s="15">
        <f ca="1">IFERROR(GETPIVOTDATA("Cuenta de CANT",Tabla9,"PROV",[1]Tablas!$A$27,"SEFIS",AJ$16,"CANT",[1]Tablas!#REF!),0)</f>
        <v>0</v>
      </c>
      <c r="AK19" s="15">
        <f ca="1">IFERROR(GETPIVOTDATA("Cuenta de CANT",Tabla9,"PROV",[1]Tablas!$A$27,"SEFIS",AK$16,"CANT",[1]Tablas!#REF!),0)</f>
        <v>0</v>
      </c>
      <c r="AL19" s="15">
        <f ca="1">IFERROR(GETPIVOTDATA("Cuenta de CANT",Tabla9,"PROV",[1]Tablas!$A$27,"SEFIS",AL$16,"CANT",[1]Tablas!#REF!),0)</f>
        <v>0</v>
      </c>
      <c r="AM19" s="15">
        <f ca="1">IFERROR(GETPIVOTDATA("Cuenta de CANT",Tabla9,"PROV",[1]Tablas!$A$27,"SEFIS",AM$16,"CANT",[1]Tablas!#REF!),0)</f>
        <v>1</v>
      </c>
      <c r="AN19" s="15">
        <f ca="1">IFERROR(GETPIVOTDATA("Cuenta de CANT",Tabla9,"PROV",[1]Tablas!$A$27,"SEFIS",AN$16,"CANT",[1]Tablas!#REF!),0)</f>
        <v>2</v>
      </c>
      <c r="AO19" s="15">
        <f ca="1">IFERROR(GETPIVOTDATA("Cuenta de CANT",Tabla9,"PROV",[1]Tablas!$A$27,"SEFIS",AO$16,"CANT",[1]Tablas!#REF!),0)</f>
        <v>0</v>
      </c>
      <c r="AP19" s="15">
        <f ca="1">IFERROR(GETPIVOTDATA("Cuenta de CANT",Tabla9,"PROV",[1]Tablas!$A$27,"SEFIS",AP$16,"CANT",[1]Tablas!#REF!),0)</f>
        <v>0</v>
      </c>
      <c r="AQ19" s="15">
        <f ca="1">IFERROR(GETPIVOTDATA("Cuenta de CANT",Tabla9,"PROV",[1]Tablas!$A$27,"SEFIS",AQ$16,"CANT",[1]Tablas!#REF!),0)</f>
        <v>0</v>
      </c>
      <c r="AR19" s="15">
        <f ca="1">IFERROR(GETPIVOTDATA("Cuenta de CANT",Tabla9,"PROV",[1]Tablas!$A$27,"SEFIS",AR$16,"CANT",[1]Tablas!#REF!),0)</f>
        <v>0</v>
      </c>
      <c r="AS19" s="15">
        <f ca="1">IFERROR(GETPIVOTDATA("Cuenta de CANT",Tabla9,"PROV",[1]Tablas!$A$27,"SEFIS",AS$16,"CANT",[1]Tablas!#REF!),0)</f>
        <v>0</v>
      </c>
      <c r="AT19" s="15">
        <f ca="1">IFERROR(GETPIVOTDATA("Cuenta de CANT",Tabla9,"PROV",[1]Tablas!$A$27,"SEFIS",AT$16,"CANT",[1]Tablas!#REF!),0)</f>
        <v>0</v>
      </c>
      <c r="AU19" s="15">
        <f ca="1">IFERROR(GETPIVOTDATA("Cuenta de CANT",Tabla9,"PROV",[1]Tablas!$A$27,"SEFIS",AU$16,"CANT",[1]Tablas!#REF!),0)</f>
        <v>0</v>
      </c>
      <c r="AV19" s="15">
        <f ca="1">IFERROR(GETPIVOTDATA("Cuenta de CANT",Tabla9,"PROV",[1]Tablas!$A$27,"SEFIS",AV$16,"CANT",[1]Tablas!#REF!),0)</f>
        <v>0</v>
      </c>
      <c r="AW19" s="15">
        <f ca="1">IFERROR(GETPIVOTDATA("Cuenta de CANT",Tabla9,"PROV",[1]Tablas!$A$27,"SEFIS",AW$16,"CANT",[1]Tablas!#REF!),0)</f>
        <v>0</v>
      </c>
      <c r="AX19" s="15">
        <f ca="1">IFERROR(GETPIVOTDATA("Cuenta de CANT",Tabla9,"PROV",[1]Tablas!$A$27,"SEFIS",AX$16,"CANT",[1]Tablas!#REF!),0)</f>
        <v>0</v>
      </c>
      <c r="AY19" s="15">
        <f ca="1">IFERROR(GETPIVOTDATA("Cuenta de CANT",Tabla9,"PROV",[1]Tablas!$A$27,"SEFIS",AY$16,"CANT",[1]Tablas!#REF!),0)</f>
        <v>1</v>
      </c>
      <c r="AZ19" s="15">
        <f ca="1">IFERROR(GETPIVOTDATA("Cuenta de CANT",Tabla9,"PROV",[1]Tablas!$A$27,"SEFIS",AZ$16,"CANT",[1]Tablas!#REF!),0)</f>
        <v>0</v>
      </c>
      <c r="BA19" s="15">
        <f ca="1">IFERROR(GETPIVOTDATA("Cuenta de CANT",Tabla9,"PROV",[1]Tablas!$A$27,"SEFIS",BA$16,"CANT",[1]Tablas!#REF!),0)</f>
        <v>0</v>
      </c>
      <c r="BB19" s="15">
        <f ca="1">IFERROR(GETPIVOTDATA("Cuenta de CANT",Tabla9,"PROV",[1]Tablas!$A$27,"SEFIS",BB$16,"CANT",[1]Tablas!#REF!),0)</f>
        <v>0</v>
      </c>
      <c r="BC19" s="15">
        <f ca="1">IFERROR(GETPIVOTDATA("Cuenta de CANT",Tabla9,"PROV",[1]Tablas!$A$27,"SEFIS",BC$16,"CANT",[1]Tablas!#REF!),0)</f>
        <v>0</v>
      </c>
    </row>
    <row r="20" spans="1:55" x14ac:dyDescent="0.35">
      <c r="A20" s="14" t="s">
        <v>17</v>
      </c>
      <c r="B20" s="15">
        <f t="shared" ca="1" si="1"/>
        <v>3</v>
      </c>
      <c r="C20" s="16">
        <f ca="1">IFERROR(B20/[1]Tablas!#REF!*100000,"N/D")</f>
        <v>10.060024814727877</v>
      </c>
      <c r="D20" s="15">
        <f ca="1">IFERROR(GETPIVOTDATA("Cuenta de CANT",Tabla9,"PROV",[1]Tablas!$A$27,"SEFIS",D$16,"CANT",[1]Tablas!#REF!),0)</f>
        <v>0</v>
      </c>
      <c r="E20" s="15">
        <f ca="1">IFERROR(GETPIVOTDATA("Cuenta de CANT",Tabla9,"PROV",[1]Tablas!$A$27,"SEFIS",E$16,"CANT",[1]Tablas!#REF!),0)</f>
        <v>0</v>
      </c>
      <c r="F20" s="15">
        <f ca="1">IFERROR(GETPIVOTDATA("Cuenta de CANT",Tabla9,"PROV",[1]Tablas!$A$27,"SEFIS",F$16,"CANT",[1]Tablas!#REF!),0)</f>
        <v>0</v>
      </c>
      <c r="G20" s="15">
        <f ca="1">IFERROR(GETPIVOTDATA("Cuenta de CANT",Tabla9,"PROV",[1]Tablas!$A$27,"SEFIS",G$16,"CANT",[1]Tablas!#REF!),0)</f>
        <v>0</v>
      </c>
      <c r="H20" s="15">
        <f ca="1">IFERROR(GETPIVOTDATA("Cuenta de CANT",Tabla9,"PROV",[1]Tablas!$A$27,"SEFIS",H$16,"CANT",[1]Tablas!#REF!),0)</f>
        <v>0</v>
      </c>
      <c r="I20" s="15">
        <f ca="1">IFERROR(GETPIVOTDATA("Cuenta de CANT",Tabla9,"PROV",[1]Tablas!$A$27,"SEFIS",I$16,"CANT",[1]Tablas!#REF!),0)</f>
        <v>0</v>
      </c>
      <c r="J20" s="15">
        <f ca="1">IFERROR(GETPIVOTDATA("Cuenta de CANT",Tabla9,"PROV",[1]Tablas!$A$27,"SEFIS",J$16,"CANT",[1]Tablas!#REF!),0)</f>
        <v>0</v>
      </c>
      <c r="K20" s="15">
        <f ca="1">IFERROR(GETPIVOTDATA("Cuenta de CANT",Tabla9,"PROV",[1]Tablas!$A$27,"SEFIS",K$16,"CANT",[1]Tablas!#REF!),0)</f>
        <v>0</v>
      </c>
      <c r="L20" s="15">
        <f ca="1">IFERROR(GETPIVOTDATA("Cuenta de CANT",Tabla9,"PROV",[1]Tablas!$A$27,"SEFIS",L$16,"CANT",[1]Tablas!#REF!),0)</f>
        <v>0</v>
      </c>
      <c r="M20" s="15">
        <f ca="1">IFERROR(GETPIVOTDATA("Cuenta de CANT",Tabla9,"PROV",[1]Tablas!$A$27,"SEFIS",M$16,"CANT",[1]Tablas!#REF!),0)</f>
        <v>0</v>
      </c>
      <c r="N20" s="15">
        <f ca="1">IFERROR(GETPIVOTDATA("Cuenta de CANT",Tabla9,"PROV",[1]Tablas!$A$27,"SEFIS",N$16,"CANT",[1]Tablas!#REF!),0)</f>
        <v>0</v>
      </c>
      <c r="O20" s="15">
        <f ca="1">IFERROR(GETPIVOTDATA("Cuenta de CANT",Tabla9,"PROV",[1]Tablas!$A$27,"SEFIS",O$16,"CANT",[1]Tablas!#REF!),0)</f>
        <v>0</v>
      </c>
      <c r="P20" s="15">
        <f ca="1">IFERROR(GETPIVOTDATA("Cuenta de CANT",Tabla9,"PROV",[1]Tablas!$A$27,"SEFIS",P$16,"CANT",[1]Tablas!#REF!),0)</f>
        <v>0</v>
      </c>
      <c r="Q20" s="15">
        <f ca="1">IFERROR(GETPIVOTDATA("Cuenta de CANT",Tabla9,"PROV",[1]Tablas!$A$27,"SEFIS",Q$16,"CANT",[1]Tablas!#REF!),0)</f>
        <v>0</v>
      </c>
      <c r="R20" s="15">
        <f ca="1">IFERROR(GETPIVOTDATA("Cuenta de CANT",Tabla9,"PROV",[1]Tablas!$A$27,"SEFIS",R$16,"CANT",[1]Tablas!#REF!),0)</f>
        <v>0</v>
      </c>
      <c r="S20" s="15">
        <f ca="1">IFERROR(GETPIVOTDATA("Cuenta de CANT",Tabla9,"PROV",[1]Tablas!$A$27,"SEFIS",S$16,"CANT",[1]Tablas!#REF!),0)</f>
        <v>0</v>
      </c>
      <c r="T20" s="15">
        <f ca="1">IFERROR(GETPIVOTDATA("Cuenta de CANT",Tabla9,"PROV",[1]Tablas!$A$27,"SEFIS",T$16,"CANT",[1]Tablas!#REF!),0)</f>
        <v>0</v>
      </c>
      <c r="U20" s="15">
        <f ca="1">IFERROR(GETPIVOTDATA("Cuenta de CANT",Tabla9,"PROV",[1]Tablas!$A$27,"SEFIS",U$16,"CANT",[1]Tablas!#REF!),0)</f>
        <v>0</v>
      </c>
      <c r="V20" s="15">
        <f ca="1">IFERROR(GETPIVOTDATA("Cuenta de CANT",Tabla9,"PROV",[1]Tablas!$A$27,"SEFIS",V$16,"CANT",[1]Tablas!#REF!),0)</f>
        <v>0</v>
      </c>
      <c r="W20" s="15">
        <f ca="1">IFERROR(GETPIVOTDATA("Cuenta de CANT",Tabla9,"PROV",[1]Tablas!$A$27,"SEFIS",W$16,"CANT",[1]Tablas!#REF!),0)</f>
        <v>0</v>
      </c>
      <c r="X20" s="15">
        <f ca="1">IFERROR(GETPIVOTDATA("Cuenta de CANT",Tabla9,"PROV",[1]Tablas!$A$27,"SEFIS",X$16,"CANT",[1]Tablas!#REF!),0)</f>
        <v>0</v>
      </c>
      <c r="Y20" s="15">
        <f ca="1">IFERROR(GETPIVOTDATA("Cuenta de CANT",Tabla9,"PROV",[1]Tablas!$A$27,"SEFIS",Y$16,"CANT",[1]Tablas!#REF!),0)</f>
        <v>0</v>
      </c>
      <c r="Z20" s="15">
        <f ca="1">IFERROR(GETPIVOTDATA("Cuenta de CANT",Tabla9,"PROV",[1]Tablas!$A$27,"SEFIS",Z$16,"CANT",[1]Tablas!#REF!),0)</f>
        <v>0</v>
      </c>
      <c r="AA20" s="15">
        <f ca="1">IFERROR(GETPIVOTDATA("Cuenta de CANT",Tabla9,"PROV",[1]Tablas!$A$27,"SEFIS",AA$16,"CANT",[1]Tablas!#REF!),0)</f>
        <v>1</v>
      </c>
      <c r="AB20" s="15">
        <f ca="1">IFERROR(GETPIVOTDATA("Cuenta de CANT",Tabla9,"PROV",[1]Tablas!$A$27,"SEFIS",AB$16,"CANT",[1]Tablas!#REF!),0)</f>
        <v>0</v>
      </c>
      <c r="AC20" s="15">
        <f ca="1">IFERROR(GETPIVOTDATA("Cuenta de CANT",Tabla9,"PROV",[1]Tablas!$A$27,"SEFIS",AC$16,"CANT",[1]Tablas!#REF!),0)</f>
        <v>0</v>
      </c>
      <c r="AD20" s="15">
        <f ca="1">IFERROR(GETPIVOTDATA("Cuenta de CANT",Tabla9,"PROV",[1]Tablas!$A$27,"SEFIS",AD$16,"CANT",[1]Tablas!#REF!),0)</f>
        <v>0</v>
      </c>
      <c r="AE20" s="15">
        <f ca="1">IFERROR(GETPIVOTDATA("Cuenta de CANT",Tabla9,"PROV",[1]Tablas!$A$27,"SEFIS",AE$16,"CANT",[1]Tablas!#REF!),0)</f>
        <v>0</v>
      </c>
      <c r="AF20" s="15">
        <f ca="1">IFERROR(GETPIVOTDATA("Cuenta de CANT",Tabla9,"PROV",[1]Tablas!$A$27,"SEFIS",AF$16,"CANT",[1]Tablas!#REF!),0)</f>
        <v>0</v>
      </c>
      <c r="AG20" s="15">
        <f ca="1">IFERROR(GETPIVOTDATA("Cuenta de CANT",Tabla9,"PROV",[1]Tablas!$A$27,"SEFIS",AG$16,"CANT",[1]Tablas!#REF!),0)</f>
        <v>0</v>
      </c>
      <c r="AH20" s="15">
        <f ca="1">IFERROR(GETPIVOTDATA("Cuenta de CANT",Tabla9,"PROV",[1]Tablas!$A$27,"SEFIS",AH$16,"CANT",[1]Tablas!#REF!),0)</f>
        <v>0</v>
      </c>
      <c r="AI20" s="15">
        <f ca="1">IFERROR(GETPIVOTDATA("Cuenta de CANT",Tabla9,"PROV",[1]Tablas!$A$27,"SEFIS",AI$16,"CANT",[1]Tablas!#REF!),0)</f>
        <v>0</v>
      </c>
      <c r="AJ20" s="15">
        <f ca="1">IFERROR(GETPIVOTDATA("Cuenta de CANT",Tabla9,"PROV",[1]Tablas!$A$27,"SEFIS",AJ$16,"CANT",[1]Tablas!#REF!),0)</f>
        <v>0</v>
      </c>
      <c r="AK20" s="15">
        <f ca="1">IFERROR(GETPIVOTDATA("Cuenta de CANT",Tabla9,"PROV",[1]Tablas!$A$27,"SEFIS",AK$16,"CANT",[1]Tablas!#REF!),0)</f>
        <v>0</v>
      </c>
      <c r="AL20" s="15">
        <f ca="1">IFERROR(GETPIVOTDATA("Cuenta de CANT",Tabla9,"PROV",[1]Tablas!$A$27,"SEFIS",AL$16,"CANT",[1]Tablas!#REF!),0)</f>
        <v>1</v>
      </c>
      <c r="AM20" s="15">
        <f ca="1">IFERROR(GETPIVOTDATA("Cuenta de CANT",Tabla9,"PROV",[1]Tablas!$A$27,"SEFIS",AM$16,"CANT",[1]Tablas!#REF!),0)</f>
        <v>0</v>
      </c>
      <c r="AN20" s="15">
        <f ca="1">IFERROR(GETPIVOTDATA("Cuenta de CANT",Tabla9,"PROV",[1]Tablas!$A$27,"SEFIS",AN$16,"CANT",[1]Tablas!#REF!),0)</f>
        <v>0</v>
      </c>
      <c r="AO20" s="15">
        <f ca="1">IFERROR(GETPIVOTDATA("Cuenta de CANT",Tabla9,"PROV",[1]Tablas!$A$27,"SEFIS",AO$16,"CANT",[1]Tablas!#REF!),0)</f>
        <v>0</v>
      </c>
      <c r="AP20" s="15">
        <f ca="1">IFERROR(GETPIVOTDATA("Cuenta de CANT",Tabla9,"PROV",[1]Tablas!$A$27,"SEFIS",AP$16,"CANT",[1]Tablas!#REF!),0)</f>
        <v>1</v>
      </c>
      <c r="AQ20" s="15">
        <f ca="1">IFERROR(GETPIVOTDATA("Cuenta de CANT",Tabla9,"PROV",[1]Tablas!$A$27,"SEFIS",AQ$16,"CANT",[1]Tablas!#REF!),0)</f>
        <v>0</v>
      </c>
      <c r="AR20" s="15">
        <f ca="1">IFERROR(GETPIVOTDATA("Cuenta de CANT",Tabla9,"PROV",[1]Tablas!$A$27,"SEFIS",AR$16,"CANT",[1]Tablas!#REF!),0)</f>
        <v>0</v>
      </c>
      <c r="AS20" s="15">
        <f ca="1">IFERROR(GETPIVOTDATA("Cuenta de CANT",Tabla9,"PROV",[1]Tablas!$A$27,"SEFIS",AS$16,"CANT",[1]Tablas!#REF!),0)</f>
        <v>0</v>
      </c>
      <c r="AT20" s="15">
        <f ca="1">IFERROR(GETPIVOTDATA("Cuenta de CANT",Tabla9,"PROV",[1]Tablas!$A$27,"SEFIS",AT$16,"CANT",[1]Tablas!#REF!),0)</f>
        <v>0</v>
      </c>
      <c r="AU20" s="15">
        <f ca="1">IFERROR(GETPIVOTDATA("Cuenta de CANT",Tabla9,"PROV",[1]Tablas!$A$27,"SEFIS",AU$16,"CANT",[1]Tablas!#REF!),0)</f>
        <v>0</v>
      </c>
      <c r="AV20" s="15">
        <f ca="1">IFERROR(GETPIVOTDATA("Cuenta de CANT",Tabla9,"PROV",[1]Tablas!$A$27,"SEFIS",AV$16,"CANT",[1]Tablas!#REF!),0)</f>
        <v>0</v>
      </c>
      <c r="AW20" s="15">
        <f ca="1">IFERROR(GETPIVOTDATA("Cuenta de CANT",Tabla9,"PROV",[1]Tablas!$A$27,"SEFIS",AW$16,"CANT",[1]Tablas!#REF!),0)</f>
        <v>0</v>
      </c>
      <c r="AX20" s="15">
        <f ca="1">IFERROR(GETPIVOTDATA("Cuenta de CANT",Tabla9,"PROV",[1]Tablas!$A$27,"SEFIS",AX$16,"CANT",[1]Tablas!#REF!),0)</f>
        <v>0</v>
      </c>
      <c r="AY20" s="15">
        <f ca="1">IFERROR(GETPIVOTDATA("Cuenta de CANT",Tabla9,"PROV",[1]Tablas!$A$27,"SEFIS",AY$16,"CANT",[1]Tablas!#REF!),0)</f>
        <v>0</v>
      </c>
      <c r="AZ20" s="15">
        <f ca="1">IFERROR(GETPIVOTDATA("Cuenta de CANT",Tabla9,"PROV",[1]Tablas!$A$27,"SEFIS",AZ$16,"CANT",[1]Tablas!#REF!),0)</f>
        <v>0</v>
      </c>
      <c r="BA20" s="15">
        <f ca="1">IFERROR(GETPIVOTDATA("Cuenta de CANT",Tabla9,"PROV",[1]Tablas!$A$27,"SEFIS",BA$16,"CANT",[1]Tablas!#REF!),0)</f>
        <v>0</v>
      </c>
      <c r="BB20" s="15">
        <f ca="1">IFERROR(GETPIVOTDATA("Cuenta de CANT",Tabla9,"PROV",[1]Tablas!$A$27,"SEFIS",BB$16,"CANT",[1]Tablas!#REF!),0)</f>
        <v>0</v>
      </c>
      <c r="BC20" s="15">
        <f ca="1">IFERROR(GETPIVOTDATA("Cuenta de CANT",Tabla9,"PROV",[1]Tablas!$A$27,"SEFIS",BC$16,"CANT",[1]Tablas!#REF!),0)</f>
        <v>0</v>
      </c>
    </row>
    <row r="21" spans="1:55" x14ac:dyDescent="0.35">
      <c r="A21" s="14" t="s">
        <v>18</v>
      </c>
      <c r="B21" s="15">
        <f t="shared" ca="1" si="1"/>
        <v>25</v>
      </c>
      <c r="C21" s="16">
        <f ca="1">IFERROR(B21/[1]Tablas!#REF!*100000,"N/D")</f>
        <v>18.367226989538029</v>
      </c>
      <c r="D21" s="15">
        <f ca="1">IFERROR(GETPIVOTDATA("Cuenta de CANT",Tabla9,"PROV",[1]Tablas!$A$27,"SEFIS",D$16,"CANT",[1]Tablas!#REF!),0)</f>
        <v>1</v>
      </c>
      <c r="E21" s="15">
        <f ca="1">IFERROR(GETPIVOTDATA("Cuenta de CANT",Tabla9,"PROV",[1]Tablas!$A$27,"SEFIS",E$16,"CANT",[1]Tablas!#REF!),0)</f>
        <v>0</v>
      </c>
      <c r="F21" s="15">
        <f ca="1">IFERROR(GETPIVOTDATA("Cuenta de CANT",Tabla9,"PROV",[1]Tablas!$A$27,"SEFIS",F$16,"CANT",[1]Tablas!#REF!),0)</f>
        <v>0</v>
      </c>
      <c r="G21" s="15">
        <f ca="1">IFERROR(GETPIVOTDATA("Cuenta de CANT",Tabla9,"PROV",[1]Tablas!$A$27,"SEFIS",G$16,"CANT",[1]Tablas!#REF!),0)</f>
        <v>0</v>
      </c>
      <c r="H21" s="15">
        <f ca="1">IFERROR(GETPIVOTDATA("Cuenta de CANT",Tabla9,"PROV",[1]Tablas!$A$27,"SEFIS",H$16,"CANT",[1]Tablas!#REF!),0)</f>
        <v>0</v>
      </c>
      <c r="I21" s="15">
        <f ca="1">IFERROR(GETPIVOTDATA("Cuenta de CANT",Tabla9,"PROV",[1]Tablas!$A$27,"SEFIS",I$16,"CANT",[1]Tablas!#REF!),0)</f>
        <v>0</v>
      </c>
      <c r="J21" s="15">
        <f ca="1">IFERROR(GETPIVOTDATA("Cuenta de CANT",Tabla9,"PROV",[1]Tablas!$A$27,"SEFIS",J$16,"CANT",[1]Tablas!#REF!),0)</f>
        <v>0</v>
      </c>
      <c r="K21" s="15">
        <f ca="1">IFERROR(GETPIVOTDATA("Cuenta de CANT",Tabla9,"PROV",[1]Tablas!$A$27,"SEFIS",K$16,"CANT",[1]Tablas!#REF!),0)</f>
        <v>0</v>
      </c>
      <c r="L21" s="15">
        <f ca="1">IFERROR(GETPIVOTDATA("Cuenta de CANT",Tabla9,"PROV",[1]Tablas!$A$27,"SEFIS",L$16,"CANT",[1]Tablas!#REF!),0)</f>
        <v>0</v>
      </c>
      <c r="M21" s="15">
        <f ca="1">IFERROR(GETPIVOTDATA("Cuenta de CANT",Tabla9,"PROV",[1]Tablas!$A$27,"SEFIS",M$16,"CANT",[1]Tablas!#REF!),0)</f>
        <v>0</v>
      </c>
      <c r="N21" s="15">
        <f ca="1">IFERROR(GETPIVOTDATA("Cuenta de CANT",Tabla9,"PROV",[1]Tablas!$A$27,"SEFIS",N$16,"CANT",[1]Tablas!#REF!),0)</f>
        <v>0</v>
      </c>
      <c r="O21" s="15">
        <f ca="1">IFERROR(GETPIVOTDATA("Cuenta de CANT",Tabla9,"PROV",[1]Tablas!$A$27,"SEFIS",O$16,"CANT",[1]Tablas!#REF!),0)</f>
        <v>0</v>
      </c>
      <c r="P21" s="15">
        <f ca="1">IFERROR(GETPIVOTDATA("Cuenta de CANT",Tabla9,"PROV",[1]Tablas!$A$27,"SEFIS",P$16,"CANT",[1]Tablas!#REF!),0)</f>
        <v>1</v>
      </c>
      <c r="Q21" s="15">
        <f ca="1">IFERROR(GETPIVOTDATA("Cuenta de CANT",Tabla9,"PROV",[1]Tablas!$A$27,"SEFIS",Q$16,"CANT",[1]Tablas!#REF!),0)</f>
        <v>0</v>
      </c>
      <c r="R21" s="15">
        <f ca="1">IFERROR(GETPIVOTDATA("Cuenta de CANT",Tabla9,"PROV",[1]Tablas!$A$27,"SEFIS",R$16,"CANT",[1]Tablas!#REF!),0)</f>
        <v>1</v>
      </c>
      <c r="S21" s="15">
        <f ca="1">IFERROR(GETPIVOTDATA("Cuenta de CANT",Tabla9,"PROV",[1]Tablas!$A$27,"SEFIS",S$16,"CANT",[1]Tablas!#REF!),0)</f>
        <v>0</v>
      </c>
      <c r="T21" s="15">
        <f ca="1">IFERROR(GETPIVOTDATA("Cuenta de CANT",Tabla9,"PROV",[1]Tablas!$A$27,"SEFIS",T$16,"CANT",[1]Tablas!#REF!),0)</f>
        <v>0</v>
      </c>
      <c r="U21" s="15">
        <f ca="1">IFERROR(GETPIVOTDATA("Cuenta de CANT",Tabla9,"PROV",[1]Tablas!$A$27,"SEFIS",U$16,"CANT",[1]Tablas!#REF!),0)</f>
        <v>0</v>
      </c>
      <c r="V21" s="15">
        <f ca="1">IFERROR(GETPIVOTDATA("Cuenta de CANT",Tabla9,"PROV",[1]Tablas!$A$27,"SEFIS",V$16,"CANT",[1]Tablas!#REF!),0)</f>
        <v>0</v>
      </c>
      <c r="W21" s="15">
        <f ca="1">IFERROR(GETPIVOTDATA("Cuenta de CANT",Tabla9,"PROV",[1]Tablas!$A$27,"SEFIS",W$16,"CANT",[1]Tablas!#REF!),0)</f>
        <v>1</v>
      </c>
      <c r="X21" s="15">
        <f ca="1">IFERROR(GETPIVOTDATA("Cuenta de CANT",Tabla9,"PROV",[1]Tablas!$A$27,"SEFIS",X$16,"CANT",[1]Tablas!#REF!),0)</f>
        <v>1</v>
      </c>
      <c r="Y21" s="15">
        <f ca="1">IFERROR(GETPIVOTDATA("Cuenta de CANT",Tabla9,"PROV",[1]Tablas!$A$27,"SEFIS",Y$16,"CANT",[1]Tablas!#REF!),0)</f>
        <v>1</v>
      </c>
      <c r="Z21" s="15">
        <f ca="1">IFERROR(GETPIVOTDATA("Cuenta de CANT",Tabla9,"PROV",[1]Tablas!$A$27,"SEFIS",Z$16,"CANT",[1]Tablas!#REF!),0)</f>
        <v>0</v>
      </c>
      <c r="AA21" s="15">
        <f ca="1">IFERROR(GETPIVOTDATA("Cuenta de CANT",Tabla9,"PROV",[1]Tablas!$A$27,"SEFIS",AA$16,"CANT",[1]Tablas!#REF!),0)</f>
        <v>0</v>
      </c>
      <c r="AB21" s="15">
        <f ca="1">IFERROR(GETPIVOTDATA("Cuenta de CANT",Tabla9,"PROV",[1]Tablas!$A$27,"SEFIS",AB$16,"CANT",[1]Tablas!#REF!),0)</f>
        <v>1</v>
      </c>
      <c r="AC21" s="15">
        <f ca="1">IFERROR(GETPIVOTDATA("Cuenta de CANT",Tabla9,"PROV",[1]Tablas!$A$27,"SEFIS",AC$16,"CANT",[1]Tablas!#REF!),0)</f>
        <v>2</v>
      </c>
      <c r="AD21" s="15">
        <f ca="1">IFERROR(GETPIVOTDATA("Cuenta de CANT",Tabla9,"PROV",[1]Tablas!$A$27,"SEFIS",AD$16,"CANT",[1]Tablas!#REF!),0)</f>
        <v>0</v>
      </c>
      <c r="AE21" s="15">
        <f ca="1">IFERROR(GETPIVOTDATA("Cuenta de CANT",Tabla9,"PROV",[1]Tablas!$A$27,"SEFIS",AE$16,"CANT",[1]Tablas!#REF!),0)</f>
        <v>0</v>
      </c>
      <c r="AF21" s="15">
        <f ca="1">IFERROR(GETPIVOTDATA("Cuenta de CANT",Tabla9,"PROV",[1]Tablas!$A$27,"SEFIS",AF$16,"CANT",[1]Tablas!#REF!),0)</f>
        <v>1</v>
      </c>
      <c r="AG21" s="15">
        <f ca="1">IFERROR(GETPIVOTDATA("Cuenta de CANT",Tabla9,"PROV",[1]Tablas!$A$27,"SEFIS",AG$16,"CANT",[1]Tablas!#REF!),0)</f>
        <v>2</v>
      </c>
      <c r="AH21" s="15">
        <f ca="1">IFERROR(GETPIVOTDATA("Cuenta de CANT",Tabla9,"PROV",[1]Tablas!$A$27,"SEFIS",AH$16,"CANT",[1]Tablas!#REF!),0)</f>
        <v>1</v>
      </c>
      <c r="AI21" s="15">
        <f ca="1">IFERROR(GETPIVOTDATA("Cuenta de CANT",Tabla9,"PROV",[1]Tablas!$A$27,"SEFIS",AI$16,"CANT",[1]Tablas!#REF!),0)</f>
        <v>0</v>
      </c>
      <c r="AJ21" s="15">
        <f ca="1">IFERROR(GETPIVOTDATA("Cuenta de CANT",Tabla9,"PROV",[1]Tablas!$A$27,"SEFIS",AJ$16,"CANT",[1]Tablas!#REF!),0)</f>
        <v>1</v>
      </c>
      <c r="AK21" s="15">
        <f ca="1">IFERROR(GETPIVOTDATA("Cuenta de CANT",Tabla9,"PROV",[1]Tablas!$A$27,"SEFIS",AK$16,"CANT",[1]Tablas!#REF!),0)</f>
        <v>0</v>
      </c>
      <c r="AL21" s="15">
        <f ca="1">IFERROR(GETPIVOTDATA("Cuenta de CANT",Tabla9,"PROV",[1]Tablas!$A$27,"SEFIS",AL$16,"CANT",[1]Tablas!#REF!),0)</f>
        <v>0</v>
      </c>
      <c r="AM21" s="15">
        <f ca="1">IFERROR(GETPIVOTDATA("Cuenta de CANT",Tabla9,"PROV",[1]Tablas!$A$27,"SEFIS",AM$16,"CANT",[1]Tablas!#REF!),0)</f>
        <v>0</v>
      </c>
      <c r="AN21" s="15">
        <f ca="1">IFERROR(GETPIVOTDATA("Cuenta de CANT",Tabla9,"PROV",[1]Tablas!$A$27,"SEFIS",AN$16,"CANT",[1]Tablas!#REF!),0)</f>
        <v>1</v>
      </c>
      <c r="AO21" s="15">
        <f ca="1">IFERROR(GETPIVOTDATA("Cuenta de CANT",Tabla9,"PROV",[1]Tablas!$A$27,"SEFIS",AO$16,"CANT",[1]Tablas!#REF!),0)</f>
        <v>2</v>
      </c>
      <c r="AP21" s="15">
        <f ca="1">IFERROR(GETPIVOTDATA("Cuenta de CANT",Tabla9,"PROV",[1]Tablas!$A$27,"SEFIS",AP$16,"CANT",[1]Tablas!#REF!),0)</f>
        <v>0</v>
      </c>
      <c r="AQ21" s="15">
        <f ca="1">IFERROR(GETPIVOTDATA("Cuenta de CANT",Tabla9,"PROV",[1]Tablas!$A$27,"SEFIS",AQ$16,"CANT",[1]Tablas!#REF!),0)</f>
        <v>1</v>
      </c>
      <c r="AR21" s="15">
        <f ca="1">IFERROR(GETPIVOTDATA("Cuenta de CANT",Tabla9,"PROV",[1]Tablas!$A$27,"SEFIS",AR$16,"CANT",[1]Tablas!#REF!),0)</f>
        <v>2</v>
      </c>
      <c r="AS21" s="15">
        <f ca="1">IFERROR(GETPIVOTDATA("Cuenta de CANT",Tabla9,"PROV",[1]Tablas!$A$27,"SEFIS",AS$16,"CANT",[1]Tablas!#REF!),0)</f>
        <v>0</v>
      </c>
      <c r="AT21" s="15">
        <f ca="1">IFERROR(GETPIVOTDATA("Cuenta de CANT",Tabla9,"PROV",[1]Tablas!$A$27,"SEFIS",AT$16,"CANT",[1]Tablas!#REF!),0)</f>
        <v>2</v>
      </c>
      <c r="AU21" s="15">
        <f ca="1">IFERROR(GETPIVOTDATA("Cuenta de CANT",Tabla9,"PROV",[1]Tablas!$A$27,"SEFIS",AU$16,"CANT",[1]Tablas!#REF!),0)</f>
        <v>1</v>
      </c>
      <c r="AV21" s="15">
        <f ca="1">IFERROR(GETPIVOTDATA("Cuenta de CANT",Tabla9,"PROV",[1]Tablas!$A$27,"SEFIS",AV$16,"CANT",[1]Tablas!#REF!),0)</f>
        <v>0</v>
      </c>
      <c r="AW21" s="15">
        <f ca="1">IFERROR(GETPIVOTDATA("Cuenta de CANT",Tabla9,"PROV",[1]Tablas!$A$27,"SEFIS",AW$16,"CANT",[1]Tablas!#REF!),0)</f>
        <v>0</v>
      </c>
      <c r="AX21" s="15">
        <f ca="1">IFERROR(GETPIVOTDATA("Cuenta de CANT",Tabla9,"PROV",[1]Tablas!$A$27,"SEFIS",AX$16,"CANT",[1]Tablas!#REF!),0)</f>
        <v>1</v>
      </c>
      <c r="AY21" s="15">
        <f ca="1">IFERROR(GETPIVOTDATA("Cuenta de CANT",Tabla9,"PROV",[1]Tablas!$A$27,"SEFIS",AY$16,"CANT",[1]Tablas!#REF!),0)</f>
        <v>0</v>
      </c>
      <c r="AZ21" s="15">
        <f ca="1">IFERROR(GETPIVOTDATA("Cuenta de CANT",Tabla9,"PROV",[1]Tablas!$A$27,"SEFIS",AZ$16,"CANT",[1]Tablas!#REF!),0)</f>
        <v>0</v>
      </c>
      <c r="BA21" s="15">
        <f ca="1">IFERROR(GETPIVOTDATA("Cuenta de CANT",Tabla9,"PROV",[1]Tablas!$A$27,"SEFIS",BA$16,"CANT",[1]Tablas!#REF!),0)</f>
        <v>1</v>
      </c>
      <c r="BB21" s="15">
        <f ca="1">IFERROR(GETPIVOTDATA("Cuenta de CANT",Tabla9,"PROV",[1]Tablas!$A$27,"SEFIS",BB$16,"CANT",[1]Tablas!#REF!),0)</f>
        <v>0</v>
      </c>
      <c r="BC21" s="15">
        <f ca="1">IFERROR(GETPIVOTDATA("Cuenta de CANT",Tabla9,"PROV",[1]Tablas!$A$27,"SEFIS",BC$16,"CANT",[1]Tablas!#REF!),0)</f>
        <v>0</v>
      </c>
    </row>
    <row r="22" spans="1:55" x14ac:dyDescent="0.35">
      <c r="A22" s="14" t="s">
        <v>19</v>
      </c>
      <c r="B22" s="15">
        <f t="shared" ca="1" si="1"/>
        <v>7</v>
      </c>
      <c r="C22" s="16">
        <f ca="1">IFERROR(B22/[1]Tablas!#REF!*100000,"N/D")</f>
        <v>11.875275676042479</v>
      </c>
      <c r="D22" s="15">
        <f ca="1">IFERROR(GETPIVOTDATA("Cuenta de CANT",Tabla9,"PROV",[1]Tablas!$A$27,"SEFIS",D$16,"CANT",[1]Tablas!#REF!),0)</f>
        <v>0</v>
      </c>
      <c r="E22" s="15">
        <f ca="1">IFERROR(GETPIVOTDATA("Cuenta de CANT",Tabla9,"PROV",[1]Tablas!$A$27,"SEFIS",E$16,"CANT",[1]Tablas!#REF!),0)</f>
        <v>0</v>
      </c>
      <c r="F22" s="15">
        <f ca="1">IFERROR(GETPIVOTDATA("Cuenta de CANT",Tabla9,"PROV",[1]Tablas!$A$27,"SEFIS",F$16,"CANT",[1]Tablas!#REF!),0)</f>
        <v>0</v>
      </c>
      <c r="G22" s="15">
        <f ca="1">IFERROR(GETPIVOTDATA("Cuenta de CANT",Tabla9,"PROV",[1]Tablas!$A$27,"SEFIS",G$16,"CANT",[1]Tablas!#REF!),0)</f>
        <v>0</v>
      </c>
      <c r="H22" s="15">
        <f ca="1">IFERROR(GETPIVOTDATA("Cuenta de CANT",Tabla9,"PROV",[1]Tablas!$A$27,"SEFIS",H$16,"CANT",[1]Tablas!#REF!),0)</f>
        <v>0</v>
      </c>
      <c r="I22" s="15">
        <f ca="1">IFERROR(GETPIVOTDATA("Cuenta de CANT",Tabla9,"PROV",[1]Tablas!$A$27,"SEFIS",I$16,"CANT",[1]Tablas!#REF!),0)</f>
        <v>0</v>
      </c>
      <c r="J22" s="15">
        <f ca="1">IFERROR(GETPIVOTDATA("Cuenta de CANT",Tabla9,"PROV",[1]Tablas!$A$27,"SEFIS",J$16,"CANT",[1]Tablas!#REF!),0)</f>
        <v>0</v>
      </c>
      <c r="K22" s="15">
        <f ca="1">IFERROR(GETPIVOTDATA("Cuenta de CANT",Tabla9,"PROV",[1]Tablas!$A$27,"SEFIS",K$16,"CANT",[1]Tablas!#REF!),0)</f>
        <v>0</v>
      </c>
      <c r="L22" s="15">
        <f ca="1">IFERROR(GETPIVOTDATA("Cuenta de CANT",Tabla9,"PROV",[1]Tablas!$A$27,"SEFIS",L$16,"CANT",[1]Tablas!#REF!),0)</f>
        <v>0</v>
      </c>
      <c r="M22" s="15">
        <f ca="1">IFERROR(GETPIVOTDATA("Cuenta de CANT",Tabla9,"PROV",[1]Tablas!$A$27,"SEFIS",M$16,"CANT",[1]Tablas!#REF!),0)</f>
        <v>0</v>
      </c>
      <c r="N22" s="15">
        <f ca="1">IFERROR(GETPIVOTDATA("Cuenta de CANT",Tabla9,"PROV",[1]Tablas!$A$27,"SEFIS",N$16,"CANT",[1]Tablas!#REF!),0)</f>
        <v>0</v>
      </c>
      <c r="O22" s="15">
        <f ca="1">IFERROR(GETPIVOTDATA("Cuenta de CANT",Tabla9,"PROV",[1]Tablas!$A$27,"SEFIS",O$16,"CANT",[1]Tablas!#REF!),0)</f>
        <v>0</v>
      </c>
      <c r="P22" s="15">
        <f ca="1">IFERROR(GETPIVOTDATA("Cuenta de CANT",Tabla9,"PROV",[1]Tablas!$A$27,"SEFIS",P$16,"CANT",[1]Tablas!#REF!),0)</f>
        <v>1</v>
      </c>
      <c r="Q22" s="15">
        <f ca="1">IFERROR(GETPIVOTDATA("Cuenta de CANT",Tabla9,"PROV",[1]Tablas!$A$27,"SEFIS",Q$16,"CANT",[1]Tablas!#REF!),0)</f>
        <v>0</v>
      </c>
      <c r="R22" s="15">
        <f ca="1">IFERROR(GETPIVOTDATA("Cuenta de CANT",Tabla9,"PROV",[1]Tablas!$A$27,"SEFIS",R$16,"CANT",[1]Tablas!#REF!),0)</f>
        <v>0</v>
      </c>
      <c r="S22" s="15">
        <f ca="1">IFERROR(GETPIVOTDATA("Cuenta de CANT",Tabla9,"PROV",[1]Tablas!$A$27,"SEFIS",S$16,"CANT",[1]Tablas!#REF!),0)</f>
        <v>0</v>
      </c>
      <c r="T22" s="15">
        <f ca="1">IFERROR(GETPIVOTDATA("Cuenta de CANT",Tabla9,"PROV",[1]Tablas!$A$27,"SEFIS",T$16,"CANT",[1]Tablas!#REF!),0)</f>
        <v>0</v>
      </c>
      <c r="U22" s="15">
        <f ca="1">IFERROR(GETPIVOTDATA("Cuenta de CANT",Tabla9,"PROV",[1]Tablas!$A$27,"SEFIS",U$16,"CANT",[1]Tablas!#REF!),0)</f>
        <v>0</v>
      </c>
      <c r="V22" s="15">
        <f ca="1">IFERROR(GETPIVOTDATA("Cuenta de CANT",Tabla9,"PROV",[1]Tablas!$A$27,"SEFIS",V$16,"CANT",[1]Tablas!#REF!),0)</f>
        <v>0</v>
      </c>
      <c r="W22" s="15">
        <f ca="1">IFERROR(GETPIVOTDATA("Cuenta de CANT",Tabla9,"PROV",[1]Tablas!$A$27,"SEFIS",W$16,"CANT",[1]Tablas!#REF!),0)</f>
        <v>0</v>
      </c>
      <c r="X22" s="15">
        <f ca="1">IFERROR(GETPIVOTDATA("Cuenta de CANT",Tabla9,"PROV",[1]Tablas!$A$27,"SEFIS",X$16,"CANT",[1]Tablas!#REF!),0)</f>
        <v>1</v>
      </c>
      <c r="Y22" s="15">
        <f ca="1">IFERROR(GETPIVOTDATA("Cuenta de CANT",Tabla9,"PROV",[1]Tablas!$A$27,"SEFIS",Y$16,"CANT",[1]Tablas!#REF!),0)</f>
        <v>1</v>
      </c>
      <c r="Z22" s="15">
        <f ca="1">IFERROR(GETPIVOTDATA("Cuenta de CANT",Tabla9,"PROV",[1]Tablas!$A$27,"SEFIS",Z$16,"CANT",[1]Tablas!#REF!),0)</f>
        <v>0</v>
      </c>
      <c r="AA22" s="15">
        <f ca="1">IFERROR(GETPIVOTDATA("Cuenta de CANT",Tabla9,"PROV",[1]Tablas!$A$27,"SEFIS",AA$16,"CANT",[1]Tablas!#REF!),0)</f>
        <v>0</v>
      </c>
      <c r="AB22" s="15">
        <f ca="1">IFERROR(GETPIVOTDATA("Cuenta de CANT",Tabla9,"PROV",[1]Tablas!$A$27,"SEFIS",AB$16,"CANT",[1]Tablas!#REF!),0)</f>
        <v>0</v>
      </c>
      <c r="AC22" s="15">
        <f ca="1">IFERROR(GETPIVOTDATA("Cuenta de CANT",Tabla9,"PROV",[1]Tablas!$A$27,"SEFIS",AC$16,"CANT",[1]Tablas!#REF!),0)</f>
        <v>0</v>
      </c>
      <c r="AD22" s="15">
        <f ca="1">IFERROR(GETPIVOTDATA("Cuenta de CANT",Tabla9,"PROV",[1]Tablas!$A$27,"SEFIS",AD$16,"CANT",[1]Tablas!#REF!),0)</f>
        <v>0</v>
      </c>
      <c r="AE22" s="15">
        <f ca="1">IFERROR(GETPIVOTDATA("Cuenta de CANT",Tabla9,"PROV",[1]Tablas!$A$27,"SEFIS",AE$16,"CANT",[1]Tablas!#REF!),0)</f>
        <v>1</v>
      </c>
      <c r="AF22" s="15">
        <f ca="1">IFERROR(GETPIVOTDATA("Cuenta de CANT",Tabla9,"PROV",[1]Tablas!$A$27,"SEFIS",AF$16,"CANT",[1]Tablas!#REF!),0)</f>
        <v>0</v>
      </c>
      <c r="AG22" s="15">
        <f ca="1">IFERROR(GETPIVOTDATA("Cuenta de CANT",Tabla9,"PROV",[1]Tablas!$A$27,"SEFIS",AG$16,"CANT",[1]Tablas!#REF!),0)</f>
        <v>0</v>
      </c>
      <c r="AH22" s="15">
        <f ca="1">IFERROR(GETPIVOTDATA("Cuenta de CANT",Tabla9,"PROV",[1]Tablas!$A$27,"SEFIS",AH$16,"CANT",[1]Tablas!#REF!),0)</f>
        <v>0</v>
      </c>
      <c r="AI22" s="15">
        <f ca="1">IFERROR(GETPIVOTDATA("Cuenta de CANT",Tabla9,"PROV",[1]Tablas!$A$27,"SEFIS",AI$16,"CANT",[1]Tablas!#REF!),0)</f>
        <v>0</v>
      </c>
      <c r="AJ22" s="15">
        <f ca="1">IFERROR(GETPIVOTDATA("Cuenta de CANT",Tabla9,"PROV",[1]Tablas!$A$27,"SEFIS",AJ$16,"CANT",[1]Tablas!#REF!),0)</f>
        <v>0</v>
      </c>
      <c r="AK22" s="15">
        <f ca="1">IFERROR(GETPIVOTDATA("Cuenta de CANT",Tabla9,"PROV",[1]Tablas!$A$27,"SEFIS",AK$16,"CANT",[1]Tablas!#REF!),0)</f>
        <v>1</v>
      </c>
      <c r="AL22" s="15">
        <f ca="1">IFERROR(GETPIVOTDATA("Cuenta de CANT",Tabla9,"PROV",[1]Tablas!$A$27,"SEFIS",AL$16,"CANT",[1]Tablas!#REF!),0)</f>
        <v>0</v>
      </c>
      <c r="AM22" s="15">
        <f ca="1">IFERROR(GETPIVOTDATA("Cuenta de CANT",Tabla9,"PROV",[1]Tablas!$A$27,"SEFIS",AM$16,"CANT",[1]Tablas!#REF!),0)</f>
        <v>0</v>
      </c>
      <c r="AN22" s="15">
        <f ca="1">IFERROR(GETPIVOTDATA("Cuenta de CANT",Tabla9,"PROV",[1]Tablas!$A$27,"SEFIS",AN$16,"CANT",[1]Tablas!#REF!),0)</f>
        <v>0</v>
      </c>
      <c r="AO22" s="15">
        <f ca="1">IFERROR(GETPIVOTDATA("Cuenta de CANT",Tabla9,"PROV",[1]Tablas!$A$27,"SEFIS",AO$16,"CANT",[1]Tablas!#REF!),0)</f>
        <v>0</v>
      </c>
      <c r="AP22" s="15">
        <f ca="1">IFERROR(GETPIVOTDATA("Cuenta de CANT",Tabla9,"PROV",[1]Tablas!$A$27,"SEFIS",AP$16,"CANT",[1]Tablas!#REF!),0)</f>
        <v>0</v>
      </c>
      <c r="AQ22" s="15">
        <f ca="1">IFERROR(GETPIVOTDATA("Cuenta de CANT",Tabla9,"PROV",[1]Tablas!$A$27,"SEFIS",AQ$16,"CANT",[1]Tablas!#REF!),0)</f>
        <v>0</v>
      </c>
      <c r="AR22" s="15">
        <f ca="1">IFERROR(GETPIVOTDATA("Cuenta de CANT",Tabla9,"PROV",[1]Tablas!$A$27,"SEFIS",AR$16,"CANT",[1]Tablas!#REF!),0)</f>
        <v>1</v>
      </c>
      <c r="AS22" s="15">
        <f ca="1">IFERROR(GETPIVOTDATA("Cuenta de CANT",Tabla9,"PROV",[1]Tablas!$A$27,"SEFIS",AS$16,"CANT",[1]Tablas!#REF!),0)</f>
        <v>0</v>
      </c>
      <c r="AT22" s="15">
        <f ca="1">IFERROR(GETPIVOTDATA("Cuenta de CANT",Tabla9,"PROV",[1]Tablas!$A$27,"SEFIS",AT$16,"CANT",[1]Tablas!#REF!),0)</f>
        <v>0</v>
      </c>
      <c r="AU22" s="15">
        <f ca="1">IFERROR(GETPIVOTDATA("Cuenta de CANT",Tabla9,"PROV",[1]Tablas!$A$27,"SEFIS",AU$16,"CANT",[1]Tablas!#REF!),0)</f>
        <v>0</v>
      </c>
      <c r="AV22" s="15">
        <f ca="1">IFERROR(GETPIVOTDATA("Cuenta de CANT",Tabla9,"PROV",[1]Tablas!$A$27,"SEFIS",AV$16,"CANT",[1]Tablas!#REF!),0)</f>
        <v>0</v>
      </c>
      <c r="AW22" s="15">
        <f ca="1">IFERROR(GETPIVOTDATA("Cuenta de CANT",Tabla9,"PROV",[1]Tablas!$A$27,"SEFIS",AW$16,"CANT",[1]Tablas!#REF!),0)</f>
        <v>1</v>
      </c>
      <c r="AX22" s="15">
        <f ca="1">IFERROR(GETPIVOTDATA("Cuenta de CANT",Tabla9,"PROV",[1]Tablas!$A$27,"SEFIS",AX$16,"CANT",[1]Tablas!#REF!),0)</f>
        <v>0</v>
      </c>
      <c r="AY22" s="15">
        <f ca="1">IFERROR(GETPIVOTDATA("Cuenta de CANT",Tabla9,"PROV",[1]Tablas!$A$27,"SEFIS",AY$16,"CANT",[1]Tablas!#REF!),0)</f>
        <v>0</v>
      </c>
      <c r="AZ22" s="15">
        <f ca="1">IFERROR(GETPIVOTDATA("Cuenta de CANT",Tabla9,"PROV",[1]Tablas!$A$27,"SEFIS",AZ$16,"CANT",[1]Tablas!#REF!),0)</f>
        <v>0</v>
      </c>
      <c r="BA22" s="15">
        <f ca="1">IFERROR(GETPIVOTDATA("Cuenta de CANT",Tabla9,"PROV",[1]Tablas!$A$27,"SEFIS",BA$16,"CANT",[1]Tablas!#REF!),0)</f>
        <v>0</v>
      </c>
      <c r="BB22" s="15">
        <f ca="1">IFERROR(GETPIVOTDATA("Cuenta de CANT",Tabla9,"PROV",[1]Tablas!$A$27,"SEFIS",BB$16,"CANT",[1]Tablas!#REF!),0)</f>
        <v>0</v>
      </c>
      <c r="BC22" s="15">
        <f ca="1">IFERROR(GETPIVOTDATA("Cuenta de CANT",Tabla9,"PROV",[1]Tablas!$A$27,"SEFIS",BC$16,"CANT",[1]Tablas!#REF!),0)</f>
        <v>0</v>
      </c>
    </row>
    <row r="23" spans="1:55" x14ac:dyDescent="0.35">
      <c r="A23" s="14" t="s">
        <v>20</v>
      </c>
      <c r="B23" s="15">
        <f t="shared" ca="1" si="1"/>
        <v>6</v>
      </c>
      <c r="C23" s="16">
        <f ca="1">IFERROR(B23/[1]Tablas!#REF!*100000,"N/D")</f>
        <v>6.527628186298509</v>
      </c>
      <c r="D23" s="15">
        <f ca="1">IFERROR(GETPIVOTDATA("Cuenta de CANT",Tabla9,"PROV",[1]Tablas!$A$27,"SEFIS",D$16,"CANT",[1]Tablas!#REF!),0)</f>
        <v>0</v>
      </c>
      <c r="E23" s="15">
        <f ca="1">IFERROR(GETPIVOTDATA("Cuenta de CANT",Tabla9,"PROV",[1]Tablas!$A$27,"SEFIS",E$16,"CANT",[1]Tablas!#REF!),0)</f>
        <v>0</v>
      </c>
      <c r="F23" s="15">
        <f ca="1">IFERROR(GETPIVOTDATA("Cuenta de CANT",Tabla9,"PROV",[1]Tablas!$A$27,"SEFIS",F$16,"CANT",[1]Tablas!#REF!),0)</f>
        <v>0</v>
      </c>
      <c r="G23" s="15">
        <f ca="1">IFERROR(GETPIVOTDATA("Cuenta de CANT",Tabla9,"PROV",[1]Tablas!$A$27,"SEFIS",G$16,"CANT",[1]Tablas!#REF!),0)</f>
        <v>0</v>
      </c>
      <c r="H23" s="15">
        <f ca="1">IFERROR(GETPIVOTDATA("Cuenta de CANT",Tabla9,"PROV",[1]Tablas!$A$27,"SEFIS",H$16,"CANT",[1]Tablas!#REF!),0)</f>
        <v>0</v>
      </c>
      <c r="I23" s="15">
        <f ca="1">IFERROR(GETPIVOTDATA("Cuenta de CANT",Tabla9,"PROV",[1]Tablas!$A$27,"SEFIS",I$16,"CANT",[1]Tablas!#REF!),0)</f>
        <v>0</v>
      </c>
      <c r="J23" s="15">
        <f ca="1">IFERROR(GETPIVOTDATA("Cuenta de CANT",Tabla9,"PROV",[1]Tablas!$A$27,"SEFIS",J$16,"CANT",[1]Tablas!#REF!),0)</f>
        <v>0</v>
      </c>
      <c r="K23" s="15">
        <f ca="1">IFERROR(GETPIVOTDATA("Cuenta de CANT",Tabla9,"PROV",[1]Tablas!$A$27,"SEFIS",K$16,"CANT",[1]Tablas!#REF!),0)</f>
        <v>0</v>
      </c>
      <c r="L23" s="15">
        <f ca="1">IFERROR(GETPIVOTDATA("Cuenta de CANT",Tabla9,"PROV",[1]Tablas!$A$27,"SEFIS",L$16,"CANT",[1]Tablas!#REF!),0)</f>
        <v>0</v>
      </c>
      <c r="M23" s="15">
        <f ca="1">IFERROR(GETPIVOTDATA("Cuenta de CANT",Tabla9,"PROV",[1]Tablas!$A$27,"SEFIS",M$16,"CANT",[1]Tablas!#REF!),0)</f>
        <v>0</v>
      </c>
      <c r="N23" s="15">
        <f ca="1">IFERROR(GETPIVOTDATA("Cuenta de CANT",Tabla9,"PROV",[1]Tablas!$A$27,"SEFIS",N$16,"CANT",[1]Tablas!#REF!),0)</f>
        <v>0</v>
      </c>
      <c r="O23" s="15">
        <f ca="1">IFERROR(GETPIVOTDATA("Cuenta de CANT",Tabla9,"PROV",[1]Tablas!$A$27,"SEFIS",O$16,"CANT",[1]Tablas!#REF!),0)</f>
        <v>0</v>
      </c>
      <c r="P23" s="15">
        <f ca="1">IFERROR(GETPIVOTDATA("Cuenta de CANT",Tabla9,"PROV",[1]Tablas!$A$27,"SEFIS",P$16,"CANT",[1]Tablas!#REF!),0)</f>
        <v>0</v>
      </c>
      <c r="Q23" s="15">
        <f ca="1">IFERROR(GETPIVOTDATA("Cuenta de CANT",Tabla9,"PROV",[1]Tablas!$A$27,"SEFIS",Q$16,"CANT",[1]Tablas!#REF!),0)</f>
        <v>0</v>
      </c>
      <c r="R23" s="15">
        <f ca="1">IFERROR(GETPIVOTDATA("Cuenta de CANT",Tabla9,"PROV",[1]Tablas!$A$27,"SEFIS",R$16,"CANT",[1]Tablas!#REF!),0)</f>
        <v>0</v>
      </c>
      <c r="S23" s="15">
        <f ca="1">IFERROR(GETPIVOTDATA("Cuenta de CANT",Tabla9,"PROV",[1]Tablas!$A$27,"SEFIS",S$16,"CANT",[1]Tablas!#REF!),0)</f>
        <v>0</v>
      </c>
      <c r="T23" s="15">
        <f ca="1">IFERROR(GETPIVOTDATA("Cuenta de CANT",Tabla9,"PROV",[1]Tablas!$A$27,"SEFIS",T$16,"CANT",[1]Tablas!#REF!),0)</f>
        <v>0</v>
      </c>
      <c r="U23" s="15">
        <f ca="1">IFERROR(GETPIVOTDATA("Cuenta de CANT",Tabla9,"PROV",[1]Tablas!$A$27,"SEFIS",U$16,"CANT",[1]Tablas!#REF!),0)</f>
        <v>0</v>
      </c>
      <c r="V23" s="15">
        <f ca="1">IFERROR(GETPIVOTDATA("Cuenta de CANT",Tabla9,"PROV",[1]Tablas!$A$27,"SEFIS",V$16,"CANT",[1]Tablas!#REF!),0)</f>
        <v>0</v>
      </c>
      <c r="W23" s="15">
        <f ca="1">IFERROR(GETPIVOTDATA("Cuenta de CANT",Tabla9,"PROV",[1]Tablas!$A$27,"SEFIS",W$16,"CANT",[1]Tablas!#REF!),0)</f>
        <v>0</v>
      </c>
      <c r="X23" s="15">
        <f ca="1">IFERROR(GETPIVOTDATA("Cuenta de CANT",Tabla9,"PROV",[1]Tablas!$A$27,"SEFIS",X$16,"CANT",[1]Tablas!#REF!),0)</f>
        <v>1</v>
      </c>
      <c r="Y23" s="15">
        <f ca="1">IFERROR(GETPIVOTDATA("Cuenta de CANT",Tabla9,"PROV",[1]Tablas!$A$27,"SEFIS",Y$16,"CANT",[1]Tablas!#REF!),0)</f>
        <v>0</v>
      </c>
      <c r="Z23" s="15">
        <f ca="1">IFERROR(GETPIVOTDATA("Cuenta de CANT",Tabla9,"PROV",[1]Tablas!$A$27,"SEFIS",Z$16,"CANT",[1]Tablas!#REF!),0)</f>
        <v>0</v>
      </c>
      <c r="AA23" s="15">
        <f ca="1">IFERROR(GETPIVOTDATA("Cuenta de CANT",Tabla9,"PROV",[1]Tablas!$A$27,"SEFIS",AA$16,"CANT",[1]Tablas!#REF!),0)</f>
        <v>0</v>
      </c>
      <c r="AB23" s="15">
        <f ca="1">IFERROR(GETPIVOTDATA("Cuenta de CANT",Tabla9,"PROV",[1]Tablas!$A$27,"SEFIS",AB$16,"CANT",[1]Tablas!#REF!),0)</f>
        <v>1</v>
      </c>
      <c r="AC23" s="15">
        <f ca="1">IFERROR(GETPIVOTDATA("Cuenta de CANT",Tabla9,"PROV",[1]Tablas!$A$27,"SEFIS",AC$16,"CANT",[1]Tablas!#REF!),0)</f>
        <v>0</v>
      </c>
      <c r="AD23" s="15">
        <f ca="1">IFERROR(GETPIVOTDATA("Cuenta de CANT",Tabla9,"PROV",[1]Tablas!$A$27,"SEFIS",AD$16,"CANT",[1]Tablas!#REF!),0)</f>
        <v>0</v>
      </c>
      <c r="AE23" s="15">
        <f ca="1">IFERROR(GETPIVOTDATA("Cuenta de CANT",Tabla9,"PROV",[1]Tablas!$A$27,"SEFIS",AE$16,"CANT",[1]Tablas!#REF!),0)</f>
        <v>0</v>
      </c>
      <c r="AF23" s="15">
        <f ca="1">IFERROR(GETPIVOTDATA("Cuenta de CANT",Tabla9,"PROV",[1]Tablas!$A$27,"SEFIS",AF$16,"CANT",[1]Tablas!#REF!),0)</f>
        <v>0</v>
      </c>
      <c r="AG23" s="15">
        <f ca="1">IFERROR(GETPIVOTDATA("Cuenta de CANT",Tabla9,"PROV",[1]Tablas!$A$27,"SEFIS",AG$16,"CANT",[1]Tablas!#REF!),0)</f>
        <v>0</v>
      </c>
      <c r="AH23" s="15">
        <f ca="1">IFERROR(GETPIVOTDATA("Cuenta de CANT",Tabla9,"PROV",[1]Tablas!$A$27,"SEFIS",AH$16,"CANT",[1]Tablas!#REF!),0)</f>
        <v>0</v>
      </c>
      <c r="AI23" s="15">
        <f ca="1">IFERROR(GETPIVOTDATA("Cuenta de CANT",Tabla9,"PROV",[1]Tablas!$A$27,"SEFIS",AI$16,"CANT",[1]Tablas!#REF!),0)</f>
        <v>0</v>
      </c>
      <c r="AJ23" s="15">
        <f ca="1">IFERROR(GETPIVOTDATA("Cuenta de CANT",Tabla9,"PROV",[1]Tablas!$A$27,"SEFIS",AJ$16,"CANT",[1]Tablas!#REF!),0)</f>
        <v>0</v>
      </c>
      <c r="AK23" s="15">
        <f ca="1">IFERROR(GETPIVOTDATA("Cuenta de CANT",Tabla9,"PROV",[1]Tablas!$A$27,"SEFIS",AK$16,"CANT",[1]Tablas!#REF!),0)</f>
        <v>0</v>
      </c>
      <c r="AL23" s="15">
        <f ca="1">IFERROR(GETPIVOTDATA("Cuenta de CANT",Tabla9,"PROV",[1]Tablas!$A$27,"SEFIS",AL$16,"CANT",[1]Tablas!#REF!),0)</f>
        <v>0</v>
      </c>
      <c r="AM23" s="15">
        <f ca="1">IFERROR(GETPIVOTDATA("Cuenta de CANT",Tabla9,"PROV",[1]Tablas!$A$27,"SEFIS",AM$16,"CANT",[1]Tablas!#REF!),0)</f>
        <v>0</v>
      </c>
      <c r="AN23" s="15">
        <f ca="1">IFERROR(GETPIVOTDATA("Cuenta de CANT",Tabla9,"PROV",[1]Tablas!$A$27,"SEFIS",AN$16,"CANT",[1]Tablas!#REF!),0)</f>
        <v>0</v>
      </c>
      <c r="AO23" s="15">
        <f ca="1">IFERROR(GETPIVOTDATA("Cuenta de CANT",Tabla9,"PROV",[1]Tablas!$A$27,"SEFIS",AO$16,"CANT",[1]Tablas!#REF!),0)</f>
        <v>0</v>
      </c>
      <c r="AP23" s="15">
        <f ca="1">IFERROR(GETPIVOTDATA("Cuenta de CANT",Tabla9,"PROV",[1]Tablas!$A$27,"SEFIS",AP$16,"CANT",[1]Tablas!#REF!),0)</f>
        <v>0</v>
      </c>
      <c r="AQ23" s="15">
        <f ca="1">IFERROR(GETPIVOTDATA("Cuenta de CANT",Tabla9,"PROV",[1]Tablas!$A$27,"SEFIS",AQ$16,"CANT",[1]Tablas!#REF!),0)</f>
        <v>0</v>
      </c>
      <c r="AR23" s="15">
        <f ca="1">IFERROR(GETPIVOTDATA("Cuenta de CANT",Tabla9,"PROV",[1]Tablas!$A$27,"SEFIS",AR$16,"CANT",[1]Tablas!#REF!),0)</f>
        <v>0</v>
      </c>
      <c r="AS23" s="15">
        <f ca="1">IFERROR(GETPIVOTDATA("Cuenta de CANT",Tabla9,"PROV",[1]Tablas!$A$27,"SEFIS",AS$16,"CANT",[1]Tablas!#REF!),0)</f>
        <v>2</v>
      </c>
      <c r="AT23" s="15">
        <f ca="1">IFERROR(GETPIVOTDATA("Cuenta de CANT",Tabla9,"PROV",[1]Tablas!$A$27,"SEFIS",AT$16,"CANT",[1]Tablas!#REF!),0)</f>
        <v>1</v>
      </c>
      <c r="AU23" s="15">
        <f ca="1">IFERROR(GETPIVOTDATA("Cuenta de CANT",Tabla9,"PROV",[1]Tablas!$A$27,"SEFIS",AU$16,"CANT",[1]Tablas!#REF!),0)</f>
        <v>0</v>
      </c>
      <c r="AV23" s="15">
        <f ca="1">IFERROR(GETPIVOTDATA("Cuenta de CANT",Tabla9,"PROV",[1]Tablas!$A$27,"SEFIS",AV$16,"CANT",[1]Tablas!#REF!),0)</f>
        <v>1</v>
      </c>
      <c r="AW23" s="15">
        <f ca="1">IFERROR(GETPIVOTDATA("Cuenta de CANT",Tabla9,"PROV",[1]Tablas!$A$27,"SEFIS",AW$16,"CANT",[1]Tablas!#REF!),0)</f>
        <v>0</v>
      </c>
      <c r="AX23" s="15">
        <f ca="1">IFERROR(GETPIVOTDATA("Cuenta de CANT",Tabla9,"PROV",[1]Tablas!$A$27,"SEFIS",AX$16,"CANT",[1]Tablas!#REF!),0)</f>
        <v>0</v>
      </c>
      <c r="AY23" s="15">
        <f ca="1">IFERROR(GETPIVOTDATA("Cuenta de CANT",Tabla9,"PROV",[1]Tablas!$A$27,"SEFIS",AY$16,"CANT",[1]Tablas!#REF!),0)</f>
        <v>0</v>
      </c>
      <c r="AZ23" s="15">
        <f ca="1">IFERROR(GETPIVOTDATA("Cuenta de CANT",Tabla9,"PROV",[1]Tablas!$A$27,"SEFIS",AZ$16,"CANT",[1]Tablas!#REF!),0)</f>
        <v>0</v>
      </c>
      <c r="BA23" s="15">
        <f ca="1">IFERROR(GETPIVOTDATA("Cuenta de CANT",Tabla9,"PROV",[1]Tablas!$A$27,"SEFIS",BA$16,"CANT",[1]Tablas!#REF!),0)</f>
        <v>0</v>
      </c>
      <c r="BB23" s="15">
        <f ca="1">IFERROR(GETPIVOTDATA("Cuenta de CANT",Tabla9,"PROV",[1]Tablas!$A$27,"SEFIS",BB$16,"CANT",[1]Tablas!#REF!),0)</f>
        <v>0</v>
      </c>
      <c r="BC23" s="15">
        <f ca="1">IFERROR(GETPIVOTDATA("Cuenta de CANT",Tabla9,"PROV",[1]Tablas!$A$27,"SEFIS",BC$16,"CANT",[1]Tablas!#REF!),0)</f>
        <v>0</v>
      </c>
    </row>
    <row r="24" spans="1:55" x14ac:dyDescent="0.35">
      <c r="A24" s="14" t="s">
        <v>21</v>
      </c>
      <c r="B24" s="15">
        <f t="shared" ca="1" si="1"/>
        <v>4</v>
      </c>
      <c r="C24" s="16">
        <f ca="1">IFERROR(B24/[1]Tablas!#REF!*100000,"N/D")</f>
        <v>5.6941933463350747</v>
      </c>
      <c r="D24" s="15">
        <f ca="1">IFERROR(GETPIVOTDATA("Cuenta de CANT",Tabla9,"PROV",[1]Tablas!$A$27,"SEFIS",D$16,"CANT",[1]Tablas!#REF!),0)</f>
        <v>0</v>
      </c>
      <c r="E24" s="15">
        <f ca="1">IFERROR(GETPIVOTDATA("Cuenta de CANT",Tabla9,"PROV",[1]Tablas!$A$27,"SEFIS",E$16,"CANT",[1]Tablas!#REF!),0)</f>
        <v>0</v>
      </c>
      <c r="F24" s="15">
        <f ca="1">IFERROR(GETPIVOTDATA("Cuenta de CANT",Tabla9,"PROV",[1]Tablas!$A$27,"SEFIS",F$16,"CANT",[1]Tablas!#REF!),0)</f>
        <v>0</v>
      </c>
      <c r="G24" s="15">
        <f ca="1">IFERROR(GETPIVOTDATA("Cuenta de CANT",Tabla9,"PROV",[1]Tablas!$A$27,"SEFIS",G$16,"CANT",[1]Tablas!#REF!),0)</f>
        <v>0</v>
      </c>
      <c r="H24" s="15">
        <f ca="1">IFERROR(GETPIVOTDATA("Cuenta de CANT",Tabla9,"PROV",[1]Tablas!$A$27,"SEFIS",H$16,"CANT",[1]Tablas!#REF!),0)</f>
        <v>0</v>
      </c>
      <c r="I24" s="15">
        <f ca="1">IFERROR(GETPIVOTDATA("Cuenta de CANT",Tabla9,"PROV",[1]Tablas!$A$27,"SEFIS",I$16,"CANT",[1]Tablas!#REF!),0)</f>
        <v>0</v>
      </c>
      <c r="J24" s="15">
        <f ca="1">IFERROR(GETPIVOTDATA("Cuenta de CANT",Tabla9,"PROV",[1]Tablas!$A$27,"SEFIS",J$16,"CANT",[1]Tablas!#REF!),0)</f>
        <v>0</v>
      </c>
      <c r="K24" s="15">
        <f ca="1">IFERROR(GETPIVOTDATA("Cuenta de CANT",Tabla9,"PROV",[1]Tablas!$A$27,"SEFIS",K$16,"CANT",[1]Tablas!#REF!),0)</f>
        <v>0</v>
      </c>
      <c r="L24" s="15">
        <f ca="1">IFERROR(GETPIVOTDATA("Cuenta de CANT",Tabla9,"PROV",[1]Tablas!$A$27,"SEFIS",L$16,"CANT",[1]Tablas!#REF!),0)</f>
        <v>0</v>
      </c>
      <c r="M24" s="15">
        <f ca="1">IFERROR(GETPIVOTDATA("Cuenta de CANT",Tabla9,"PROV",[1]Tablas!$A$27,"SEFIS",M$16,"CANT",[1]Tablas!#REF!),0)</f>
        <v>0</v>
      </c>
      <c r="N24" s="15">
        <f ca="1">IFERROR(GETPIVOTDATA("Cuenta de CANT",Tabla9,"PROV",[1]Tablas!$A$27,"SEFIS",N$16,"CANT",[1]Tablas!#REF!),0)</f>
        <v>0</v>
      </c>
      <c r="O24" s="15">
        <f ca="1">IFERROR(GETPIVOTDATA("Cuenta de CANT",Tabla9,"PROV",[1]Tablas!$A$27,"SEFIS",O$16,"CANT",[1]Tablas!#REF!),0)</f>
        <v>0</v>
      </c>
      <c r="P24" s="15">
        <f ca="1">IFERROR(GETPIVOTDATA("Cuenta de CANT",Tabla9,"PROV",[1]Tablas!$A$27,"SEFIS",P$16,"CANT",[1]Tablas!#REF!),0)</f>
        <v>0</v>
      </c>
      <c r="Q24" s="15">
        <f ca="1">IFERROR(GETPIVOTDATA("Cuenta de CANT",Tabla9,"PROV",[1]Tablas!$A$27,"SEFIS",Q$16,"CANT",[1]Tablas!#REF!),0)</f>
        <v>0</v>
      </c>
      <c r="R24" s="15">
        <f ca="1">IFERROR(GETPIVOTDATA("Cuenta de CANT",Tabla9,"PROV",[1]Tablas!$A$27,"SEFIS",R$16,"CANT",[1]Tablas!#REF!),0)</f>
        <v>0</v>
      </c>
      <c r="S24" s="15">
        <f ca="1">IFERROR(GETPIVOTDATA("Cuenta de CANT",Tabla9,"PROV",[1]Tablas!$A$27,"SEFIS",S$16,"CANT",[1]Tablas!#REF!),0)</f>
        <v>0</v>
      </c>
      <c r="T24" s="15">
        <f ca="1">IFERROR(GETPIVOTDATA("Cuenta de CANT",Tabla9,"PROV",[1]Tablas!$A$27,"SEFIS",T$16,"CANT",[1]Tablas!#REF!),0)</f>
        <v>0</v>
      </c>
      <c r="U24" s="15">
        <f ca="1">IFERROR(GETPIVOTDATA("Cuenta de CANT",Tabla9,"PROV",[1]Tablas!$A$27,"SEFIS",U$16,"CANT",[1]Tablas!#REF!),0)</f>
        <v>0</v>
      </c>
      <c r="V24" s="15">
        <f ca="1">IFERROR(GETPIVOTDATA("Cuenta de CANT",Tabla9,"PROV",[1]Tablas!$A$27,"SEFIS",V$16,"CANT",[1]Tablas!#REF!),0)</f>
        <v>0</v>
      </c>
      <c r="W24" s="15">
        <f ca="1">IFERROR(GETPIVOTDATA("Cuenta de CANT",Tabla9,"PROV",[1]Tablas!$A$27,"SEFIS",W$16,"CANT",[1]Tablas!#REF!),0)</f>
        <v>0</v>
      </c>
      <c r="X24" s="15">
        <f ca="1">IFERROR(GETPIVOTDATA("Cuenta de CANT",Tabla9,"PROV",[1]Tablas!$A$27,"SEFIS",X$16,"CANT",[1]Tablas!#REF!),0)</f>
        <v>0</v>
      </c>
      <c r="Y24" s="15">
        <f ca="1">IFERROR(GETPIVOTDATA("Cuenta de CANT",Tabla9,"PROV",[1]Tablas!$A$27,"SEFIS",Y$16,"CANT",[1]Tablas!#REF!),0)</f>
        <v>0</v>
      </c>
      <c r="Z24" s="15">
        <f ca="1">IFERROR(GETPIVOTDATA("Cuenta de CANT",Tabla9,"PROV",[1]Tablas!$A$27,"SEFIS",Z$16,"CANT",[1]Tablas!#REF!),0)</f>
        <v>0</v>
      </c>
      <c r="AA24" s="15">
        <f ca="1">IFERROR(GETPIVOTDATA("Cuenta de CANT",Tabla9,"PROV",[1]Tablas!$A$27,"SEFIS",AA$16,"CANT",[1]Tablas!#REF!),0)</f>
        <v>0</v>
      </c>
      <c r="AB24" s="15">
        <f ca="1">IFERROR(GETPIVOTDATA("Cuenta de CANT",Tabla9,"PROV",[1]Tablas!$A$27,"SEFIS",AB$16,"CANT",[1]Tablas!#REF!),0)</f>
        <v>1</v>
      </c>
      <c r="AC24" s="15">
        <f ca="1">IFERROR(GETPIVOTDATA("Cuenta de CANT",Tabla9,"PROV",[1]Tablas!$A$27,"SEFIS",AC$16,"CANT",[1]Tablas!#REF!),0)</f>
        <v>0</v>
      </c>
      <c r="AD24" s="15">
        <f ca="1">IFERROR(GETPIVOTDATA("Cuenta de CANT",Tabla9,"PROV",[1]Tablas!$A$27,"SEFIS",AD$16,"CANT",[1]Tablas!#REF!),0)</f>
        <v>0</v>
      </c>
      <c r="AE24" s="15">
        <f ca="1">IFERROR(GETPIVOTDATA("Cuenta de CANT",Tabla9,"PROV",[1]Tablas!$A$27,"SEFIS",AE$16,"CANT",[1]Tablas!#REF!),0)</f>
        <v>0</v>
      </c>
      <c r="AF24" s="15">
        <f ca="1">IFERROR(GETPIVOTDATA("Cuenta de CANT",Tabla9,"PROV",[1]Tablas!$A$27,"SEFIS",AF$16,"CANT",[1]Tablas!#REF!),0)</f>
        <v>0</v>
      </c>
      <c r="AG24" s="15">
        <f ca="1">IFERROR(GETPIVOTDATA("Cuenta de CANT",Tabla9,"PROV",[1]Tablas!$A$27,"SEFIS",AG$16,"CANT",[1]Tablas!#REF!),0)</f>
        <v>0</v>
      </c>
      <c r="AH24" s="15">
        <f ca="1">IFERROR(GETPIVOTDATA("Cuenta de CANT",Tabla9,"PROV",[1]Tablas!$A$27,"SEFIS",AH$16,"CANT",[1]Tablas!#REF!),0)</f>
        <v>0</v>
      </c>
      <c r="AI24" s="15">
        <f ca="1">IFERROR(GETPIVOTDATA("Cuenta de CANT",Tabla9,"PROV",[1]Tablas!$A$27,"SEFIS",AI$16,"CANT",[1]Tablas!#REF!),0)</f>
        <v>1</v>
      </c>
      <c r="AJ24" s="15">
        <f ca="1">IFERROR(GETPIVOTDATA("Cuenta de CANT",Tabla9,"PROV",[1]Tablas!$A$27,"SEFIS",AJ$16,"CANT",[1]Tablas!#REF!),0)</f>
        <v>0</v>
      </c>
      <c r="AK24" s="15">
        <f ca="1">IFERROR(GETPIVOTDATA("Cuenta de CANT",Tabla9,"PROV",[1]Tablas!$A$27,"SEFIS",AK$16,"CANT",[1]Tablas!#REF!),0)</f>
        <v>0</v>
      </c>
      <c r="AL24" s="15">
        <f ca="1">IFERROR(GETPIVOTDATA("Cuenta de CANT",Tabla9,"PROV",[1]Tablas!$A$27,"SEFIS",AL$16,"CANT",[1]Tablas!#REF!),0)</f>
        <v>0</v>
      </c>
      <c r="AM24" s="15">
        <f ca="1">IFERROR(GETPIVOTDATA("Cuenta de CANT",Tabla9,"PROV",[1]Tablas!$A$27,"SEFIS",AM$16,"CANT",[1]Tablas!#REF!),0)</f>
        <v>0</v>
      </c>
      <c r="AN24" s="15">
        <f ca="1">IFERROR(GETPIVOTDATA("Cuenta de CANT",Tabla9,"PROV",[1]Tablas!$A$27,"SEFIS",AN$16,"CANT",[1]Tablas!#REF!),0)</f>
        <v>0</v>
      </c>
      <c r="AO24" s="15">
        <f ca="1">IFERROR(GETPIVOTDATA("Cuenta de CANT",Tabla9,"PROV",[1]Tablas!$A$27,"SEFIS",AO$16,"CANT",[1]Tablas!#REF!),0)</f>
        <v>0</v>
      </c>
      <c r="AP24" s="15">
        <f ca="1">IFERROR(GETPIVOTDATA("Cuenta de CANT",Tabla9,"PROV",[1]Tablas!$A$27,"SEFIS",AP$16,"CANT",[1]Tablas!#REF!),0)</f>
        <v>0</v>
      </c>
      <c r="AQ24" s="15">
        <f ca="1">IFERROR(GETPIVOTDATA("Cuenta de CANT",Tabla9,"PROV",[1]Tablas!$A$27,"SEFIS",AQ$16,"CANT",[1]Tablas!#REF!),0)</f>
        <v>0</v>
      </c>
      <c r="AR24" s="15">
        <f ca="1">IFERROR(GETPIVOTDATA("Cuenta de CANT",Tabla9,"PROV",[1]Tablas!$A$27,"SEFIS",AR$16,"CANT",[1]Tablas!#REF!),0)</f>
        <v>1</v>
      </c>
      <c r="AS24" s="15">
        <f ca="1">IFERROR(GETPIVOTDATA("Cuenta de CANT",Tabla9,"PROV",[1]Tablas!$A$27,"SEFIS",AS$16,"CANT",[1]Tablas!#REF!),0)</f>
        <v>0</v>
      </c>
      <c r="AT24" s="15">
        <f ca="1">IFERROR(GETPIVOTDATA("Cuenta de CANT",Tabla9,"PROV",[1]Tablas!$A$27,"SEFIS",AT$16,"CANT",[1]Tablas!#REF!),0)</f>
        <v>0</v>
      </c>
      <c r="AU24" s="15">
        <f ca="1">IFERROR(GETPIVOTDATA("Cuenta de CANT",Tabla9,"PROV",[1]Tablas!$A$27,"SEFIS",AU$16,"CANT",[1]Tablas!#REF!),0)</f>
        <v>0</v>
      </c>
      <c r="AV24" s="15">
        <f ca="1">IFERROR(GETPIVOTDATA("Cuenta de CANT",Tabla9,"PROV",[1]Tablas!$A$27,"SEFIS",AV$16,"CANT",[1]Tablas!#REF!),0)</f>
        <v>0</v>
      </c>
      <c r="AW24" s="15">
        <f ca="1">IFERROR(GETPIVOTDATA("Cuenta de CANT",Tabla9,"PROV",[1]Tablas!$A$27,"SEFIS",AW$16,"CANT",[1]Tablas!#REF!),0)</f>
        <v>1</v>
      </c>
      <c r="AX24" s="15">
        <f ca="1">IFERROR(GETPIVOTDATA("Cuenta de CANT",Tabla9,"PROV",[1]Tablas!$A$27,"SEFIS",AX$16,"CANT",[1]Tablas!#REF!),0)</f>
        <v>0</v>
      </c>
      <c r="AY24" s="15">
        <f ca="1">IFERROR(GETPIVOTDATA("Cuenta de CANT",Tabla9,"PROV",[1]Tablas!$A$27,"SEFIS",AY$16,"CANT",[1]Tablas!#REF!),0)</f>
        <v>0</v>
      </c>
      <c r="AZ24" s="15">
        <f ca="1">IFERROR(GETPIVOTDATA("Cuenta de CANT",Tabla9,"PROV",[1]Tablas!$A$27,"SEFIS",AZ$16,"CANT",[1]Tablas!#REF!),0)</f>
        <v>0</v>
      </c>
      <c r="BA24" s="15">
        <f ca="1">IFERROR(GETPIVOTDATA("Cuenta de CANT",Tabla9,"PROV",[1]Tablas!$A$27,"SEFIS",BA$16,"CANT",[1]Tablas!#REF!),0)</f>
        <v>0</v>
      </c>
      <c r="BB24" s="15">
        <f ca="1">IFERROR(GETPIVOTDATA("Cuenta de CANT",Tabla9,"PROV",[1]Tablas!$A$27,"SEFIS",BB$16,"CANT",[1]Tablas!#REF!),0)</f>
        <v>0</v>
      </c>
      <c r="BC24" s="15">
        <f ca="1">IFERROR(GETPIVOTDATA("Cuenta de CANT",Tabla9,"PROV",[1]Tablas!$A$27,"SEFIS",BC$16,"CANT",[1]Tablas!#REF!),0)</f>
        <v>0</v>
      </c>
    </row>
    <row r="25" spans="1:55" x14ac:dyDescent="0.35">
      <c r="A25" s="14" t="s">
        <v>22</v>
      </c>
      <c r="B25" s="15">
        <f t="shared" ca="1" si="1"/>
        <v>2</v>
      </c>
      <c r="C25" s="16">
        <f ca="1">IFERROR(B25/[1]Tablas!#REF!*100000,"N/D")</f>
        <v>9.22636896249481</v>
      </c>
      <c r="D25" s="15">
        <f ca="1">IFERROR(GETPIVOTDATA("Cuenta de CANT",Tabla9,"PROV",[1]Tablas!$A$27,"SEFIS",D$16,"CANT",[1]Tablas!#REF!),0)</f>
        <v>0</v>
      </c>
      <c r="E25" s="15">
        <f ca="1">IFERROR(GETPIVOTDATA("Cuenta de CANT",Tabla9,"PROV",[1]Tablas!$A$27,"SEFIS",E$16,"CANT",[1]Tablas!#REF!),0)</f>
        <v>0</v>
      </c>
      <c r="F25" s="15">
        <f ca="1">IFERROR(GETPIVOTDATA("Cuenta de CANT",Tabla9,"PROV",[1]Tablas!$A$27,"SEFIS",F$16,"CANT",[1]Tablas!#REF!),0)</f>
        <v>0</v>
      </c>
      <c r="G25" s="15">
        <f ca="1">IFERROR(GETPIVOTDATA("Cuenta de CANT",Tabla9,"PROV",[1]Tablas!$A$27,"SEFIS",G$16,"CANT",[1]Tablas!#REF!),0)</f>
        <v>0</v>
      </c>
      <c r="H25" s="15">
        <f ca="1">IFERROR(GETPIVOTDATA("Cuenta de CANT",Tabla9,"PROV",[1]Tablas!$A$27,"SEFIS",H$16,"CANT",[1]Tablas!#REF!),0)</f>
        <v>0</v>
      </c>
      <c r="I25" s="15">
        <f ca="1">IFERROR(GETPIVOTDATA("Cuenta de CANT",Tabla9,"PROV",[1]Tablas!$A$27,"SEFIS",I$16,"CANT",[1]Tablas!#REF!),0)</f>
        <v>0</v>
      </c>
      <c r="J25" s="15">
        <f ca="1">IFERROR(GETPIVOTDATA("Cuenta de CANT",Tabla9,"PROV",[1]Tablas!$A$27,"SEFIS",J$16,"CANT",[1]Tablas!#REF!),0)</f>
        <v>0</v>
      </c>
      <c r="K25" s="15">
        <f ca="1">IFERROR(GETPIVOTDATA("Cuenta de CANT",Tabla9,"PROV",[1]Tablas!$A$27,"SEFIS",K$16,"CANT",[1]Tablas!#REF!),0)</f>
        <v>0</v>
      </c>
      <c r="L25" s="15">
        <f ca="1">IFERROR(GETPIVOTDATA("Cuenta de CANT",Tabla9,"PROV",[1]Tablas!$A$27,"SEFIS",L$16,"CANT",[1]Tablas!#REF!),0)</f>
        <v>0</v>
      </c>
      <c r="M25" s="15">
        <f ca="1">IFERROR(GETPIVOTDATA("Cuenta de CANT",Tabla9,"PROV",[1]Tablas!$A$27,"SEFIS",M$16,"CANT",[1]Tablas!#REF!),0)</f>
        <v>0</v>
      </c>
      <c r="N25" s="15">
        <f ca="1">IFERROR(GETPIVOTDATA("Cuenta de CANT",Tabla9,"PROV",[1]Tablas!$A$27,"SEFIS",N$16,"CANT",[1]Tablas!#REF!),0)</f>
        <v>0</v>
      </c>
      <c r="O25" s="15">
        <f ca="1">IFERROR(GETPIVOTDATA("Cuenta de CANT",Tabla9,"PROV",[1]Tablas!$A$27,"SEFIS",O$16,"CANT",[1]Tablas!#REF!),0)</f>
        <v>0</v>
      </c>
      <c r="P25" s="15">
        <f ca="1">IFERROR(GETPIVOTDATA("Cuenta de CANT",Tabla9,"PROV",[1]Tablas!$A$27,"SEFIS",P$16,"CANT",[1]Tablas!#REF!),0)</f>
        <v>0</v>
      </c>
      <c r="Q25" s="15">
        <f ca="1">IFERROR(GETPIVOTDATA("Cuenta de CANT",Tabla9,"PROV",[1]Tablas!$A$27,"SEFIS",Q$16,"CANT",[1]Tablas!#REF!),0)</f>
        <v>0</v>
      </c>
      <c r="R25" s="15">
        <f ca="1">IFERROR(GETPIVOTDATA("Cuenta de CANT",Tabla9,"PROV",[1]Tablas!$A$27,"SEFIS",R$16,"CANT",[1]Tablas!#REF!),0)</f>
        <v>0</v>
      </c>
      <c r="S25" s="15">
        <f ca="1">IFERROR(GETPIVOTDATA("Cuenta de CANT",Tabla9,"PROV",[1]Tablas!$A$27,"SEFIS",S$16,"CANT",[1]Tablas!#REF!),0)</f>
        <v>0</v>
      </c>
      <c r="T25" s="15">
        <f ca="1">IFERROR(GETPIVOTDATA("Cuenta de CANT",Tabla9,"PROV",[1]Tablas!$A$27,"SEFIS",T$16,"CANT",[1]Tablas!#REF!),0)</f>
        <v>0</v>
      </c>
      <c r="U25" s="15">
        <f ca="1">IFERROR(GETPIVOTDATA("Cuenta de CANT",Tabla9,"PROV",[1]Tablas!$A$27,"SEFIS",U$16,"CANT",[1]Tablas!#REF!),0)</f>
        <v>0</v>
      </c>
      <c r="V25" s="15">
        <f ca="1">IFERROR(GETPIVOTDATA("Cuenta de CANT",Tabla9,"PROV",[1]Tablas!$A$27,"SEFIS",V$16,"CANT",[1]Tablas!#REF!),0)</f>
        <v>0</v>
      </c>
      <c r="W25" s="15">
        <f ca="1">IFERROR(GETPIVOTDATA("Cuenta de CANT",Tabla9,"PROV",[1]Tablas!$A$27,"SEFIS",W$16,"CANT",[1]Tablas!#REF!),0)</f>
        <v>0</v>
      </c>
      <c r="X25" s="15">
        <f ca="1">IFERROR(GETPIVOTDATA("Cuenta de CANT",Tabla9,"PROV",[1]Tablas!$A$27,"SEFIS",X$16,"CANT",[1]Tablas!#REF!),0)</f>
        <v>0</v>
      </c>
      <c r="Y25" s="15">
        <f ca="1">IFERROR(GETPIVOTDATA("Cuenta de CANT",Tabla9,"PROV",[1]Tablas!$A$27,"SEFIS",Y$16,"CANT",[1]Tablas!#REF!),0)</f>
        <v>0</v>
      </c>
      <c r="Z25" s="15">
        <f ca="1">IFERROR(GETPIVOTDATA("Cuenta de CANT",Tabla9,"PROV",[1]Tablas!$A$27,"SEFIS",Z$16,"CANT",[1]Tablas!#REF!),0)</f>
        <v>0</v>
      </c>
      <c r="AA25" s="15">
        <f ca="1">IFERROR(GETPIVOTDATA("Cuenta de CANT",Tabla9,"PROV",[1]Tablas!$A$27,"SEFIS",AA$16,"CANT",[1]Tablas!#REF!),0)</f>
        <v>0</v>
      </c>
      <c r="AB25" s="15">
        <f ca="1">IFERROR(GETPIVOTDATA("Cuenta de CANT",Tabla9,"PROV",[1]Tablas!$A$27,"SEFIS",AB$16,"CANT",[1]Tablas!#REF!),0)</f>
        <v>0</v>
      </c>
      <c r="AC25" s="15">
        <f ca="1">IFERROR(GETPIVOTDATA("Cuenta de CANT",Tabla9,"PROV",[1]Tablas!$A$27,"SEFIS",AC$16,"CANT",[1]Tablas!#REF!),0)</f>
        <v>0</v>
      </c>
      <c r="AD25" s="15">
        <f ca="1">IFERROR(GETPIVOTDATA("Cuenta de CANT",Tabla9,"PROV",[1]Tablas!$A$27,"SEFIS",AD$16,"CANT",[1]Tablas!#REF!),0)</f>
        <v>0</v>
      </c>
      <c r="AE25" s="15">
        <f ca="1">IFERROR(GETPIVOTDATA("Cuenta de CANT",Tabla9,"PROV",[1]Tablas!$A$27,"SEFIS",AE$16,"CANT",[1]Tablas!#REF!),0)</f>
        <v>0</v>
      </c>
      <c r="AF25" s="15">
        <f ca="1">IFERROR(GETPIVOTDATA("Cuenta de CANT",Tabla9,"PROV",[1]Tablas!$A$27,"SEFIS",AF$16,"CANT",[1]Tablas!#REF!),0)</f>
        <v>0</v>
      </c>
      <c r="AG25" s="15">
        <f ca="1">IFERROR(GETPIVOTDATA("Cuenta de CANT",Tabla9,"PROV",[1]Tablas!$A$27,"SEFIS",AG$16,"CANT",[1]Tablas!#REF!),0)</f>
        <v>0</v>
      </c>
      <c r="AH25" s="15">
        <f ca="1">IFERROR(GETPIVOTDATA("Cuenta de CANT",Tabla9,"PROV",[1]Tablas!$A$27,"SEFIS",AH$16,"CANT",[1]Tablas!#REF!),0)</f>
        <v>0</v>
      </c>
      <c r="AI25" s="15">
        <f ca="1">IFERROR(GETPIVOTDATA("Cuenta de CANT",Tabla9,"PROV",[1]Tablas!$A$27,"SEFIS",AI$16,"CANT",[1]Tablas!#REF!),0)</f>
        <v>0</v>
      </c>
      <c r="AJ25" s="15">
        <f ca="1">IFERROR(GETPIVOTDATA("Cuenta de CANT",Tabla9,"PROV",[1]Tablas!$A$27,"SEFIS",AJ$16,"CANT",[1]Tablas!#REF!),0)</f>
        <v>0</v>
      </c>
      <c r="AK25" s="15">
        <f ca="1">IFERROR(GETPIVOTDATA("Cuenta de CANT",Tabla9,"PROV",[1]Tablas!$A$27,"SEFIS",AK$16,"CANT",[1]Tablas!#REF!),0)</f>
        <v>0</v>
      </c>
      <c r="AL25" s="15">
        <f ca="1">IFERROR(GETPIVOTDATA("Cuenta de CANT",Tabla9,"PROV",[1]Tablas!$A$27,"SEFIS",AL$16,"CANT",[1]Tablas!#REF!),0)</f>
        <v>0</v>
      </c>
      <c r="AM25" s="15">
        <f ca="1">IFERROR(GETPIVOTDATA("Cuenta de CANT",Tabla9,"PROV",[1]Tablas!$A$27,"SEFIS",AM$16,"CANT",[1]Tablas!#REF!),0)</f>
        <v>0</v>
      </c>
      <c r="AN25" s="15">
        <f ca="1">IFERROR(GETPIVOTDATA("Cuenta de CANT",Tabla9,"PROV",[1]Tablas!$A$27,"SEFIS",AN$16,"CANT",[1]Tablas!#REF!),0)</f>
        <v>0</v>
      </c>
      <c r="AO25" s="15">
        <f ca="1">IFERROR(GETPIVOTDATA("Cuenta de CANT",Tabla9,"PROV",[1]Tablas!$A$27,"SEFIS",AO$16,"CANT",[1]Tablas!#REF!),0)</f>
        <v>0</v>
      </c>
      <c r="AP25" s="15">
        <f ca="1">IFERROR(GETPIVOTDATA("Cuenta de CANT",Tabla9,"PROV",[1]Tablas!$A$27,"SEFIS",AP$16,"CANT",[1]Tablas!#REF!),0)</f>
        <v>0</v>
      </c>
      <c r="AQ25" s="15">
        <f ca="1">IFERROR(GETPIVOTDATA("Cuenta de CANT",Tabla9,"PROV",[1]Tablas!$A$27,"SEFIS",AQ$16,"CANT",[1]Tablas!#REF!),0)</f>
        <v>0</v>
      </c>
      <c r="AR25" s="15">
        <f ca="1">IFERROR(GETPIVOTDATA("Cuenta de CANT",Tabla9,"PROV",[1]Tablas!$A$27,"SEFIS",AR$16,"CANT",[1]Tablas!#REF!),0)</f>
        <v>0</v>
      </c>
      <c r="AS25" s="15">
        <f ca="1">IFERROR(GETPIVOTDATA("Cuenta de CANT",Tabla9,"PROV",[1]Tablas!$A$27,"SEFIS",AS$16,"CANT",[1]Tablas!#REF!),0)</f>
        <v>0</v>
      </c>
      <c r="AT25" s="15">
        <f ca="1">IFERROR(GETPIVOTDATA("Cuenta de CANT",Tabla9,"PROV",[1]Tablas!$A$27,"SEFIS",AT$16,"CANT",[1]Tablas!#REF!),0)</f>
        <v>0</v>
      </c>
      <c r="AU25" s="15">
        <f ca="1">IFERROR(GETPIVOTDATA("Cuenta de CANT",Tabla9,"PROV",[1]Tablas!$A$27,"SEFIS",AU$16,"CANT",[1]Tablas!#REF!),0)</f>
        <v>0</v>
      </c>
      <c r="AV25" s="15">
        <f ca="1">IFERROR(GETPIVOTDATA("Cuenta de CANT",Tabla9,"PROV",[1]Tablas!$A$27,"SEFIS",AV$16,"CANT",[1]Tablas!#REF!),0)</f>
        <v>0</v>
      </c>
      <c r="AW25" s="15">
        <f ca="1">IFERROR(GETPIVOTDATA("Cuenta de CANT",Tabla9,"PROV",[1]Tablas!$A$27,"SEFIS",AW$16,"CANT",[1]Tablas!#REF!),0)</f>
        <v>0</v>
      </c>
      <c r="AX25" s="15">
        <f ca="1">IFERROR(GETPIVOTDATA("Cuenta de CANT",Tabla9,"PROV",[1]Tablas!$A$27,"SEFIS",AX$16,"CANT",[1]Tablas!#REF!),0)</f>
        <v>0</v>
      </c>
      <c r="AY25" s="15">
        <f ca="1">IFERROR(GETPIVOTDATA("Cuenta de CANT",Tabla9,"PROV",[1]Tablas!$A$27,"SEFIS",AY$16,"CANT",[1]Tablas!#REF!),0)</f>
        <v>0</v>
      </c>
      <c r="AZ25" s="15">
        <f ca="1">IFERROR(GETPIVOTDATA("Cuenta de CANT",Tabla9,"PROV",[1]Tablas!$A$27,"SEFIS",AZ$16,"CANT",[1]Tablas!#REF!),0)</f>
        <v>1</v>
      </c>
      <c r="BA25" s="15">
        <f ca="1">IFERROR(GETPIVOTDATA("Cuenta de CANT",Tabla9,"PROV",[1]Tablas!$A$27,"SEFIS",BA$16,"CANT",[1]Tablas!#REF!),0)</f>
        <v>0</v>
      </c>
      <c r="BB25" s="15">
        <f ca="1">IFERROR(GETPIVOTDATA("Cuenta de CANT",Tabla9,"PROV",[1]Tablas!$A$27,"SEFIS",BB$16,"CANT",[1]Tablas!#REF!),0)</f>
        <v>1</v>
      </c>
      <c r="BC25" s="15">
        <f ca="1">IFERROR(GETPIVOTDATA("Cuenta de CANT",Tabla9,"PROV",[1]Tablas!$A$27,"SEFIS",BC$16,"CANT",[1]Tablas!#REF!),0)</f>
        <v>0</v>
      </c>
    </row>
    <row r="26" spans="1:55" x14ac:dyDescent="0.35">
      <c r="A26" s="14" t="s">
        <v>23</v>
      </c>
      <c r="B26" s="15">
        <f t="shared" ca="1" si="1"/>
        <v>2</v>
      </c>
      <c r="C26" s="16">
        <f ca="1">IFERROR(B26/[1]Tablas!#REF!*100000,"N/D")</f>
        <v>2.3933751376190702</v>
      </c>
      <c r="D26" s="15">
        <f ca="1">IFERROR(GETPIVOTDATA("Cuenta de CANT",Tabla9,"PROV",[1]Tablas!$A$27,"SEFIS",D$16,"CANT",[1]Tablas!#REF!),0)</f>
        <v>0</v>
      </c>
      <c r="E26" s="15">
        <f ca="1">IFERROR(GETPIVOTDATA("Cuenta de CANT",Tabla9,"PROV",[1]Tablas!$A$27,"SEFIS",E$16,"CANT",[1]Tablas!#REF!),0)</f>
        <v>0</v>
      </c>
      <c r="F26" s="15">
        <f ca="1">IFERROR(GETPIVOTDATA("Cuenta de CANT",Tabla9,"PROV",[1]Tablas!$A$27,"SEFIS",F$16,"CANT",[1]Tablas!#REF!),0)</f>
        <v>0</v>
      </c>
      <c r="G26" s="15">
        <f ca="1">IFERROR(GETPIVOTDATA("Cuenta de CANT",Tabla9,"PROV",[1]Tablas!$A$27,"SEFIS",G$16,"CANT",[1]Tablas!#REF!),0)</f>
        <v>0</v>
      </c>
      <c r="H26" s="15">
        <f ca="1">IFERROR(GETPIVOTDATA("Cuenta de CANT",Tabla9,"PROV",[1]Tablas!$A$27,"SEFIS",H$16,"CANT",[1]Tablas!#REF!),0)</f>
        <v>0</v>
      </c>
      <c r="I26" s="15">
        <f ca="1">IFERROR(GETPIVOTDATA("Cuenta de CANT",Tabla9,"PROV",[1]Tablas!$A$27,"SEFIS",I$16,"CANT",[1]Tablas!#REF!),0)</f>
        <v>0</v>
      </c>
      <c r="J26" s="15">
        <f ca="1">IFERROR(GETPIVOTDATA("Cuenta de CANT",Tabla9,"PROV",[1]Tablas!$A$27,"SEFIS",J$16,"CANT",[1]Tablas!#REF!),0)</f>
        <v>0</v>
      </c>
      <c r="K26" s="15">
        <f ca="1">IFERROR(GETPIVOTDATA("Cuenta de CANT",Tabla9,"PROV",[1]Tablas!$A$27,"SEFIS",K$16,"CANT",[1]Tablas!#REF!),0)</f>
        <v>0</v>
      </c>
      <c r="L26" s="15">
        <f ca="1">IFERROR(GETPIVOTDATA("Cuenta de CANT",Tabla9,"PROV",[1]Tablas!$A$27,"SEFIS",L$16,"CANT",[1]Tablas!#REF!),0)</f>
        <v>0</v>
      </c>
      <c r="M26" s="15">
        <f ca="1">IFERROR(GETPIVOTDATA("Cuenta de CANT",Tabla9,"PROV",[1]Tablas!$A$27,"SEFIS",M$16,"CANT",[1]Tablas!#REF!),0)</f>
        <v>0</v>
      </c>
      <c r="N26" s="15">
        <f ca="1">IFERROR(GETPIVOTDATA("Cuenta de CANT",Tabla9,"PROV",[1]Tablas!$A$27,"SEFIS",N$16,"CANT",[1]Tablas!#REF!),0)</f>
        <v>0</v>
      </c>
      <c r="O26" s="15">
        <f ca="1">IFERROR(GETPIVOTDATA("Cuenta de CANT",Tabla9,"PROV",[1]Tablas!$A$27,"SEFIS",O$16,"CANT",[1]Tablas!#REF!),0)</f>
        <v>0</v>
      </c>
      <c r="P26" s="15">
        <f ca="1">IFERROR(GETPIVOTDATA("Cuenta de CANT",Tabla9,"PROV",[1]Tablas!$A$27,"SEFIS",P$16,"CANT",[1]Tablas!#REF!),0)</f>
        <v>0</v>
      </c>
      <c r="Q26" s="15">
        <f ca="1">IFERROR(GETPIVOTDATA("Cuenta de CANT",Tabla9,"PROV",[1]Tablas!$A$27,"SEFIS",Q$16,"CANT",[1]Tablas!#REF!),0)</f>
        <v>0</v>
      </c>
      <c r="R26" s="15">
        <f ca="1">IFERROR(GETPIVOTDATA("Cuenta de CANT",Tabla9,"PROV",[1]Tablas!$A$27,"SEFIS",R$16,"CANT",[1]Tablas!#REF!),0)</f>
        <v>0</v>
      </c>
      <c r="S26" s="15">
        <f ca="1">IFERROR(GETPIVOTDATA("Cuenta de CANT",Tabla9,"PROV",[1]Tablas!$A$27,"SEFIS",S$16,"CANT",[1]Tablas!#REF!),0)</f>
        <v>0</v>
      </c>
      <c r="T26" s="15">
        <f ca="1">IFERROR(GETPIVOTDATA("Cuenta de CANT",Tabla9,"PROV",[1]Tablas!$A$27,"SEFIS",T$16,"CANT",[1]Tablas!#REF!),0)</f>
        <v>0</v>
      </c>
      <c r="U26" s="15">
        <f ca="1">IFERROR(GETPIVOTDATA("Cuenta de CANT",Tabla9,"PROV",[1]Tablas!$A$27,"SEFIS",U$16,"CANT",[1]Tablas!#REF!),0)</f>
        <v>0</v>
      </c>
      <c r="V26" s="15">
        <f ca="1">IFERROR(GETPIVOTDATA("Cuenta de CANT",Tabla9,"PROV",[1]Tablas!$A$27,"SEFIS",V$16,"CANT",[1]Tablas!#REF!),0)</f>
        <v>0</v>
      </c>
      <c r="W26" s="15">
        <f ca="1">IFERROR(GETPIVOTDATA("Cuenta de CANT",Tabla9,"PROV",[1]Tablas!$A$27,"SEFIS",W$16,"CANT",[1]Tablas!#REF!),0)</f>
        <v>0</v>
      </c>
      <c r="X26" s="15">
        <f ca="1">IFERROR(GETPIVOTDATA("Cuenta de CANT",Tabla9,"PROV",[1]Tablas!$A$27,"SEFIS",X$16,"CANT",[1]Tablas!#REF!),0)</f>
        <v>0</v>
      </c>
      <c r="Y26" s="15">
        <f ca="1">IFERROR(GETPIVOTDATA("Cuenta de CANT",Tabla9,"PROV",[1]Tablas!$A$27,"SEFIS",Y$16,"CANT",[1]Tablas!#REF!),0)</f>
        <v>0</v>
      </c>
      <c r="Z26" s="15">
        <f ca="1">IFERROR(GETPIVOTDATA("Cuenta de CANT",Tabla9,"PROV",[1]Tablas!$A$27,"SEFIS",Z$16,"CANT",[1]Tablas!#REF!),0)</f>
        <v>0</v>
      </c>
      <c r="AA26" s="15">
        <f ca="1">IFERROR(GETPIVOTDATA("Cuenta de CANT",Tabla9,"PROV",[1]Tablas!$A$27,"SEFIS",AA$16,"CANT",[1]Tablas!#REF!),0)</f>
        <v>0</v>
      </c>
      <c r="AB26" s="15">
        <f ca="1">IFERROR(GETPIVOTDATA("Cuenta de CANT",Tabla9,"PROV",[1]Tablas!$A$27,"SEFIS",AB$16,"CANT",[1]Tablas!#REF!),0)</f>
        <v>0</v>
      </c>
      <c r="AC26" s="15">
        <f ca="1">IFERROR(GETPIVOTDATA("Cuenta de CANT",Tabla9,"PROV",[1]Tablas!$A$27,"SEFIS",AC$16,"CANT",[1]Tablas!#REF!),0)</f>
        <v>0</v>
      </c>
      <c r="AD26" s="15">
        <f ca="1">IFERROR(GETPIVOTDATA("Cuenta de CANT",Tabla9,"PROV",[1]Tablas!$A$27,"SEFIS",AD$16,"CANT",[1]Tablas!#REF!),0)</f>
        <v>0</v>
      </c>
      <c r="AE26" s="15">
        <f ca="1">IFERROR(GETPIVOTDATA("Cuenta de CANT",Tabla9,"PROV",[1]Tablas!$A$27,"SEFIS",AE$16,"CANT",[1]Tablas!#REF!),0)</f>
        <v>0</v>
      </c>
      <c r="AF26" s="15">
        <f ca="1">IFERROR(GETPIVOTDATA("Cuenta de CANT",Tabla9,"PROV",[1]Tablas!$A$27,"SEFIS",AF$16,"CANT",[1]Tablas!#REF!),0)</f>
        <v>0</v>
      </c>
      <c r="AG26" s="15">
        <f ca="1">IFERROR(GETPIVOTDATA("Cuenta de CANT",Tabla9,"PROV",[1]Tablas!$A$27,"SEFIS",AG$16,"CANT",[1]Tablas!#REF!),0)</f>
        <v>1</v>
      </c>
      <c r="AH26" s="15">
        <f ca="1">IFERROR(GETPIVOTDATA("Cuenta de CANT",Tabla9,"PROV",[1]Tablas!$A$27,"SEFIS",AH$16,"CANT",[1]Tablas!#REF!),0)</f>
        <v>1</v>
      </c>
      <c r="AI26" s="15">
        <f ca="1">IFERROR(GETPIVOTDATA("Cuenta de CANT",Tabla9,"PROV",[1]Tablas!$A$27,"SEFIS",AI$16,"CANT",[1]Tablas!#REF!),0)</f>
        <v>0</v>
      </c>
      <c r="AJ26" s="15">
        <f ca="1">IFERROR(GETPIVOTDATA("Cuenta de CANT",Tabla9,"PROV",[1]Tablas!$A$27,"SEFIS",AJ$16,"CANT",[1]Tablas!#REF!),0)</f>
        <v>0</v>
      </c>
      <c r="AK26" s="15">
        <f ca="1">IFERROR(GETPIVOTDATA("Cuenta de CANT",Tabla9,"PROV",[1]Tablas!$A$27,"SEFIS",AK$16,"CANT",[1]Tablas!#REF!),0)</f>
        <v>0</v>
      </c>
      <c r="AL26" s="15">
        <f ca="1">IFERROR(GETPIVOTDATA("Cuenta de CANT",Tabla9,"PROV",[1]Tablas!$A$27,"SEFIS",AL$16,"CANT",[1]Tablas!#REF!),0)</f>
        <v>0</v>
      </c>
      <c r="AM26" s="15">
        <f ca="1">IFERROR(GETPIVOTDATA("Cuenta de CANT",Tabla9,"PROV",[1]Tablas!$A$27,"SEFIS",AM$16,"CANT",[1]Tablas!#REF!),0)</f>
        <v>0</v>
      </c>
      <c r="AN26" s="15">
        <f ca="1">IFERROR(GETPIVOTDATA("Cuenta de CANT",Tabla9,"PROV",[1]Tablas!$A$27,"SEFIS",AN$16,"CANT",[1]Tablas!#REF!),0)</f>
        <v>0</v>
      </c>
      <c r="AO26" s="15">
        <f ca="1">IFERROR(GETPIVOTDATA("Cuenta de CANT",Tabla9,"PROV",[1]Tablas!$A$27,"SEFIS",AO$16,"CANT",[1]Tablas!#REF!),0)</f>
        <v>0</v>
      </c>
      <c r="AP26" s="15">
        <f ca="1">IFERROR(GETPIVOTDATA("Cuenta de CANT",Tabla9,"PROV",[1]Tablas!$A$27,"SEFIS",AP$16,"CANT",[1]Tablas!#REF!),0)</f>
        <v>0</v>
      </c>
      <c r="AQ26" s="15">
        <f ca="1">IFERROR(GETPIVOTDATA("Cuenta de CANT",Tabla9,"PROV",[1]Tablas!$A$27,"SEFIS",AQ$16,"CANT",[1]Tablas!#REF!),0)</f>
        <v>0</v>
      </c>
      <c r="AR26" s="15">
        <f ca="1">IFERROR(GETPIVOTDATA("Cuenta de CANT",Tabla9,"PROV",[1]Tablas!$A$27,"SEFIS",AR$16,"CANT",[1]Tablas!#REF!),0)</f>
        <v>0</v>
      </c>
      <c r="AS26" s="15">
        <f ca="1">IFERROR(GETPIVOTDATA("Cuenta de CANT",Tabla9,"PROV",[1]Tablas!$A$27,"SEFIS",AS$16,"CANT",[1]Tablas!#REF!),0)</f>
        <v>0</v>
      </c>
      <c r="AT26" s="15">
        <f ca="1">IFERROR(GETPIVOTDATA("Cuenta de CANT",Tabla9,"PROV",[1]Tablas!$A$27,"SEFIS",AT$16,"CANT",[1]Tablas!#REF!),0)</f>
        <v>0</v>
      </c>
      <c r="AU26" s="15">
        <f ca="1">IFERROR(GETPIVOTDATA("Cuenta de CANT",Tabla9,"PROV",[1]Tablas!$A$27,"SEFIS",AU$16,"CANT",[1]Tablas!#REF!),0)</f>
        <v>0</v>
      </c>
      <c r="AV26" s="15">
        <f ca="1">IFERROR(GETPIVOTDATA("Cuenta de CANT",Tabla9,"PROV",[1]Tablas!$A$27,"SEFIS",AV$16,"CANT",[1]Tablas!#REF!),0)</f>
        <v>0</v>
      </c>
      <c r="AW26" s="15">
        <f ca="1">IFERROR(GETPIVOTDATA("Cuenta de CANT",Tabla9,"PROV",[1]Tablas!$A$27,"SEFIS",AW$16,"CANT",[1]Tablas!#REF!),0)</f>
        <v>0</v>
      </c>
      <c r="AX26" s="15">
        <f ca="1">IFERROR(GETPIVOTDATA("Cuenta de CANT",Tabla9,"PROV",[1]Tablas!$A$27,"SEFIS",AX$16,"CANT",[1]Tablas!#REF!),0)</f>
        <v>0</v>
      </c>
      <c r="AY26" s="15">
        <f ca="1">IFERROR(GETPIVOTDATA("Cuenta de CANT",Tabla9,"PROV",[1]Tablas!$A$27,"SEFIS",AY$16,"CANT",[1]Tablas!#REF!),0)</f>
        <v>0</v>
      </c>
      <c r="AZ26" s="15">
        <f ca="1">IFERROR(GETPIVOTDATA("Cuenta de CANT",Tabla9,"PROV",[1]Tablas!$A$27,"SEFIS",AZ$16,"CANT",[1]Tablas!#REF!),0)</f>
        <v>0</v>
      </c>
      <c r="BA26" s="15">
        <f ca="1">IFERROR(GETPIVOTDATA("Cuenta de CANT",Tabla9,"PROV",[1]Tablas!$A$27,"SEFIS",BA$16,"CANT",[1]Tablas!#REF!),0)</f>
        <v>0</v>
      </c>
      <c r="BB26" s="15">
        <f ca="1">IFERROR(GETPIVOTDATA("Cuenta de CANT",Tabla9,"PROV",[1]Tablas!$A$27,"SEFIS",BB$16,"CANT",[1]Tablas!#REF!),0)</f>
        <v>0</v>
      </c>
      <c r="BC26" s="15">
        <f ca="1">IFERROR(GETPIVOTDATA("Cuenta de CANT",Tabla9,"PROV",[1]Tablas!$A$27,"SEFIS",BC$16,"CANT",[1]Tablas!#REF!),0)</f>
        <v>0</v>
      </c>
    </row>
    <row r="27" spans="1:55" x14ac:dyDescent="0.35">
      <c r="A27" s="14" t="s">
        <v>24</v>
      </c>
      <c r="B27" s="15">
        <f t="shared" ca="1" si="1"/>
        <v>9</v>
      </c>
      <c r="C27" s="16">
        <f ca="1">IFERROR(B27/[1]Tablas!#REF!*100000,"N/D")</f>
        <v>14.535353209082981</v>
      </c>
      <c r="D27" s="15">
        <f ca="1">IFERROR(GETPIVOTDATA("Cuenta de CANT",Tabla9,"PROV",[1]Tablas!$A$27,"SEFIS",D$16,"CANT",[1]Tablas!#REF!),0)</f>
        <v>0</v>
      </c>
      <c r="E27" s="15">
        <f ca="1">IFERROR(GETPIVOTDATA("Cuenta de CANT",Tabla9,"PROV",[1]Tablas!$A$27,"SEFIS",E$16,"CANT",[1]Tablas!#REF!),0)</f>
        <v>0</v>
      </c>
      <c r="F27" s="15">
        <f ca="1">IFERROR(GETPIVOTDATA("Cuenta de CANT",Tabla9,"PROV",[1]Tablas!$A$27,"SEFIS",F$16,"CANT",[1]Tablas!#REF!),0)</f>
        <v>0</v>
      </c>
      <c r="G27" s="15">
        <f ca="1">IFERROR(GETPIVOTDATA("Cuenta de CANT",Tabla9,"PROV",[1]Tablas!$A$27,"SEFIS",G$16,"CANT",[1]Tablas!#REF!),0)</f>
        <v>0</v>
      </c>
      <c r="H27" s="15">
        <f ca="1">IFERROR(GETPIVOTDATA("Cuenta de CANT",Tabla9,"PROV",[1]Tablas!$A$27,"SEFIS",H$16,"CANT",[1]Tablas!#REF!),0)</f>
        <v>0</v>
      </c>
      <c r="I27" s="15">
        <f ca="1">IFERROR(GETPIVOTDATA("Cuenta de CANT",Tabla9,"PROV",[1]Tablas!$A$27,"SEFIS",I$16,"CANT",[1]Tablas!#REF!),0)</f>
        <v>0</v>
      </c>
      <c r="J27" s="15">
        <f ca="1">IFERROR(GETPIVOTDATA("Cuenta de CANT",Tabla9,"PROV",[1]Tablas!$A$27,"SEFIS",J$16,"CANT",[1]Tablas!#REF!),0)</f>
        <v>0</v>
      </c>
      <c r="K27" s="15">
        <f ca="1">IFERROR(GETPIVOTDATA("Cuenta de CANT",Tabla9,"PROV",[1]Tablas!$A$27,"SEFIS",K$16,"CANT",[1]Tablas!#REF!),0)</f>
        <v>0</v>
      </c>
      <c r="L27" s="15">
        <f ca="1">IFERROR(GETPIVOTDATA("Cuenta de CANT",Tabla9,"PROV",[1]Tablas!$A$27,"SEFIS",L$16,"CANT",[1]Tablas!#REF!),0)</f>
        <v>0</v>
      </c>
      <c r="M27" s="15">
        <f ca="1">IFERROR(GETPIVOTDATA("Cuenta de CANT",Tabla9,"PROV",[1]Tablas!$A$27,"SEFIS",M$16,"CANT",[1]Tablas!#REF!),0)</f>
        <v>0</v>
      </c>
      <c r="N27" s="15">
        <f ca="1">IFERROR(GETPIVOTDATA("Cuenta de CANT",Tabla9,"PROV",[1]Tablas!$A$27,"SEFIS",N$16,"CANT",[1]Tablas!#REF!),0)</f>
        <v>0</v>
      </c>
      <c r="O27" s="15">
        <f ca="1">IFERROR(GETPIVOTDATA("Cuenta de CANT",Tabla9,"PROV",[1]Tablas!$A$27,"SEFIS",O$16,"CANT",[1]Tablas!#REF!),0)</f>
        <v>0</v>
      </c>
      <c r="P27" s="15">
        <f ca="1">IFERROR(GETPIVOTDATA("Cuenta de CANT",Tabla9,"PROV",[1]Tablas!$A$27,"SEFIS",P$16,"CANT",[1]Tablas!#REF!),0)</f>
        <v>0</v>
      </c>
      <c r="Q27" s="15">
        <f ca="1">IFERROR(GETPIVOTDATA("Cuenta de CANT",Tabla9,"PROV",[1]Tablas!$A$27,"SEFIS",Q$16,"CANT",[1]Tablas!#REF!),0)</f>
        <v>0</v>
      </c>
      <c r="R27" s="15">
        <f ca="1">IFERROR(GETPIVOTDATA("Cuenta de CANT",Tabla9,"PROV",[1]Tablas!$A$27,"SEFIS",R$16,"CANT",[1]Tablas!#REF!),0)</f>
        <v>0</v>
      </c>
      <c r="S27" s="15">
        <f ca="1">IFERROR(GETPIVOTDATA("Cuenta de CANT",Tabla9,"PROV",[1]Tablas!$A$27,"SEFIS",S$16,"CANT",[1]Tablas!#REF!),0)</f>
        <v>0</v>
      </c>
      <c r="T27" s="15">
        <f ca="1">IFERROR(GETPIVOTDATA("Cuenta de CANT",Tabla9,"PROV",[1]Tablas!$A$27,"SEFIS",T$16,"CANT",[1]Tablas!#REF!),0)</f>
        <v>0</v>
      </c>
      <c r="U27" s="15">
        <f ca="1">IFERROR(GETPIVOTDATA("Cuenta de CANT",Tabla9,"PROV",[1]Tablas!$A$27,"SEFIS",U$16,"CANT",[1]Tablas!#REF!),0)</f>
        <v>1</v>
      </c>
      <c r="V27" s="15">
        <f ca="1">IFERROR(GETPIVOTDATA("Cuenta de CANT",Tabla9,"PROV",[1]Tablas!$A$27,"SEFIS",V$16,"CANT",[1]Tablas!#REF!),0)</f>
        <v>0</v>
      </c>
      <c r="W27" s="15">
        <f ca="1">IFERROR(GETPIVOTDATA("Cuenta de CANT",Tabla9,"PROV",[1]Tablas!$A$27,"SEFIS",W$16,"CANT",[1]Tablas!#REF!),0)</f>
        <v>0</v>
      </c>
      <c r="X27" s="15">
        <f ca="1">IFERROR(GETPIVOTDATA("Cuenta de CANT",Tabla9,"PROV",[1]Tablas!$A$27,"SEFIS",X$16,"CANT",[1]Tablas!#REF!),0)</f>
        <v>0</v>
      </c>
      <c r="Y27" s="15">
        <f ca="1">IFERROR(GETPIVOTDATA("Cuenta de CANT",Tabla9,"PROV",[1]Tablas!$A$27,"SEFIS",Y$16,"CANT",[1]Tablas!#REF!),0)</f>
        <v>2</v>
      </c>
      <c r="Z27" s="15">
        <f ca="1">IFERROR(GETPIVOTDATA("Cuenta de CANT",Tabla9,"PROV",[1]Tablas!$A$27,"SEFIS",Z$16,"CANT",[1]Tablas!#REF!),0)</f>
        <v>0</v>
      </c>
      <c r="AA27" s="15">
        <f ca="1">IFERROR(GETPIVOTDATA("Cuenta de CANT",Tabla9,"PROV",[1]Tablas!$A$27,"SEFIS",AA$16,"CANT",[1]Tablas!#REF!),0)</f>
        <v>0</v>
      </c>
      <c r="AB27" s="15">
        <f ca="1">IFERROR(GETPIVOTDATA("Cuenta de CANT",Tabla9,"PROV",[1]Tablas!$A$27,"SEFIS",AB$16,"CANT",[1]Tablas!#REF!),0)</f>
        <v>0</v>
      </c>
      <c r="AC27" s="15">
        <f ca="1">IFERROR(GETPIVOTDATA("Cuenta de CANT",Tabla9,"PROV",[1]Tablas!$A$27,"SEFIS",AC$16,"CANT",[1]Tablas!#REF!),0)</f>
        <v>0</v>
      </c>
      <c r="AD27" s="15">
        <f ca="1">IFERROR(GETPIVOTDATA("Cuenta de CANT",Tabla9,"PROV",[1]Tablas!$A$27,"SEFIS",AD$16,"CANT",[1]Tablas!#REF!),0)</f>
        <v>0</v>
      </c>
      <c r="AE27" s="15">
        <f ca="1">IFERROR(GETPIVOTDATA("Cuenta de CANT",Tabla9,"PROV",[1]Tablas!$A$27,"SEFIS",AE$16,"CANT",[1]Tablas!#REF!),0)</f>
        <v>0</v>
      </c>
      <c r="AF27" s="15">
        <f ca="1">IFERROR(GETPIVOTDATA("Cuenta de CANT",Tabla9,"PROV",[1]Tablas!$A$27,"SEFIS",AF$16,"CANT",[1]Tablas!#REF!),0)</f>
        <v>0</v>
      </c>
      <c r="AG27" s="15">
        <f ca="1">IFERROR(GETPIVOTDATA("Cuenta de CANT",Tabla9,"PROV",[1]Tablas!$A$27,"SEFIS",AG$16,"CANT",[1]Tablas!#REF!),0)</f>
        <v>0</v>
      </c>
      <c r="AH27" s="15">
        <f ca="1">IFERROR(GETPIVOTDATA("Cuenta de CANT",Tabla9,"PROV",[1]Tablas!$A$27,"SEFIS",AH$16,"CANT",[1]Tablas!#REF!),0)</f>
        <v>1</v>
      </c>
      <c r="AI27" s="15">
        <f ca="1">IFERROR(GETPIVOTDATA("Cuenta de CANT",Tabla9,"PROV",[1]Tablas!$A$27,"SEFIS",AI$16,"CANT",[1]Tablas!#REF!),0)</f>
        <v>0</v>
      </c>
      <c r="AJ27" s="15">
        <f ca="1">IFERROR(GETPIVOTDATA("Cuenta de CANT",Tabla9,"PROV",[1]Tablas!$A$27,"SEFIS",AJ$16,"CANT",[1]Tablas!#REF!),0)</f>
        <v>1</v>
      </c>
      <c r="AK27" s="15">
        <f ca="1">IFERROR(GETPIVOTDATA("Cuenta de CANT",Tabla9,"PROV",[1]Tablas!$A$27,"SEFIS",AK$16,"CANT",[1]Tablas!#REF!),0)</f>
        <v>0</v>
      </c>
      <c r="AL27" s="15">
        <f ca="1">IFERROR(GETPIVOTDATA("Cuenta de CANT",Tabla9,"PROV",[1]Tablas!$A$27,"SEFIS",AL$16,"CANT",[1]Tablas!#REF!),0)</f>
        <v>1</v>
      </c>
      <c r="AM27" s="15">
        <f ca="1">IFERROR(GETPIVOTDATA("Cuenta de CANT",Tabla9,"PROV",[1]Tablas!$A$27,"SEFIS",AM$16,"CANT",[1]Tablas!#REF!),0)</f>
        <v>0</v>
      </c>
      <c r="AN27" s="15">
        <f ca="1">IFERROR(GETPIVOTDATA("Cuenta de CANT",Tabla9,"PROV",[1]Tablas!$A$27,"SEFIS",AN$16,"CANT",[1]Tablas!#REF!),0)</f>
        <v>0</v>
      </c>
      <c r="AO27" s="15">
        <f ca="1">IFERROR(GETPIVOTDATA("Cuenta de CANT",Tabla9,"PROV",[1]Tablas!$A$27,"SEFIS",AO$16,"CANT",[1]Tablas!#REF!),0)</f>
        <v>1</v>
      </c>
      <c r="AP27" s="15">
        <f ca="1">IFERROR(GETPIVOTDATA("Cuenta de CANT",Tabla9,"PROV",[1]Tablas!$A$27,"SEFIS",AP$16,"CANT",[1]Tablas!#REF!),0)</f>
        <v>0</v>
      </c>
      <c r="AQ27" s="15">
        <f ca="1">IFERROR(GETPIVOTDATA("Cuenta de CANT",Tabla9,"PROV",[1]Tablas!$A$27,"SEFIS",AQ$16,"CANT",[1]Tablas!#REF!),0)</f>
        <v>0</v>
      </c>
      <c r="AR27" s="15">
        <f ca="1">IFERROR(GETPIVOTDATA("Cuenta de CANT",Tabla9,"PROV",[1]Tablas!$A$27,"SEFIS",AR$16,"CANT",[1]Tablas!#REF!),0)</f>
        <v>0</v>
      </c>
      <c r="AS27" s="15">
        <f ca="1">IFERROR(GETPIVOTDATA("Cuenta de CANT",Tabla9,"PROV",[1]Tablas!$A$27,"SEFIS",AS$16,"CANT",[1]Tablas!#REF!),0)</f>
        <v>0</v>
      </c>
      <c r="AT27" s="15">
        <f ca="1">IFERROR(GETPIVOTDATA("Cuenta de CANT",Tabla9,"PROV",[1]Tablas!$A$27,"SEFIS",AT$16,"CANT",[1]Tablas!#REF!),0)</f>
        <v>0</v>
      </c>
      <c r="AU27" s="15">
        <f ca="1">IFERROR(GETPIVOTDATA("Cuenta de CANT",Tabla9,"PROV",[1]Tablas!$A$27,"SEFIS",AU$16,"CANT",[1]Tablas!#REF!),0)</f>
        <v>0</v>
      </c>
      <c r="AV27" s="15">
        <f ca="1">IFERROR(GETPIVOTDATA("Cuenta de CANT",Tabla9,"PROV",[1]Tablas!$A$27,"SEFIS",AV$16,"CANT",[1]Tablas!#REF!),0)</f>
        <v>2</v>
      </c>
      <c r="AW27" s="15">
        <f ca="1">IFERROR(GETPIVOTDATA("Cuenta de CANT",Tabla9,"PROV",[1]Tablas!$A$27,"SEFIS",AW$16,"CANT",[1]Tablas!#REF!),0)</f>
        <v>0</v>
      </c>
      <c r="AX27" s="15">
        <f ca="1">IFERROR(GETPIVOTDATA("Cuenta de CANT",Tabla9,"PROV",[1]Tablas!$A$27,"SEFIS",AX$16,"CANT",[1]Tablas!#REF!),0)</f>
        <v>0</v>
      </c>
      <c r="AY27" s="15">
        <f ca="1">IFERROR(GETPIVOTDATA("Cuenta de CANT",Tabla9,"PROV",[1]Tablas!$A$27,"SEFIS",AY$16,"CANT",[1]Tablas!#REF!),0)</f>
        <v>0</v>
      </c>
      <c r="AZ27" s="15">
        <f ca="1">IFERROR(GETPIVOTDATA("Cuenta de CANT",Tabla9,"PROV",[1]Tablas!$A$27,"SEFIS",AZ$16,"CANT",[1]Tablas!#REF!),0)</f>
        <v>0</v>
      </c>
      <c r="BA27" s="15">
        <f ca="1">IFERROR(GETPIVOTDATA("Cuenta de CANT",Tabla9,"PROV",[1]Tablas!$A$27,"SEFIS",BA$16,"CANT",[1]Tablas!#REF!),0)</f>
        <v>0</v>
      </c>
      <c r="BB27" s="15">
        <f ca="1">IFERROR(GETPIVOTDATA("Cuenta de CANT",Tabla9,"PROV",[1]Tablas!$A$27,"SEFIS",BB$16,"CANT",[1]Tablas!#REF!),0)</f>
        <v>0</v>
      </c>
      <c r="BC27" s="15">
        <f ca="1">IFERROR(GETPIVOTDATA("Cuenta de CANT",Tabla9,"PROV",[1]Tablas!$A$27,"SEFIS",BC$16,"CANT",[1]Tablas!#REF!),0)</f>
        <v>0</v>
      </c>
    </row>
    <row r="28" spans="1:55" x14ac:dyDescent="0.35">
      <c r="A28" s="14" t="s">
        <v>25</v>
      </c>
      <c r="B28" s="15">
        <f t="shared" ca="1" si="1"/>
        <v>14</v>
      </c>
      <c r="C28" s="16">
        <f ca="1">IFERROR(B28/[1]Tablas!#REF!*100000,"N/D")</f>
        <v>22.54174247669345</v>
      </c>
      <c r="D28" s="15">
        <f ca="1">IFERROR(GETPIVOTDATA("Cuenta de CANT",Tabla9,"PROV",[1]Tablas!$A$27,"SEFIS",D$16,"CANT",[1]Tablas!#REF!),0)</f>
        <v>0</v>
      </c>
      <c r="E28" s="15">
        <f ca="1">IFERROR(GETPIVOTDATA("Cuenta de CANT",Tabla9,"PROV",[1]Tablas!$A$27,"SEFIS",E$16,"CANT",[1]Tablas!#REF!),0)</f>
        <v>0</v>
      </c>
      <c r="F28" s="15">
        <f ca="1">IFERROR(GETPIVOTDATA("Cuenta de CANT",Tabla9,"PROV",[1]Tablas!$A$27,"SEFIS",F$16,"CANT",[1]Tablas!#REF!),0)</f>
        <v>1</v>
      </c>
      <c r="G28" s="15">
        <f ca="1">IFERROR(GETPIVOTDATA("Cuenta de CANT",Tabla9,"PROV",[1]Tablas!$A$27,"SEFIS",G$16,"CANT",[1]Tablas!#REF!),0)</f>
        <v>0</v>
      </c>
      <c r="H28" s="15">
        <f ca="1">IFERROR(GETPIVOTDATA("Cuenta de CANT",Tabla9,"PROV",[1]Tablas!$A$27,"SEFIS",H$16,"CANT",[1]Tablas!#REF!),0)</f>
        <v>0</v>
      </c>
      <c r="I28" s="15">
        <f ca="1">IFERROR(GETPIVOTDATA("Cuenta de CANT",Tabla9,"PROV",[1]Tablas!$A$27,"SEFIS",I$16,"CANT",[1]Tablas!#REF!),0)</f>
        <v>0</v>
      </c>
      <c r="J28" s="15">
        <f ca="1">IFERROR(GETPIVOTDATA("Cuenta de CANT",Tabla9,"PROV",[1]Tablas!$A$27,"SEFIS",J$16,"CANT",[1]Tablas!#REF!),0)</f>
        <v>0</v>
      </c>
      <c r="K28" s="15">
        <f ca="1">IFERROR(GETPIVOTDATA("Cuenta de CANT",Tabla9,"PROV",[1]Tablas!$A$27,"SEFIS",K$16,"CANT",[1]Tablas!#REF!),0)</f>
        <v>0</v>
      </c>
      <c r="L28" s="15">
        <f ca="1">IFERROR(GETPIVOTDATA("Cuenta de CANT",Tabla9,"PROV",[1]Tablas!$A$27,"SEFIS",L$16,"CANT",[1]Tablas!#REF!),0)</f>
        <v>0</v>
      </c>
      <c r="M28" s="15">
        <f ca="1">IFERROR(GETPIVOTDATA("Cuenta de CANT",Tabla9,"PROV",[1]Tablas!$A$27,"SEFIS",M$16,"CANT",[1]Tablas!#REF!),0)</f>
        <v>1</v>
      </c>
      <c r="N28" s="15">
        <f ca="1">IFERROR(GETPIVOTDATA("Cuenta de CANT",Tabla9,"PROV",[1]Tablas!$A$27,"SEFIS",N$16,"CANT",[1]Tablas!#REF!),0)</f>
        <v>0</v>
      </c>
      <c r="O28" s="15">
        <f ca="1">IFERROR(GETPIVOTDATA("Cuenta de CANT",Tabla9,"PROV",[1]Tablas!$A$27,"SEFIS",O$16,"CANT",[1]Tablas!#REF!),0)</f>
        <v>0</v>
      </c>
      <c r="P28" s="15">
        <f ca="1">IFERROR(GETPIVOTDATA("Cuenta de CANT",Tabla9,"PROV",[1]Tablas!$A$27,"SEFIS",P$16,"CANT",[1]Tablas!#REF!),0)</f>
        <v>0</v>
      </c>
      <c r="Q28" s="15">
        <f ca="1">IFERROR(GETPIVOTDATA("Cuenta de CANT",Tabla9,"PROV",[1]Tablas!$A$27,"SEFIS",Q$16,"CANT",[1]Tablas!#REF!),0)</f>
        <v>0</v>
      </c>
      <c r="R28" s="15">
        <f ca="1">IFERROR(GETPIVOTDATA("Cuenta de CANT",Tabla9,"PROV",[1]Tablas!$A$27,"SEFIS",R$16,"CANT",[1]Tablas!#REF!),0)</f>
        <v>0</v>
      </c>
      <c r="S28" s="15">
        <f ca="1">IFERROR(GETPIVOTDATA("Cuenta de CANT",Tabla9,"PROV",[1]Tablas!$A$27,"SEFIS",S$16,"CANT",[1]Tablas!#REF!),0)</f>
        <v>0</v>
      </c>
      <c r="T28" s="15">
        <f ca="1">IFERROR(GETPIVOTDATA("Cuenta de CANT",Tabla9,"PROV",[1]Tablas!$A$27,"SEFIS",T$16,"CANT",[1]Tablas!#REF!),0)</f>
        <v>0</v>
      </c>
      <c r="U28" s="15">
        <f ca="1">IFERROR(GETPIVOTDATA("Cuenta de CANT",Tabla9,"PROV",[1]Tablas!$A$27,"SEFIS",U$16,"CANT",[1]Tablas!#REF!),0)</f>
        <v>0</v>
      </c>
      <c r="V28" s="15">
        <f ca="1">IFERROR(GETPIVOTDATA("Cuenta de CANT",Tabla9,"PROV",[1]Tablas!$A$27,"SEFIS",V$16,"CANT",[1]Tablas!#REF!),0)</f>
        <v>0</v>
      </c>
      <c r="W28" s="15">
        <f ca="1">IFERROR(GETPIVOTDATA("Cuenta de CANT",Tabla9,"PROV",[1]Tablas!$A$27,"SEFIS",W$16,"CANT",[1]Tablas!#REF!),0)</f>
        <v>0</v>
      </c>
      <c r="X28" s="15">
        <f ca="1">IFERROR(GETPIVOTDATA("Cuenta de CANT",Tabla9,"PROV",[1]Tablas!$A$27,"SEFIS",X$16,"CANT",[1]Tablas!#REF!),0)</f>
        <v>0</v>
      </c>
      <c r="Y28" s="15">
        <f ca="1">IFERROR(GETPIVOTDATA("Cuenta de CANT",Tabla9,"PROV",[1]Tablas!$A$27,"SEFIS",Y$16,"CANT",[1]Tablas!#REF!),0)</f>
        <v>0</v>
      </c>
      <c r="Z28" s="15">
        <f ca="1">IFERROR(GETPIVOTDATA("Cuenta de CANT",Tabla9,"PROV",[1]Tablas!$A$27,"SEFIS",Z$16,"CANT",[1]Tablas!#REF!),0)</f>
        <v>0</v>
      </c>
      <c r="AA28" s="15">
        <f ca="1">IFERROR(GETPIVOTDATA("Cuenta de CANT",Tabla9,"PROV",[1]Tablas!$A$27,"SEFIS",AA$16,"CANT",[1]Tablas!#REF!),0)</f>
        <v>1</v>
      </c>
      <c r="AB28" s="15">
        <f ca="1">IFERROR(GETPIVOTDATA("Cuenta de CANT",Tabla9,"PROV",[1]Tablas!$A$27,"SEFIS",AB$16,"CANT",[1]Tablas!#REF!),0)</f>
        <v>0</v>
      </c>
      <c r="AC28" s="15">
        <f ca="1">IFERROR(GETPIVOTDATA("Cuenta de CANT",Tabla9,"PROV",[1]Tablas!$A$27,"SEFIS",AC$16,"CANT",[1]Tablas!#REF!),0)</f>
        <v>1</v>
      </c>
      <c r="AD28" s="15">
        <f ca="1">IFERROR(GETPIVOTDATA("Cuenta de CANT",Tabla9,"PROV",[1]Tablas!$A$27,"SEFIS",AD$16,"CANT",[1]Tablas!#REF!),0)</f>
        <v>1</v>
      </c>
      <c r="AE28" s="15">
        <f ca="1">IFERROR(GETPIVOTDATA("Cuenta de CANT",Tabla9,"PROV",[1]Tablas!$A$27,"SEFIS",AE$16,"CANT",[1]Tablas!#REF!),0)</f>
        <v>2</v>
      </c>
      <c r="AF28" s="15">
        <f ca="1">IFERROR(GETPIVOTDATA("Cuenta de CANT",Tabla9,"PROV",[1]Tablas!$A$27,"SEFIS",AF$16,"CANT",[1]Tablas!#REF!),0)</f>
        <v>1</v>
      </c>
      <c r="AG28" s="15">
        <f ca="1">IFERROR(GETPIVOTDATA("Cuenta de CANT",Tabla9,"PROV",[1]Tablas!$A$27,"SEFIS",AG$16,"CANT",[1]Tablas!#REF!),0)</f>
        <v>0</v>
      </c>
      <c r="AH28" s="15">
        <f ca="1">IFERROR(GETPIVOTDATA("Cuenta de CANT",Tabla9,"PROV",[1]Tablas!$A$27,"SEFIS",AH$16,"CANT",[1]Tablas!#REF!),0)</f>
        <v>0</v>
      </c>
      <c r="AI28" s="15">
        <f ca="1">IFERROR(GETPIVOTDATA("Cuenta de CANT",Tabla9,"PROV",[1]Tablas!$A$27,"SEFIS",AI$16,"CANT",[1]Tablas!#REF!),0)</f>
        <v>1</v>
      </c>
      <c r="AJ28" s="15">
        <f ca="1">IFERROR(GETPIVOTDATA("Cuenta de CANT",Tabla9,"PROV",[1]Tablas!$A$27,"SEFIS",AJ$16,"CANT",[1]Tablas!#REF!),0)</f>
        <v>0</v>
      </c>
      <c r="AK28" s="15">
        <f ca="1">IFERROR(GETPIVOTDATA("Cuenta de CANT",Tabla9,"PROV",[1]Tablas!$A$27,"SEFIS",AK$16,"CANT",[1]Tablas!#REF!),0)</f>
        <v>0</v>
      </c>
      <c r="AL28" s="15">
        <f ca="1">IFERROR(GETPIVOTDATA("Cuenta de CANT",Tabla9,"PROV",[1]Tablas!$A$27,"SEFIS",AL$16,"CANT",[1]Tablas!#REF!),0)</f>
        <v>0</v>
      </c>
      <c r="AM28" s="15">
        <f ca="1">IFERROR(GETPIVOTDATA("Cuenta de CANT",Tabla9,"PROV",[1]Tablas!$A$27,"SEFIS",AM$16,"CANT",[1]Tablas!#REF!),0)</f>
        <v>0</v>
      </c>
      <c r="AN28" s="15">
        <f ca="1">IFERROR(GETPIVOTDATA("Cuenta de CANT",Tabla9,"PROV",[1]Tablas!$A$27,"SEFIS",AN$16,"CANT",[1]Tablas!#REF!),0)</f>
        <v>0</v>
      </c>
      <c r="AO28" s="15">
        <f ca="1">IFERROR(GETPIVOTDATA("Cuenta de CANT",Tabla9,"PROV",[1]Tablas!$A$27,"SEFIS",AO$16,"CANT",[1]Tablas!#REF!),0)</f>
        <v>1</v>
      </c>
      <c r="AP28" s="15">
        <f ca="1">IFERROR(GETPIVOTDATA("Cuenta de CANT",Tabla9,"PROV",[1]Tablas!$A$27,"SEFIS",AP$16,"CANT",[1]Tablas!#REF!),0)</f>
        <v>1</v>
      </c>
      <c r="AQ28" s="15">
        <f ca="1">IFERROR(GETPIVOTDATA("Cuenta de CANT",Tabla9,"PROV",[1]Tablas!$A$27,"SEFIS",AQ$16,"CANT",[1]Tablas!#REF!),0)</f>
        <v>0</v>
      </c>
      <c r="AR28" s="15">
        <f ca="1">IFERROR(GETPIVOTDATA("Cuenta de CANT",Tabla9,"PROV",[1]Tablas!$A$27,"SEFIS",AR$16,"CANT",[1]Tablas!#REF!),0)</f>
        <v>0</v>
      </c>
      <c r="AS28" s="15">
        <f ca="1">IFERROR(GETPIVOTDATA("Cuenta de CANT",Tabla9,"PROV",[1]Tablas!$A$27,"SEFIS",AS$16,"CANT",[1]Tablas!#REF!),0)</f>
        <v>0</v>
      </c>
      <c r="AT28" s="15">
        <f ca="1">IFERROR(GETPIVOTDATA("Cuenta de CANT",Tabla9,"PROV",[1]Tablas!$A$27,"SEFIS",AT$16,"CANT",[1]Tablas!#REF!),0)</f>
        <v>1</v>
      </c>
      <c r="AU28" s="15">
        <f ca="1">IFERROR(GETPIVOTDATA("Cuenta de CANT",Tabla9,"PROV",[1]Tablas!$A$27,"SEFIS",AU$16,"CANT",[1]Tablas!#REF!),0)</f>
        <v>0</v>
      </c>
      <c r="AV28" s="15">
        <f ca="1">IFERROR(GETPIVOTDATA("Cuenta de CANT",Tabla9,"PROV",[1]Tablas!$A$27,"SEFIS",AV$16,"CANT",[1]Tablas!#REF!),0)</f>
        <v>0</v>
      </c>
      <c r="AW28" s="15">
        <f ca="1">IFERROR(GETPIVOTDATA("Cuenta de CANT",Tabla9,"PROV",[1]Tablas!$A$27,"SEFIS",AW$16,"CANT",[1]Tablas!#REF!),0)</f>
        <v>0</v>
      </c>
      <c r="AX28" s="15">
        <f ca="1">IFERROR(GETPIVOTDATA("Cuenta de CANT",Tabla9,"PROV",[1]Tablas!$A$27,"SEFIS",AX$16,"CANT",[1]Tablas!#REF!),0)</f>
        <v>0</v>
      </c>
      <c r="AY28" s="15">
        <f ca="1">IFERROR(GETPIVOTDATA("Cuenta de CANT",Tabla9,"PROV",[1]Tablas!$A$27,"SEFIS",AY$16,"CANT",[1]Tablas!#REF!),0)</f>
        <v>0</v>
      </c>
      <c r="AZ28" s="15">
        <f ca="1">IFERROR(GETPIVOTDATA("Cuenta de CANT",Tabla9,"PROV",[1]Tablas!$A$27,"SEFIS",AZ$16,"CANT",[1]Tablas!#REF!),0)</f>
        <v>1</v>
      </c>
      <c r="BA28" s="15">
        <f ca="1">IFERROR(GETPIVOTDATA("Cuenta de CANT",Tabla9,"PROV",[1]Tablas!$A$27,"SEFIS",BA$16,"CANT",[1]Tablas!#REF!),0)</f>
        <v>0</v>
      </c>
      <c r="BB28" s="15">
        <f ca="1">IFERROR(GETPIVOTDATA("Cuenta de CANT",Tabla9,"PROV",[1]Tablas!$A$27,"SEFIS",BB$16,"CANT",[1]Tablas!#REF!),0)</f>
        <v>0</v>
      </c>
      <c r="BC28" s="15">
        <f ca="1">IFERROR(GETPIVOTDATA("Cuenta de CANT",Tabla9,"PROV",[1]Tablas!$A$27,"SEFIS",BC$16,"CANT",[1]Tablas!#REF!),0)</f>
        <v>1</v>
      </c>
    </row>
    <row r="29" spans="1:55" x14ac:dyDescent="0.35">
      <c r="A29" s="14" t="s">
        <v>26</v>
      </c>
      <c r="B29" s="15">
        <f t="shared" ca="1" si="1"/>
        <v>0</v>
      </c>
      <c r="C29" s="16">
        <f ca="1">IFERROR(B29/[1]Tablas!#REF!*100000,"N/D")</f>
        <v>0</v>
      </c>
      <c r="D29" s="15">
        <f ca="1">IFERROR(GETPIVOTDATA("Cuenta de CANT",Tabla9,"PROV",[1]Tablas!$A$27,"SEFIS",D$16,"CANT",[1]Tablas!#REF!),0)</f>
        <v>0</v>
      </c>
      <c r="E29" s="15">
        <f ca="1">IFERROR(GETPIVOTDATA("Cuenta de CANT",Tabla9,"PROV",[1]Tablas!$A$27,"SEFIS",E$16,"CANT",[1]Tablas!#REF!),0)</f>
        <v>0</v>
      </c>
      <c r="F29" s="15">
        <f ca="1">IFERROR(GETPIVOTDATA("Cuenta de CANT",Tabla9,"PROV",[1]Tablas!$A$27,"SEFIS",F$16,"CANT",[1]Tablas!#REF!),0)</f>
        <v>0</v>
      </c>
      <c r="G29" s="15">
        <f ca="1">IFERROR(GETPIVOTDATA("Cuenta de CANT",Tabla9,"PROV",[1]Tablas!$A$27,"SEFIS",G$16,"CANT",[1]Tablas!#REF!),0)</f>
        <v>0</v>
      </c>
      <c r="H29" s="15">
        <f ca="1">IFERROR(GETPIVOTDATA("Cuenta de CANT",Tabla9,"PROV",[1]Tablas!$A$27,"SEFIS",H$16,"CANT",[1]Tablas!#REF!),0)</f>
        <v>0</v>
      </c>
      <c r="I29" s="15">
        <f ca="1">IFERROR(GETPIVOTDATA("Cuenta de CANT",Tabla9,"PROV",[1]Tablas!$A$27,"SEFIS",I$16,"CANT",[1]Tablas!#REF!),0)</f>
        <v>0</v>
      </c>
      <c r="J29" s="15">
        <f ca="1">IFERROR(GETPIVOTDATA("Cuenta de CANT",Tabla9,"PROV",[1]Tablas!$A$27,"SEFIS",J$16,"CANT",[1]Tablas!#REF!),0)</f>
        <v>0</v>
      </c>
      <c r="K29" s="15">
        <f ca="1">IFERROR(GETPIVOTDATA("Cuenta de CANT",Tabla9,"PROV",[1]Tablas!$A$27,"SEFIS",K$16,"CANT",[1]Tablas!#REF!),0)</f>
        <v>0</v>
      </c>
      <c r="L29" s="15">
        <f ca="1">IFERROR(GETPIVOTDATA("Cuenta de CANT",Tabla9,"PROV",[1]Tablas!$A$27,"SEFIS",L$16,"CANT",[1]Tablas!#REF!),0)</f>
        <v>0</v>
      </c>
      <c r="M29" s="15">
        <f ca="1">IFERROR(GETPIVOTDATA("Cuenta de CANT",Tabla9,"PROV",[1]Tablas!$A$27,"SEFIS",M$16,"CANT",[1]Tablas!#REF!),0)</f>
        <v>0</v>
      </c>
      <c r="N29" s="15">
        <f ca="1">IFERROR(GETPIVOTDATA("Cuenta de CANT",Tabla9,"PROV",[1]Tablas!$A$27,"SEFIS",N$16,"CANT",[1]Tablas!#REF!),0)</f>
        <v>0</v>
      </c>
      <c r="O29" s="15">
        <f ca="1">IFERROR(GETPIVOTDATA("Cuenta de CANT",Tabla9,"PROV",[1]Tablas!$A$27,"SEFIS",O$16,"CANT",[1]Tablas!#REF!),0)</f>
        <v>0</v>
      </c>
      <c r="P29" s="15">
        <f ca="1">IFERROR(GETPIVOTDATA("Cuenta de CANT",Tabla9,"PROV",[1]Tablas!$A$27,"SEFIS",P$16,"CANT",[1]Tablas!#REF!),0)</f>
        <v>0</v>
      </c>
      <c r="Q29" s="15">
        <f ca="1">IFERROR(GETPIVOTDATA("Cuenta de CANT",Tabla9,"PROV",[1]Tablas!$A$27,"SEFIS",Q$16,"CANT",[1]Tablas!#REF!),0)</f>
        <v>0</v>
      </c>
      <c r="R29" s="15">
        <f ca="1">IFERROR(GETPIVOTDATA("Cuenta de CANT",Tabla9,"PROV",[1]Tablas!$A$27,"SEFIS",R$16,"CANT",[1]Tablas!#REF!),0)</f>
        <v>0</v>
      </c>
      <c r="S29" s="15">
        <f ca="1">IFERROR(GETPIVOTDATA("Cuenta de CANT",Tabla9,"PROV",[1]Tablas!$A$27,"SEFIS",S$16,"CANT",[1]Tablas!#REF!),0)</f>
        <v>0</v>
      </c>
      <c r="T29" s="15">
        <f ca="1">IFERROR(GETPIVOTDATA("Cuenta de CANT",Tabla9,"PROV",[1]Tablas!$A$27,"SEFIS",T$16,"CANT",[1]Tablas!#REF!),0)</f>
        <v>0</v>
      </c>
      <c r="U29" s="15">
        <f ca="1">IFERROR(GETPIVOTDATA("Cuenta de CANT",Tabla9,"PROV",[1]Tablas!$A$27,"SEFIS",U$16,"CANT",[1]Tablas!#REF!),0)</f>
        <v>0</v>
      </c>
      <c r="V29" s="15">
        <f ca="1">IFERROR(GETPIVOTDATA("Cuenta de CANT",Tabla9,"PROV",[1]Tablas!$A$27,"SEFIS",V$16,"CANT",[1]Tablas!#REF!),0)</f>
        <v>0</v>
      </c>
      <c r="W29" s="15">
        <f ca="1">IFERROR(GETPIVOTDATA("Cuenta de CANT",Tabla9,"PROV",[1]Tablas!$A$27,"SEFIS",W$16,"CANT",[1]Tablas!#REF!),0)</f>
        <v>0</v>
      </c>
      <c r="X29" s="15">
        <f ca="1">IFERROR(GETPIVOTDATA("Cuenta de CANT",Tabla9,"PROV",[1]Tablas!$A$27,"SEFIS",X$16,"CANT",[1]Tablas!#REF!),0)</f>
        <v>0</v>
      </c>
      <c r="Y29" s="15">
        <f ca="1">IFERROR(GETPIVOTDATA("Cuenta de CANT",Tabla9,"PROV",[1]Tablas!$A$27,"SEFIS",Y$16,"CANT",[1]Tablas!#REF!),0)</f>
        <v>0</v>
      </c>
      <c r="Z29" s="15">
        <f ca="1">IFERROR(GETPIVOTDATA("Cuenta de CANT",Tabla9,"PROV",[1]Tablas!$A$27,"SEFIS",Z$16,"CANT",[1]Tablas!#REF!),0)</f>
        <v>0</v>
      </c>
      <c r="AA29" s="15">
        <f ca="1">IFERROR(GETPIVOTDATA("Cuenta de CANT",Tabla9,"PROV",[1]Tablas!$A$27,"SEFIS",AA$16,"CANT",[1]Tablas!#REF!),0)</f>
        <v>0</v>
      </c>
      <c r="AB29" s="15">
        <f ca="1">IFERROR(GETPIVOTDATA("Cuenta de CANT",Tabla9,"PROV",[1]Tablas!$A$27,"SEFIS",AB$16,"CANT",[1]Tablas!#REF!),0)</f>
        <v>0</v>
      </c>
      <c r="AC29" s="15">
        <f ca="1">IFERROR(GETPIVOTDATA("Cuenta de CANT",Tabla9,"PROV",[1]Tablas!$A$27,"SEFIS",AC$16,"CANT",[1]Tablas!#REF!),0)</f>
        <v>0</v>
      </c>
      <c r="AD29" s="15">
        <f ca="1">IFERROR(GETPIVOTDATA("Cuenta de CANT",Tabla9,"PROV",[1]Tablas!$A$27,"SEFIS",AD$16,"CANT",[1]Tablas!#REF!),0)</f>
        <v>0</v>
      </c>
      <c r="AE29" s="15">
        <f ca="1">IFERROR(GETPIVOTDATA("Cuenta de CANT",Tabla9,"PROV",[1]Tablas!$A$27,"SEFIS",AE$16,"CANT",[1]Tablas!#REF!),0)</f>
        <v>0</v>
      </c>
      <c r="AF29" s="15">
        <f ca="1">IFERROR(GETPIVOTDATA("Cuenta de CANT",Tabla9,"PROV",[1]Tablas!$A$27,"SEFIS",AF$16,"CANT",[1]Tablas!#REF!),0)</f>
        <v>0</v>
      </c>
      <c r="AG29" s="15">
        <f ca="1">IFERROR(GETPIVOTDATA("Cuenta de CANT",Tabla9,"PROV",[1]Tablas!$A$27,"SEFIS",AG$16,"CANT",[1]Tablas!#REF!),0)</f>
        <v>0</v>
      </c>
      <c r="AH29" s="15">
        <f ca="1">IFERROR(GETPIVOTDATA("Cuenta de CANT",Tabla9,"PROV",[1]Tablas!$A$27,"SEFIS",AH$16,"CANT",[1]Tablas!#REF!),0)</f>
        <v>0</v>
      </c>
      <c r="AI29" s="15">
        <f ca="1">IFERROR(GETPIVOTDATA("Cuenta de CANT",Tabla9,"PROV",[1]Tablas!$A$27,"SEFIS",AI$16,"CANT",[1]Tablas!#REF!),0)</f>
        <v>0</v>
      </c>
      <c r="AJ29" s="15">
        <f ca="1">IFERROR(GETPIVOTDATA("Cuenta de CANT",Tabla9,"PROV",[1]Tablas!$A$27,"SEFIS",AJ$16,"CANT",[1]Tablas!#REF!),0)</f>
        <v>0</v>
      </c>
      <c r="AK29" s="15">
        <f ca="1">IFERROR(GETPIVOTDATA("Cuenta de CANT",Tabla9,"PROV",[1]Tablas!$A$27,"SEFIS",AK$16,"CANT",[1]Tablas!#REF!),0)</f>
        <v>0</v>
      </c>
      <c r="AL29" s="15">
        <f ca="1">IFERROR(GETPIVOTDATA("Cuenta de CANT",Tabla9,"PROV",[1]Tablas!$A$27,"SEFIS",AL$16,"CANT",[1]Tablas!#REF!),0)</f>
        <v>0</v>
      </c>
      <c r="AM29" s="15">
        <f ca="1">IFERROR(GETPIVOTDATA("Cuenta de CANT",Tabla9,"PROV",[1]Tablas!$A$27,"SEFIS",AM$16,"CANT",[1]Tablas!#REF!),0)</f>
        <v>0</v>
      </c>
      <c r="AN29" s="15">
        <f ca="1">IFERROR(GETPIVOTDATA("Cuenta de CANT",Tabla9,"PROV",[1]Tablas!$A$27,"SEFIS",AN$16,"CANT",[1]Tablas!#REF!),0)</f>
        <v>0</v>
      </c>
      <c r="AO29" s="15">
        <f ca="1">IFERROR(GETPIVOTDATA("Cuenta de CANT",Tabla9,"PROV",[1]Tablas!$A$27,"SEFIS",AO$16,"CANT",[1]Tablas!#REF!),0)</f>
        <v>0</v>
      </c>
      <c r="AP29" s="15">
        <f ca="1">IFERROR(GETPIVOTDATA("Cuenta de CANT",Tabla9,"PROV",[1]Tablas!$A$27,"SEFIS",AP$16,"CANT",[1]Tablas!#REF!),0)</f>
        <v>0</v>
      </c>
      <c r="AQ29" s="15">
        <f ca="1">IFERROR(GETPIVOTDATA("Cuenta de CANT",Tabla9,"PROV",[1]Tablas!$A$27,"SEFIS",AQ$16,"CANT",[1]Tablas!#REF!),0)</f>
        <v>0</v>
      </c>
      <c r="AR29" s="15">
        <f ca="1">IFERROR(GETPIVOTDATA("Cuenta de CANT",Tabla9,"PROV",[1]Tablas!$A$27,"SEFIS",AR$16,"CANT",[1]Tablas!#REF!),0)</f>
        <v>0</v>
      </c>
      <c r="AS29" s="15">
        <f ca="1">IFERROR(GETPIVOTDATA("Cuenta de CANT",Tabla9,"PROV",[1]Tablas!$A$27,"SEFIS",AS$16,"CANT",[1]Tablas!#REF!),0)</f>
        <v>0</v>
      </c>
      <c r="AT29" s="15">
        <f ca="1">IFERROR(GETPIVOTDATA("Cuenta de CANT",Tabla9,"PROV",[1]Tablas!$A$27,"SEFIS",AT$16,"CANT",[1]Tablas!#REF!),0)</f>
        <v>0</v>
      </c>
      <c r="AU29" s="15">
        <f ca="1">IFERROR(GETPIVOTDATA("Cuenta de CANT",Tabla9,"PROV",[1]Tablas!$A$27,"SEFIS",AU$16,"CANT",[1]Tablas!#REF!),0)</f>
        <v>0</v>
      </c>
      <c r="AV29" s="15">
        <f ca="1">IFERROR(GETPIVOTDATA("Cuenta de CANT",Tabla9,"PROV",[1]Tablas!$A$27,"SEFIS",AV$16,"CANT",[1]Tablas!#REF!),0)</f>
        <v>0</v>
      </c>
      <c r="AW29" s="15">
        <f ca="1">IFERROR(GETPIVOTDATA("Cuenta de CANT",Tabla9,"PROV",[1]Tablas!$A$27,"SEFIS",AW$16,"CANT",[1]Tablas!#REF!),0)</f>
        <v>0</v>
      </c>
      <c r="AX29" s="15">
        <f ca="1">IFERROR(GETPIVOTDATA("Cuenta de CANT",Tabla9,"PROV",[1]Tablas!$A$27,"SEFIS",AX$16,"CANT",[1]Tablas!#REF!),0)</f>
        <v>0</v>
      </c>
      <c r="AY29" s="15">
        <f ca="1">IFERROR(GETPIVOTDATA("Cuenta de CANT",Tabla9,"PROV",[1]Tablas!$A$27,"SEFIS",AY$16,"CANT",[1]Tablas!#REF!),0)</f>
        <v>0</v>
      </c>
      <c r="AZ29" s="15">
        <f ca="1">IFERROR(GETPIVOTDATA("Cuenta de CANT",Tabla9,"PROV",[1]Tablas!$A$27,"SEFIS",AZ$16,"CANT",[1]Tablas!#REF!),0)</f>
        <v>0</v>
      </c>
      <c r="BA29" s="15">
        <f ca="1">IFERROR(GETPIVOTDATA("Cuenta de CANT",Tabla9,"PROV",[1]Tablas!$A$27,"SEFIS",BA$16,"CANT",[1]Tablas!#REF!),0)</f>
        <v>0</v>
      </c>
      <c r="BB29" s="15">
        <f ca="1">IFERROR(GETPIVOTDATA("Cuenta de CANT",Tabla9,"PROV",[1]Tablas!$A$27,"SEFIS",BB$16,"CANT",[1]Tablas!#REF!),0)</f>
        <v>0</v>
      </c>
      <c r="BC29" s="15">
        <f ca="1">IFERROR(GETPIVOTDATA("Cuenta de CANT",Tabla9,"PROV",[1]Tablas!$A$27,"SEFIS",BC$16,"CANT",[1]Tablas!#REF!),0)</f>
        <v>0</v>
      </c>
    </row>
    <row r="30" spans="1:55" x14ac:dyDescent="0.35">
      <c r="A30" s="14" t="s">
        <v>27</v>
      </c>
      <c r="B30" s="15">
        <f t="shared" ca="1" si="1"/>
        <v>0</v>
      </c>
      <c r="C30" s="16">
        <f ca="1">IFERROR(B30/[1]Tablas!$B1*100000,"N/D")</f>
        <v>0</v>
      </c>
      <c r="D30" s="15">
        <f ca="1">IFERROR(GETPIVOTDATA("Cuenta de CANT",Tabla9,"PROV",[1]Tablas!$A$27,"SEFIS",D$16,"CANT",[1]Tablas!$A1),0)</f>
        <v>0</v>
      </c>
      <c r="E30" s="15">
        <f ca="1">IFERROR(GETPIVOTDATA("Cuenta de CANT",Tabla9,"PROV",[1]Tablas!$A$27,"SEFIS",E$16,"CANT",[1]Tablas!$A1),0)</f>
        <v>0</v>
      </c>
      <c r="F30" s="15">
        <f ca="1">IFERROR(GETPIVOTDATA("Cuenta de CANT",Tabla9,"PROV",[1]Tablas!$A$27,"SEFIS",F$16,"CANT",[1]Tablas!$A1),0)</f>
        <v>0</v>
      </c>
      <c r="G30" s="15">
        <f ca="1">IFERROR(GETPIVOTDATA("Cuenta de CANT",Tabla9,"PROV",[1]Tablas!$A$27,"SEFIS",G$16,"CANT",[1]Tablas!$A1),0)</f>
        <v>0</v>
      </c>
      <c r="H30" s="15">
        <f ca="1">IFERROR(GETPIVOTDATA("Cuenta de CANT",Tabla9,"PROV",[1]Tablas!$A$27,"SEFIS",H$16,"CANT",[1]Tablas!$A1),0)</f>
        <v>0</v>
      </c>
      <c r="I30" s="15">
        <f ca="1">IFERROR(GETPIVOTDATA("Cuenta de CANT",Tabla9,"PROV",[1]Tablas!$A$27,"SEFIS",I$16,"CANT",[1]Tablas!$A1),0)</f>
        <v>0</v>
      </c>
      <c r="J30" s="15">
        <f ca="1">IFERROR(GETPIVOTDATA("Cuenta de CANT",Tabla9,"PROV",[1]Tablas!$A$27,"SEFIS",J$16,"CANT",[1]Tablas!$A1),0)</f>
        <v>0</v>
      </c>
      <c r="K30" s="15">
        <f ca="1">IFERROR(GETPIVOTDATA("Cuenta de CANT",Tabla9,"PROV",[1]Tablas!$A$27,"SEFIS",K$16,"CANT",[1]Tablas!$A1),0)</f>
        <v>0</v>
      </c>
      <c r="L30" s="15">
        <f ca="1">IFERROR(GETPIVOTDATA("Cuenta de CANT",Tabla9,"PROV",[1]Tablas!$A$27,"SEFIS",L$16,"CANT",[1]Tablas!$A1),0)</f>
        <v>0</v>
      </c>
      <c r="M30" s="15">
        <f ca="1">IFERROR(GETPIVOTDATA("Cuenta de CANT",Tabla9,"PROV",[1]Tablas!$A$27,"SEFIS",M$16,"CANT",[1]Tablas!$A1),0)</f>
        <v>0</v>
      </c>
      <c r="N30" s="15">
        <f ca="1">IFERROR(GETPIVOTDATA("Cuenta de CANT",Tabla9,"PROV",[1]Tablas!$A$27,"SEFIS",N$16,"CANT",[1]Tablas!$A1),0)</f>
        <v>0</v>
      </c>
      <c r="O30" s="15">
        <f ca="1">IFERROR(GETPIVOTDATA("Cuenta de CANT",Tabla9,"PROV",[1]Tablas!$A$27,"SEFIS",O$16,"CANT",[1]Tablas!$A1),0)</f>
        <v>0</v>
      </c>
      <c r="P30" s="15">
        <f ca="1">IFERROR(GETPIVOTDATA("Cuenta de CANT",Tabla9,"PROV",[1]Tablas!$A$27,"SEFIS",P$16,"CANT",[1]Tablas!$A1),0)</f>
        <v>0</v>
      </c>
      <c r="Q30" s="15">
        <f ca="1">IFERROR(GETPIVOTDATA("Cuenta de CANT",Tabla9,"PROV",[1]Tablas!$A$27,"SEFIS",Q$16,"CANT",[1]Tablas!$A1),0)</f>
        <v>0</v>
      </c>
      <c r="R30" s="15">
        <f ca="1">IFERROR(GETPIVOTDATA("Cuenta de CANT",Tabla9,"PROV",[1]Tablas!$A$27,"SEFIS",R$16,"CANT",[1]Tablas!$A1),0)</f>
        <v>0</v>
      </c>
      <c r="S30" s="15">
        <f ca="1">IFERROR(GETPIVOTDATA("Cuenta de CANT",Tabla9,"PROV",[1]Tablas!$A$27,"SEFIS",S$16,"CANT",[1]Tablas!$A1),0)</f>
        <v>0</v>
      </c>
      <c r="T30" s="15">
        <f ca="1">IFERROR(GETPIVOTDATA("Cuenta de CANT",Tabla9,"PROV",[1]Tablas!$A$27,"SEFIS",T$16,"CANT",[1]Tablas!$A1),0)</f>
        <v>0</v>
      </c>
      <c r="U30" s="15">
        <f ca="1">IFERROR(GETPIVOTDATA("Cuenta de CANT",Tabla9,"PROV",[1]Tablas!$A$27,"SEFIS",U$16,"CANT",[1]Tablas!$A1),0)</f>
        <v>0</v>
      </c>
      <c r="V30" s="15">
        <f ca="1">IFERROR(GETPIVOTDATA("Cuenta de CANT",Tabla9,"PROV",[1]Tablas!$A$27,"SEFIS",V$16,"CANT",[1]Tablas!$A1),0)</f>
        <v>0</v>
      </c>
      <c r="W30" s="15">
        <f ca="1">IFERROR(GETPIVOTDATA("Cuenta de CANT",Tabla9,"PROV",[1]Tablas!$A$27,"SEFIS",W$16,"CANT",[1]Tablas!$A1),0)</f>
        <v>0</v>
      </c>
      <c r="X30" s="15">
        <f ca="1">IFERROR(GETPIVOTDATA("Cuenta de CANT",Tabla9,"PROV",[1]Tablas!$A$27,"SEFIS",X$16,"CANT",[1]Tablas!$A1),0)</f>
        <v>0</v>
      </c>
      <c r="Y30" s="15">
        <f ca="1">IFERROR(GETPIVOTDATA("Cuenta de CANT",Tabla9,"PROV",[1]Tablas!$A$27,"SEFIS",Y$16,"CANT",[1]Tablas!$A1),0)</f>
        <v>0</v>
      </c>
      <c r="Z30" s="15">
        <f ca="1">IFERROR(GETPIVOTDATA("Cuenta de CANT",Tabla9,"PROV",[1]Tablas!$A$27,"SEFIS",Z$16,"CANT",[1]Tablas!$A1),0)</f>
        <v>0</v>
      </c>
      <c r="AA30" s="15">
        <f ca="1">IFERROR(GETPIVOTDATA("Cuenta de CANT",Tabla9,"PROV",[1]Tablas!$A$27,"SEFIS",AA$16,"CANT",[1]Tablas!$A1),0)</f>
        <v>0</v>
      </c>
      <c r="AB30" s="15">
        <f ca="1">IFERROR(GETPIVOTDATA("Cuenta de CANT",Tabla9,"PROV",[1]Tablas!$A$27,"SEFIS",AB$16,"CANT",[1]Tablas!$A1),0)</f>
        <v>0</v>
      </c>
      <c r="AC30" s="15">
        <f ca="1">IFERROR(GETPIVOTDATA("Cuenta de CANT",Tabla9,"PROV",[1]Tablas!$A$27,"SEFIS",AC$16,"CANT",[1]Tablas!$A1),0)</f>
        <v>0</v>
      </c>
      <c r="AD30" s="15">
        <f ca="1">IFERROR(GETPIVOTDATA("Cuenta de CANT",Tabla9,"PROV",[1]Tablas!$A$27,"SEFIS",AD$16,"CANT",[1]Tablas!$A1),0)</f>
        <v>0</v>
      </c>
      <c r="AE30" s="15">
        <f ca="1">IFERROR(GETPIVOTDATA("Cuenta de CANT",Tabla9,"PROV",[1]Tablas!$A$27,"SEFIS",AE$16,"CANT",[1]Tablas!$A1),0)</f>
        <v>0</v>
      </c>
      <c r="AF30" s="15">
        <f ca="1">IFERROR(GETPIVOTDATA("Cuenta de CANT",Tabla9,"PROV",[1]Tablas!$A$27,"SEFIS",AF$16,"CANT",[1]Tablas!$A1),0)</f>
        <v>0</v>
      </c>
      <c r="AG30" s="15">
        <f ca="1">IFERROR(GETPIVOTDATA("Cuenta de CANT",Tabla9,"PROV",[1]Tablas!$A$27,"SEFIS",AG$16,"CANT",[1]Tablas!$A1),0)</f>
        <v>0</v>
      </c>
      <c r="AH30" s="15">
        <f ca="1">IFERROR(GETPIVOTDATA("Cuenta de CANT",Tabla9,"PROV",[1]Tablas!$A$27,"SEFIS",AH$16,"CANT",[1]Tablas!$A1),0)</f>
        <v>0</v>
      </c>
      <c r="AI30" s="15">
        <f ca="1">IFERROR(GETPIVOTDATA("Cuenta de CANT",Tabla9,"PROV",[1]Tablas!$A$27,"SEFIS",AI$16,"CANT",[1]Tablas!$A1),0)</f>
        <v>0</v>
      </c>
      <c r="AJ30" s="15">
        <f ca="1">IFERROR(GETPIVOTDATA("Cuenta de CANT",Tabla9,"PROV",[1]Tablas!$A$27,"SEFIS",AJ$16,"CANT",[1]Tablas!$A1),0)</f>
        <v>0</v>
      </c>
      <c r="AK30" s="15">
        <f ca="1">IFERROR(GETPIVOTDATA("Cuenta de CANT",Tabla9,"PROV",[1]Tablas!$A$27,"SEFIS",AK$16,"CANT",[1]Tablas!$A1),0)</f>
        <v>0</v>
      </c>
      <c r="AL30" s="15">
        <f ca="1">IFERROR(GETPIVOTDATA("Cuenta de CANT",Tabla9,"PROV",[1]Tablas!$A$27,"SEFIS",AL$16,"CANT",[1]Tablas!$A1),0)</f>
        <v>0</v>
      </c>
      <c r="AM30" s="15">
        <f ca="1">IFERROR(GETPIVOTDATA("Cuenta de CANT",Tabla9,"PROV",[1]Tablas!$A$27,"SEFIS",AM$16,"CANT",[1]Tablas!$A1),0)</f>
        <v>0</v>
      </c>
      <c r="AN30" s="15">
        <f ca="1">IFERROR(GETPIVOTDATA("Cuenta de CANT",Tabla9,"PROV",[1]Tablas!$A$27,"SEFIS",AN$16,"CANT",[1]Tablas!$A1),0)</f>
        <v>0</v>
      </c>
      <c r="AO30" s="15">
        <f ca="1">IFERROR(GETPIVOTDATA("Cuenta de CANT",Tabla9,"PROV",[1]Tablas!$A$27,"SEFIS",AO$16,"CANT",[1]Tablas!$A1),0)</f>
        <v>0</v>
      </c>
      <c r="AP30" s="15">
        <f ca="1">IFERROR(GETPIVOTDATA("Cuenta de CANT",Tabla9,"PROV",[1]Tablas!$A$27,"SEFIS",AP$16,"CANT",[1]Tablas!$A1),0)</f>
        <v>0</v>
      </c>
      <c r="AQ30" s="15">
        <f ca="1">IFERROR(GETPIVOTDATA("Cuenta de CANT",Tabla9,"PROV",[1]Tablas!$A$27,"SEFIS",AQ$16,"CANT",[1]Tablas!$A1),0)</f>
        <v>0</v>
      </c>
      <c r="AR30" s="15">
        <f ca="1">IFERROR(GETPIVOTDATA("Cuenta de CANT",Tabla9,"PROV",[1]Tablas!$A$27,"SEFIS",AR$16,"CANT",[1]Tablas!$A1),0)</f>
        <v>0</v>
      </c>
      <c r="AS30" s="15">
        <f ca="1">IFERROR(GETPIVOTDATA("Cuenta de CANT",Tabla9,"PROV",[1]Tablas!$A$27,"SEFIS",AS$16,"CANT",[1]Tablas!$A1),0)</f>
        <v>0</v>
      </c>
      <c r="AT30" s="15">
        <f ca="1">IFERROR(GETPIVOTDATA("Cuenta de CANT",Tabla9,"PROV",[1]Tablas!$A$27,"SEFIS",AT$16,"CANT",[1]Tablas!$A1),0)</f>
        <v>0</v>
      </c>
      <c r="AU30" s="15">
        <f ca="1">IFERROR(GETPIVOTDATA("Cuenta de CANT",Tabla9,"PROV",[1]Tablas!$A$27,"SEFIS",AU$16,"CANT",[1]Tablas!$A1),0)</f>
        <v>0</v>
      </c>
      <c r="AV30" s="15">
        <f ca="1">IFERROR(GETPIVOTDATA("Cuenta de CANT",Tabla9,"PROV",[1]Tablas!$A$27,"SEFIS",AV$16,"CANT",[1]Tablas!$A1),0)</f>
        <v>0</v>
      </c>
      <c r="AW30" s="15">
        <f ca="1">IFERROR(GETPIVOTDATA("Cuenta de CANT",Tabla9,"PROV",[1]Tablas!$A$27,"SEFIS",AW$16,"CANT",[1]Tablas!$A1),0)</f>
        <v>0</v>
      </c>
      <c r="AX30" s="15">
        <f ca="1">IFERROR(GETPIVOTDATA("Cuenta de CANT",Tabla9,"PROV",[1]Tablas!$A$27,"SEFIS",AX$16,"CANT",[1]Tablas!$A1),0)</f>
        <v>0</v>
      </c>
      <c r="AY30" s="15">
        <f ca="1">IFERROR(GETPIVOTDATA("Cuenta de CANT",Tabla9,"PROV",[1]Tablas!$A$27,"SEFIS",AY$16,"CANT",[1]Tablas!$A1),0)</f>
        <v>0</v>
      </c>
      <c r="AZ30" s="15">
        <f ca="1">IFERROR(GETPIVOTDATA("Cuenta de CANT",Tabla9,"PROV",[1]Tablas!$A$27,"SEFIS",AZ$16,"CANT",[1]Tablas!$A1),0)</f>
        <v>0</v>
      </c>
      <c r="BA30" s="15">
        <f ca="1">IFERROR(GETPIVOTDATA("Cuenta de CANT",Tabla9,"PROV",[1]Tablas!$A$27,"SEFIS",BA$16,"CANT",[1]Tablas!$A1),0)</f>
        <v>0</v>
      </c>
      <c r="BB30" s="15">
        <f ca="1">IFERROR(GETPIVOTDATA("Cuenta de CANT",Tabla9,"PROV",[1]Tablas!$A$27,"SEFIS",BB$16,"CANT",[1]Tablas!$A1),0)</f>
        <v>0</v>
      </c>
      <c r="BC30" s="15">
        <f ca="1">IFERROR(GETPIVOTDATA("Cuenta de CANT",Tabla9,"PROV",[1]Tablas!$A$27,"SEFIS",BC$16,"CANT",[1]Tablas!$A1),0)</f>
        <v>0</v>
      </c>
    </row>
    <row r="31" spans="1:55" x14ac:dyDescent="0.35">
      <c r="A31" s="14" t="s">
        <v>28</v>
      </c>
      <c r="B31" s="15">
        <f t="shared" ca="1" si="1"/>
        <v>13</v>
      </c>
      <c r="C31" s="16">
        <f ca="1">IFERROR(B31/[1]Tablas!$B2*100000,"N/D")</f>
        <v>16.59623903690748</v>
      </c>
      <c r="D31" s="15">
        <f ca="1">IFERROR(GETPIVOTDATA("Cuenta de CANT",Tabla9,"PROV",[1]Tablas!$A$27,"SEFIS",D$16,"CANT",[1]Tablas!$A2),0)</f>
        <v>0</v>
      </c>
      <c r="E31" s="15">
        <f ca="1">IFERROR(GETPIVOTDATA("Cuenta de CANT",Tabla9,"PROV",[1]Tablas!$A$27,"SEFIS",E$16,"CANT",[1]Tablas!$A2),0)</f>
        <v>0</v>
      </c>
      <c r="F31" s="15">
        <f ca="1">IFERROR(GETPIVOTDATA("Cuenta de CANT",Tabla9,"PROV",[1]Tablas!$A$27,"SEFIS",F$16,"CANT",[1]Tablas!$A2),0)</f>
        <v>0</v>
      </c>
      <c r="G31" s="15">
        <f ca="1">IFERROR(GETPIVOTDATA("Cuenta de CANT",Tabla9,"PROV",[1]Tablas!$A$27,"SEFIS",G$16,"CANT",[1]Tablas!$A2),0)</f>
        <v>0</v>
      </c>
      <c r="H31" s="15">
        <f ca="1">IFERROR(GETPIVOTDATA("Cuenta de CANT",Tabla9,"PROV",[1]Tablas!$A$27,"SEFIS",H$16,"CANT",[1]Tablas!$A2),0)</f>
        <v>0</v>
      </c>
      <c r="I31" s="15">
        <f ca="1">IFERROR(GETPIVOTDATA("Cuenta de CANT",Tabla9,"PROV",[1]Tablas!$A$27,"SEFIS",I$16,"CANT",[1]Tablas!$A2),0)</f>
        <v>0</v>
      </c>
      <c r="J31" s="15">
        <f ca="1">IFERROR(GETPIVOTDATA("Cuenta de CANT",Tabla9,"PROV",[1]Tablas!$A$27,"SEFIS",J$16,"CANT",[1]Tablas!$A2),0)</f>
        <v>0</v>
      </c>
      <c r="K31" s="15">
        <f ca="1">IFERROR(GETPIVOTDATA("Cuenta de CANT",Tabla9,"PROV",[1]Tablas!$A$27,"SEFIS",K$16,"CANT",[1]Tablas!$A2),0)</f>
        <v>0</v>
      </c>
      <c r="L31" s="15">
        <f ca="1">IFERROR(GETPIVOTDATA("Cuenta de CANT",Tabla9,"PROV",[1]Tablas!$A$27,"SEFIS",L$16,"CANT",[1]Tablas!$A2),0)</f>
        <v>0</v>
      </c>
      <c r="M31" s="15">
        <f ca="1">IFERROR(GETPIVOTDATA("Cuenta de CANT",Tabla9,"PROV",[1]Tablas!$A$27,"SEFIS",M$16,"CANT",[1]Tablas!$A2),0)</f>
        <v>0</v>
      </c>
      <c r="N31" s="15">
        <f ca="1">IFERROR(GETPIVOTDATA("Cuenta de CANT",Tabla9,"PROV",[1]Tablas!$A$27,"SEFIS",N$16,"CANT",[1]Tablas!$A2),0)</f>
        <v>0</v>
      </c>
      <c r="O31" s="15">
        <f ca="1">IFERROR(GETPIVOTDATA("Cuenta de CANT",Tabla9,"PROV",[1]Tablas!$A$27,"SEFIS",O$16,"CANT",[1]Tablas!$A2),0)</f>
        <v>1</v>
      </c>
      <c r="P31" s="15">
        <f ca="1">IFERROR(GETPIVOTDATA("Cuenta de CANT",Tabla9,"PROV",[1]Tablas!$A$27,"SEFIS",P$16,"CANT",[1]Tablas!$A2),0)</f>
        <v>0</v>
      </c>
      <c r="Q31" s="15">
        <f ca="1">IFERROR(GETPIVOTDATA("Cuenta de CANT",Tabla9,"PROV",[1]Tablas!$A$27,"SEFIS",Q$16,"CANT",[1]Tablas!$A2),0)</f>
        <v>0</v>
      </c>
      <c r="R31" s="15">
        <f ca="1">IFERROR(GETPIVOTDATA("Cuenta de CANT",Tabla9,"PROV",[1]Tablas!$A$27,"SEFIS",R$16,"CANT",[1]Tablas!$A2),0)</f>
        <v>1</v>
      </c>
      <c r="S31" s="15">
        <f ca="1">IFERROR(GETPIVOTDATA("Cuenta de CANT",Tabla9,"PROV",[1]Tablas!$A$27,"SEFIS",S$16,"CANT",[1]Tablas!$A2),0)</f>
        <v>0</v>
      </c>
      <c r="T31" s="15">
        <f ca="1">IFERROR(GETPIVOTDATA("Cuenta de CANT",Tabla9,"PROV",[1]Tablas!$A$27,"SEFIS",T$16,"CANT",[1]Tablas!$A2),0)</f>
        <v>0</v>
      </c>
      <c r="U31" s="15">
        <f ca="1">IFERROR(GETPIVOTDATA("Cuenta de CANT",Tabla9,"PROV",[1]Tablas!$A$27,"SEFIS",U$16,"CANT",[1]Tablas!$A2),0)</f>
        <v>0</v>
      </c>
      <c r="V31" s="15">
        <f ca="1">IFERROR(GETPIVOTDATA("Cuenta de CANT",Tabla9,"PROV",[1]Tablas!$A$27,"SEFIS",V$16,"CANT",[1]Tablas!$A2),0)</f>
        <v>1</v>
      </c>
      <c r="W31" s="15">
        <f ca="1">IFERROR(GETPIVOTDATA("Cuenta de CANT",Tabla9,"PROV",[1]Tablas!$A$27,"SEFIS",W$16,"CANT",[1]Tablas!$A2),0)</f>
        <v>1</v>
      </c>
      <c r="X31" s="15">
        <f ca="1">IFERROR(GETPIVOTDATA("Cuenta de CANT",Tabla9,"PROV",[1]Tablas!$A$27,"SEFIS",X$16,"CANT",[1]Tablas!$A2),0)</f>
        <v>1</v>
      </c>
      <c r="Y31" s="15">
        <f ca="1">IFERROR(GETPIVOTDATA("Cuenta de CANT",Tabla9,"PROV",[1]Tablas!$A$27,"SEFIS",Y$16,"CANT",[1]Tablas!$A2),0)</f>
        <v>0</v>
      </c>
      <c r="Z31" s="15">
        <f ca="1">IFERROR(GETPIVOTDATA("Cuenta de CANT",Tabla9,"PROV",[1]Tablas!$A$27,"SEFIS",Z$16,"CANT",[1]Tablas!$A2),0)</f>
        <v>1</v>
      </c>
      <c r="AA31" s="15">
        <f ca="1">IFERROR(GETPIVOTDATA("Cuenta de CANT",Tabla9,"PROV",[1]Tablas!$A$27,"SEFIS",AA$16,"CANT",[1]Tablas!$A2),0)</f>
        <v>0</v>
      </c>
      <c r="AB31" s="15">
        <f ca="1">IFERROR(GETPIVOTDATA("Cuenta de CANT",Tabla9,"PROV",[1]Tablas!$A$27,"SEFIS",AB$16,"CANT",[1]Tablas!$A2),0)</f>
        <v>1</v>
      </c>
      <c r="AC31" s="15">
        <f ca="1">IFERROR(GETPIVOTDATA("Cuenta de CANT",Tabla9,"PROV",[1]Tablas!$A$27,"SEFIS",AC$16,"CANT",[1]Tablas!$A2),0)</f>
        <v>0</v>
      </c>
      <c r="AD31" s="15">
        <f ca="1">IFERROR(GETPIVOTDATA("Cuenta de CANT",Tabla9,"PROV",[1]Tablas!$A$27,"SEFIS",AD$16,"CANT",[1]Tablas!$A2),0)</f>
        <v>0</v>
      </c>
      <c r="AE31" s="15">
        <f ca="1">IFERROR(GETPIVOTDATA("Cuenta de CANT",Tabla9,"PROV",[1]Tablas!$A$27,"SEFIS",AE$16,"CANT",[1]Tablas!$A2),0)</f>
        <v>0</v>
      </c>
      <c r="AF31" s="15">
        <f ca="1">IFERROR(GETPIVOTDATA("Cuenta de CANT",Tabla9,"PROV",[1]Tablas!$A$27,"SEFIS",AF$16,"CANT",[1]Tablas!$A2),0)</f>
        <v>0</v>
      </c>
      <c r="AG31" s="15">
        <f ca="1">IFERROR(GETPIVOTDATA("Cuenta de CANT",Tabla9,"PROV",[1]Tablas!$A$27,"SEFIS",AG$16,"CANT",[1]Tablas!$A2),0)</f>
        <v>0</v>
      </c>
      <c r="AH31" s="15">
        <f ca="1">IFERROR(GETPIVOTDATA("Cuenta de CANT",Tabla9,"PROV",[1]Tablas!$A$27,"SEFIS",AH$16,"CANT",[1]Tablas!$A2),0)</f>
        <v>0</v>
      </c>
      <c r="AI31" s="15">
        <f ca="1">IFERROR(GETPIVOTDATA("Cuenta de CANT",Tabla9,"PROV",[1]Tablas!$A$27,"SEFIS",AI$16,"CANT",[1]Tablas!$A2),0)</f>
        <v>0</v>
      </c>
      <c r="AJ31" s="15">
        <f ca="1">IFERROR(GETPIVOTDATA("Cuenta de CANT",Tabla9,"PROV",[1]Tablas!$A$27,"SEFIS",AJ$16,"CANT",[1]Tablas!$A2),0)</f>
        <v>0</v>
      </c>
      <c r="AK31" s="15">
        <f ca="1">IFERROR(GETPIVOTDATA("Cuenta de CANT",Tabla9,"PROV",[1]Tablas!$A$27,"SEFIS",AK$16,"CANT",[1]Tablas!$A2),0)</f>
        <v>0</v>
      </c>
      <c r="AL31" s="15">
        <f ca="1">IFERROR(GETPIVOTDATA("Cuenta de CANT",Tabla9,"PROV",[1]Tablas!$A$27,"SEFIS",AL$16,"CANT",[1]Tablas!$A2),0)</f>
        <v>0</v>
      </c>
      <c r="AM31" s="15">
        <f ca="1">IFERROR(GETPIVOTDATA("Cuenta de CANT",Tabla9,"PROV",[1]Tablas!$A$27,"SEFIS",AM$16,"CANT",[1]Tablas!$A2),0)</f>
        <v>0</v>
      </c>
      <c r="AN31" s="15">
        <f ca="1">IFERROR(GETPIVOTDATA("Cuenta de CANT",Tabla9,"PROV",[1]Tablas!$A$27,"SEFIS",AN$16,"CANT",[1]Tablas!$A2),0)</f>
        <v>2</v>
      </c>
      <c r="AO31" s="15">
        <f ca="1">IFERROR(GETPIVOTDATA("Cuenta de CANT",Tabla9,"PROV",[1]Tablas!$A$27,"SEFIS",AO$16,"CANT",[1]Tablas!$A2),0)</f>
        <v>0</v>
      </c>
      <c r="AP31" s="15">
        <f ca="1">IFERROR(GETPIVOTDATA("Cuenta de CANT",Tabla9,"PROV",[1]Tablas!$A$27,"SEFIS",AP$16,"CANT",[1]Tablas!$A2),0)</f>
        <v>0</v>
      </c>
      <c r="AQ31" s="15">
        <f ca="1">IFERROR(GETPIVOTDATA("Cuenta de CANT",Tabla9,"PROV",[1]Tablas!$A$27,"SEFIS",AQ$16,"CANT",[1]Tablas!$A2),0)</f>
        <v>1</v>
      </c>
      <c r="AR31" s="15">
        <f ca="1">IFERROR(GETPIVOTDATA("Cuenta de CANT",Tabla9,"PROV",[1]Tablas!$A$27,"SEFIS",AR$16,"CANT",[1]Tablas!$A2),0)</f>
        <v>1</v>
      </c>
      <c r="AS31" s="15">
        <f ca="1">IFERROR(GETPIVOTDATA("Cuenta de CANT",Tabla9,"PROV",[1]Tablas!$A$27,"SEFIS",AS$16,"CANT",[1]Tablas!$A2),0)</f>
        <v>0</v>
      </c>
      <c r="AT31" s="15">
        <f ca="1">IFERROR(GETPIVOTDATA("Cuenta de CANT",Tabla9,"PROV",[1]Tablas!$A$27,"SEFIS",AT$16,"CANT",[1]Tablas!$A2),0)</f>
        <v>0</v>
      </c>
      <c r="AU31" s="15">
        <f ca="1">IFERROR(GETPIVOTDATA("Cuenta de CANT",Tabla9,"PROV",[1]Tablas!$A$27,"SEFIS",AU$16,"CANT",[1]Tablas!$A2),0)</f>
        <v>0</v>
      </c>
      <c r="AV31" s="15">
        <f ca="1">IFERROR(GETPIVOTDATA("Cuenta de CANT",Tabla9,"PROV",[1]Tablas!$A$27,"SEFIS",AV$16,"CANT",[1]Tablas!$A2),0)</f>
        <v>0</v>
      </c>
      <c r="AW31" s="15">
        <f ca="1">IFERROR(GETPIVOTDATA("Cuenta de CANT",Tabla9,"PROV",[1]Tablas!$A$27,"SEFIS",AW$16,"CANT",[1]Tablas!$A2),0)</f>
        <v>1</v>
      </c>
      <c r="AX31" s="15">
        <f ca="1">IFERROR(GETPIVOTDATA("Cuenta de CANT",Tabla9,"PROV",[1]Tablas!$A$27,"SEFIS",AX$16,"CANT",[1]Tablas!$A2),0)</f>
        <v>0</v>
      </c>
      <c r="AY31" s="15">
        <f ca="1">IFERROR(GETPIVOTDATA("Cuenta de CANT",Tabla9,"PROV",[1]Tablas!$A$27,"SEFIS",AY$16,"CANT",[1]Tablas!$A2),0)</f>
        <v>0</v>
      </c>
      <c r="AZ31" s="15">
        <f ca="1">IFERROR(GETPIVOTDATA("Cuenta de CANT",Tabla9,"PROV",[1]Tablas!$A$27,"SEFIS",AZ$16,"CANT",[1]Tablas!$A2),0)</f>
        <v>0</v>
      </c>
      <c r="BA31" s="15">
        <f ca="1">IFERROR(GETPIVOTDATA("Cuenta de CANT",Tabla9,"PROV",[1]Tablas!$A$27,"SEFIS",BA$16,"CANT",[1]Tablas!$A2),0)</f>
        <v>0</v>
      </c>
      <c r="BB31" s="15">
        <f ca="1">IFERROR(GETPIVOTDATA("Cuenta de CANT",Tabla9,"PROV",[1]Tablas!$A$27,"SEFIS",BB$16,"CANT",[1]Tablas!$A2),0)</f>
        <v>1</v>
      </c>
      <c r="BC31" s="15">
        <f ca="1">IFERROR(GETPIVOTDATA("Cuenta de CANT",Tabla9,"PROV",[1]Tablas!$A$27,"SEFIS",BC$16,"CANT",[1]Tablas!$A2),0)</f>
        <v>0</v>
      </c>
    </row>
    <row r="32" spans="1:55" x14ac:dyDescent="0.35">
      <c r="A32" s="14" t="s">
        <v>29</v>
      </c>
      <c r="B32" s="15">
        <f t="shared" ca="1" si="1"/>
        <v>85</v>
      </c>
      <c r="C32" s="16">
        <f ca="1">IFERROR(B32/[1]Tablas!$B3*100000,"N/D")</f>
        <v>59.528395044436195</v>
      </c>
      <c r="D32" s="15">
        <f ca="1">IFERROR(GETPIVOTDATA("Cuenta de CANT",Tabla9,"PROV",[1]Tablas!$A$27,"SEFIS",D$16,"CANT",[1]Tablas!$A3),0)</f>
        <v>0</v>
      </c>
      <c r="E32" s="15">
        <f ca="1">IFERROR(GETPIVOTDATA("Cuenta de CANT",Tabla9,"PROV",[1]Tablas!$A$27,"SEFIS",E$16,"CANT",[1]Tablas!$A3),0)</f>
        <v>2</v>
      </c>
      <c r="F32" s="15">
        <f ca="1">IFERROR(GETPIVOTDATA("Cuenta de CANT",Tabla9,"PROV",[1]Tablas!$A$27,"SEFIS",F$16,"CANT",[1]Tablas!$A3),0)</f>
        <v>5</v>
      </c>
      <c r="G32" s="15">
        <f ca="1">IFERROR(GETPIVOTDATA("Cuenta de CANT",Tabla9,"PROV",[1]Tablas!$A$27,"SEFIS",G$16,"CANT",[1]Tablas!$A3),0)</f>
        <v>5</v>
      </c>
      <c r="H32" s="15">
        <f ca="1">IFERROR(GETPIVOTDATA("Cuenta de CANT",Tabla9,"PROV",[1]Tablas!$A$27,"SEFIS",H$16,"CANT",[1]Tablas!$A3),0)</f>
        <v>0</v>
      </c>
      <c r="I32" s="15">
        <f ca="1">IFERROR(GETPIVOTDATA("Cuenta de CANT",Tabla9,"PROV",[1]Tablas!$A$27,"SEFIS",I$16,"CANT",[1]Tablas!$A3),0)</f>
        <v>2</v>
      </c>
      <c r="J32" s="15">
        <f ca="1">IFERROR(GETPIVOTDATA("Cuenta de CANT",Tabla9,"PROV",[1]Tablas!$A$27,"SEFIS",J$16,"CANT",[1]Tablas!$A3),0)</f>
        <v>0</v>
      </c>
      <c r="K32" s="15">
        <f ca="1">IFERROR(GETPIVOTDATA("Cuenta de CANT",Tabla9,"PROV",[1]Tablas!$A$27,"SEFIS",K$16,"CANT",[1]Tablas!$A3),0)</f>
        <v>0</v>
      </c>
      <c r="L32" s="15">
        <f ca="1">IFERROR(GETPIVOTDATA("Cuenta de CANT",Tabla9,"PROV",[1]Tablas!$A$27,"SEFIS",L$16,"CANT",[1]Tablas!$A3),0)</f>
        <v>2</v>
      </c>
      <c r="M32" s="15">
        <f ca="1">IFERROR(GETPIVOTDATA("Cuenta de CANT",Tabla9,"PROV",[1]Tablas!$A$27,"SEFIS",M$16,"CANT",[1]Tablas!$A3),0)</f>
        <v>1</v>
      </c>
      <c r="N32" s="15">
        <f ca="1">IFERROR(GETPIVOTDATA("Cuenta de CANT",Tabla9,"PROV",[1]Tablas!$A$27,"SEFIS",N$16,"CANT",[1]Tablas!$A3),0)</f>
        <v>1</v>
      </c>
      <c r="O32" s="15">
        <f ca="1">IFERROR(GETPIVOTDATA("Cuenta de CANT",Tabla9,"PROV",[1]Tablas!$A$27,"SEFIS",O$16,"CANT",[1]Tablas!$A3),0)</f>
        <v>1</v>
      </c>
      <c r="P32" s="15">
        <f ca="1">IFERROR(GETPIVOTDATA("Cuenta de CANT",Tabla9,"PROV",[1]Tablas!$A$27,"SEFIS",P$16,"CANT",[1]Tablas!$A3),0)</f>
        <v>2</v>
      </c>
      <c r="Q32" s="15">
        <f ca="1">IFERROR(GETPIVOTDATA("Cuenta de CANT",Tabla9,"PROV",[1]Tablas!$A$27,"SEFIS",Q$16,"CANT",[1]Tablas!$A3),0)</f>
        <v>2</v>
      </c>
      <c r="R32" s="15">
        <f ca="1">IFERROR(GETPIVOTDATA("Cuenta de CANT",Tabla9,"PROV",[1]Tablas!$A$27,"SEFIS",R$16,"CANT",[1]Tablas!$A3),0)</f>
        <v>2</v>
      </c>
      <c r="S32" s="15">
        <f ca="1">IFERROR(GETPIVOTDATA("Cuenta de CANT",Tabla9,"PROV",[1]Tablas!$A$27,"SEFIS",S$16,"CANT",[1]Tablas!$A3),0)</f>
        <v>0</v>
      </c>
      <c r="T32" s="15">
        <f ca="1">IFERROR(GETPIVOTDATA("Cuenta de CANT",Tabla9,"PROV",[1]Tablas!$A$27,"SEFIS",T$16,"CANT",[1]Tablas!$A3),0)</f>
        <v>4</v>
      </c>
      <c r="U32" s="15">
        <f ca="1">IFERROR(GETPIVOTDATA("Cuenta de CANT",Tabla9,"PROV",[1]Tablas!$A$27,"SEFIS",U$16,"CANT",[1]Tablas!$A3),0)</f>
        <v>0</v>
      </c>
      <c r="V32" s="15">
        <f ca="1">IFERROR(GETPIVOTDATA("Cuenta de CANT",Tabla9,"PROV",[1]Tablas!$A$27,"SEFIS",V$16,"CANT",[1]Tablas!$A3),0)</f>
        <v>2</v>
      </c>
      <c r="W32" s="15">
        <f ca="1">IFERROR(GETPIVOTDATA("Cuenta de CANT",Tabla9,"PROV",[1]Tablas!$A$27,"SEFIS",W$16,"CANT",[1]Tablas!$A3),0)</f>
        <v>1</v>
      </c>
      <c r="X32" s="15">
        <f ca="1">IFERROR(GETPIVOTDATA("Cuenta de CANT",Tabla9,"PROV",[1]Tablas!$A$27,"SEFIS",X$16,"CANT",[1]Tablas!$A3),0)</f>
        <v>0</v>
      </c>
      <c r="Y32" s="15">
        <f ca="1">IFERROR(GETPIVOTDATA("Cuenta de CANT",Tabla9,"PROV",[1]Tablas!$A$27,"SEFIS",Y$16,"CANT",[1]Tablas!$A3),0)</f>
        <v>1</v>
      </c>
      <c r="Z32" s="15">
        <f ca="1">IFERROR(GETPIVOTDATA("Cuenta de CANT",Tabla9,"PROV",[1]Tablas!$A$27,"SEFIS",Z$16,"CANT",[1]Tablas!$A3),0)</f>
        <v>2</v>
      </c>
      <c r="AA32" s="15">
        <f ca="1">IFERROR(GETPIVOTDATA("Cuenta de CANT",Tabla9,"PROV",[1]Tablas!$A$27,"SEFIS",AA$16,"CANT",[1]Tablas!$A3),0)</f>
        <v>4</v>
      </c>
      <c r="AB32" s="15">
        <f ca="1">IFERROR(GETPIVOTDATA("Cuenta de CANT",Tabla9,"PROV",[1]Tablas!$A$27,"SEFIS",AB$16,"CANT",[1]Tablas!$A3),0)</f>
        <v>0</v>
      </c>
      <c r="AC32" s="15">
        <f ca="1">IFERROR(GETPIVOTDATA("Cuenta de CANT",Tabla9,"PROV",[1]Tablas!$A$27,"SEFIS",AC$16,"CANT",[1]Tablas!$A3),0)</f>
        <v>0</v>
      </c>
      <c r="AD32" s="15">
        <f ca="1">IFERROR(GETPIVOTDATA("Cuenta de CANT",Tabla9,"PROV",[1]Tablas!$A$27,"SEFIS",AD$16,"CANT",[1]Tablas!$A3),0)</f>
        <v>0</v>
      </c>
      <c r="AE32" s="15">
        <f ca="1">IFERROR(GETPIVOTDATA("Cuenta de CANT",Tabla9,"PROV",[1]Tablas!$A$27,"SEFIS",AE$16,"CANT",[1]Tablas!$A3),0)</f>
        <v>1</v>
      </c>
      <c r="AF32" s="15">
        <f ca="1">IFERROR(GETPIVOTDATA("Cuenta de CANT",Tabla9,"PROV",[1]Tablas!$A$27,"SEFIS",AF$16,"CANT",[1]Tablas!$A3),0)</f>
        <v>0</v>
      </c>
      <c r="AG32" s="15">
        <f ca="1">IFERROR(GETPIVOTDATA("Cuenta de CANT",Tabla9,"PROV",[1]Tablas!$A$27,"SEFIS",AG$16,"CANT",[1]Tablas!$A3),0)</f>
        <v>0</v>
      </c>
      <c r="AH32" s="15">
        <f ca="1">IFERROR(GETPIVOTDATA("Cuenta de CANT",Tabla9,"PROV",[1]Tablas!$A$27,"SEFIS",AH$16,"CANT",[1]Tablas!$A3),0)</f>
        <v>1</v>
      </c>
      <c r="AI32" s="15">
        <f ca="1">IFERROR(GETPIVOTDATA("Cuenta de CANT",Tabla9,"PROV",[1]Tablas!$A$27,"SEFIS",AI$16,"CANT",[1]Tablas!$A3),0)</f>
        <v>4</v>
      </c>
      <c r="AJ32" s="15">
        <f ca="1">IFERROR(GETPIVOTDATA("Cuenta de CANT",Tabla9,"PROV",[1]Tablas!$A$27,"SEFIS",AJ$16,"CANT",[1]Tablas!$A3),0)</f>
        <v>0</v>
      </c>
      <c r="AK32" s="15">
        <f ca="1">IFERROR(GETPIVOTDATA("Cuenta de CANT",Tabla9,"PROV",[1]Tablas!$A$27,"SEFIS",AK$16,"CANT",[1]Tablas!$A3),0)</f>
        <v>2</v>
      </c>
      <c r="AL32" s="15">
        <f ca="1">IFERROR(GETPIVOTDATA("Cuenta de CANT",Tabla9,"PROV",[1]Tablas!$A$27,"SEFIS",AL$16,"CANT",[1]Tablas!$A3),0)</f>
        <v>0</v>
      </c>
      <c r="AM32" s="15">
        <f ca="1">IFERROR(GETPIVOTDATA("Cuenta de CANT",Tabla9,"PROV",[1]Tablas!$A$27,"SEFIS",AM$16,"CANT",[1]Tablas!$A3),0)</f>
        <v>0</v>
      </c>
      <c r="AN32" s="15">
        <f ca="1">IFERROR(GETPIVOTDATA("Cuenta de CANT",Tabla9,"PROV",[1]Tablas!$A$27,"SEFIS",AN$16,"CANT",[1]Tablas!$A3),0)</f>
        <v>1</v>
      </c>
      <c r="AO32" s="15">
        <f ca="1">IFERROR(GETPIVOTDATA("Cuenta de CANT",Tabla9,"PROV",[1]Tablas!$A$27,"SEFIS",AO$16,"CANT",[1]Tablas!$A3),0)</f>
        <v>0</v>
      </c>
      <c r="AP32" s="15">
        <f ca="1">IFERROR(GETPIVOTDATA("Cuenta de CANT",Tabla9,"PROV",[1]Tablas!$A$27,"SEFIS",AP$16,"CANT",[1]Tablas!$A3),0)</f>
        <v>0</v>
      </c>
      <c r="AQ32" s="15">
        <f ca="1">IFERROR(GETPIVOTDATA("Cuenta de CANT",Tabla9,"PROV",[1]Tablas!$A$27,"SEFIS",AQ$16,"CANT",[1]Tablas!$A3),0)</f>
        <v>3</v>
      </c>
      <c r="AR32" s="15">
        <f ca="1">IFERROR(GETPIVOTDATA("Cuenta de CANT",Tabla9,"PROV",[1]Tablas!$A$27,"SEFIS",AR$16,"CANT",[1]Tablas!$A3),0)</f>
        <v>1</v>
      </c>
      <c r="AS32" s="15">
        <f ca="1">IFERROR(GETPIVOTDATA("Cuenta de CANT",Tabla9,"PROV",[1]Tablas!$A$27,"SEFIS",AS$16,"CANT",[1]Tablas!$A3),0)</f>
        <v>5</v>
      </c>
      <c r="AT32" s="15">
        <f ca="1">IFERROR(GETPIVOTDATA("Cuenta de CANT",Tabla9,"PROV",[1]Tablas!$A$27,"SEFIS",AT$16,"CANT",[1]Tablas!$A3),0)</f>
        <v>2</v>
      </c>
      <c r="AU32" s="15">
        <f ca="1">IFERROR(GETPIVOTDATA("Cuenta de CANT",Tabla9,"PROV",[1]Tablas!$A$27,"SEFIS",AU$16,"CANT",[1]Tablas!$A3),0)</f>
        <v>8</v>
      </c>
      <c r="AV32" s="15">
        <f ca="1">IFERROR(GETPIVOTDATA("Cuenta de CANT",Tabla9,"PROV",[1]Tablas!$A$27,"SEFIS",AV$16,"CANT",[1]Tablas!$A3),0)</f>
        <v>4</v>
      </c>
      <c r="AW32" s="15">
        <f ca="1">IFERROR(GETPIVOTDATA("Cuenta de CANT",Tabla9,"PROV",[1]Tablas!$A$27,"SEFIS",AW$16,"CANT",[1]Tablas!$A3),0)</f>
        <v>1</v>
      </c>
      <c r="AX32" s="15">
        <f ca="1">IFERROR(GETPIVOTDATA("Cuenta de CANT",Tabla9,"PROV",[1]Tablas!$A$27,"SEFIS",AX$16,"CANT",[1]Tablas!$A3),0)</f>
        <v>3</v>
      </c>
      <c r="AY32" s="15">
        <f ca="1">IFERROR(GETPIVOTDATA("Cuenta de CANT",Tabla9,"PROV",[1]Tablas!$A$27,"SEFIS",AY$16,"CANT",[1]Tablas!$A3),0)</f>
        <v>3</v>
      </c>
      <c r="AZ32" s="15">
        <f ca="1">IFERROR(GETPIVOTDATA("Cuenta de CANT",Tabla9,"PROV",[1]Tablas!$A$27,"SEFIS",AZ$16,"CANT",[1]Tablas!$A3),0)</f>
        <v>2</v>
      </c>
      <c r="BA32" s="15">
        <f ca="1">IFERROR(GETPIVOTDATA("Cuenta de CANT",Tabla9,"PROV",[1]Tablas!$A$27,"SEFIS",BA$16,"CANT",[1]Tablas!$A3),0)</f>
        <v>3</v>
      </c>
      <c r="BB32" s="15">
        <f ca="1">IFERROR(GETPIVOTDATA("Cuenta de CANT",Tabla9,"PROV",[1]Tablas!$A$27,"SEFIS",BB$16,"CANT",[1]Tablas!$A3),0)</f>
        <v>1</v>
      </c>
      <c r="BC32" s="15">
        <f ca="1">IFERROR(GETPIVOTDATA("Cuenta de CANT",Tabla9,"PROV",[1]Tablas!$A$27,"SEFIS",BC$16,"CANT",[1]Tablas!$A3),0)</f>
        <v>1</v>
      </c>
    </row>
    <row r="33" spans="1:55" x14ac:dyDescent="0.35">
      <c r="A33" s="14" t="s">
        <v>30</v>
      </c>
      <c r="B33" s="15">
        <f t="shared" ca="1" si="1"/>
        <v>0</v>
      </c>
      <c r="C33" s="16">
        <f ca="1">IFERROR(B33/[1]Tablas!$B4*100000,"N/D")</f>
        <v>0</v>
      </c>
      <c r="D33" s="15">
        <f ca="1">IFERROR(GETPIVOTDATA("Cuenta de CANT",Tabla9,"PROV",[1]Tablas!$A$27,"SEFIS",D$16,"CANT",[1]Tablas!$A4),0)</f>
        <v>0</v>
      </c>
      <c r="E33" s="15">
        <f ca="1">IFERROR(GETPIVOTDATA("Cuenta de CANT",Tabla9,"PROV",[1]Tablas!$A$27,"SEFIS",E$16,"CANT",[1]Tablas!$A4),0)</f>
        <v>0</v>
      </c>
      <c r="F33" s="15">
        <f ca="1">IFERROR(GETPIVOTDATA("Cuenta de CANT",Tabla9,"PROV",[1]Tablas!$A$27,"SEFIS",F$16,"CANT",[1]Tablas!$A4),0)</f>
        <v>0</v>
      </c>
      <c r="G33" s="15">
        <f ca="1">IFERROR(GETPIVOTDATA("Cuenta de CANT",Tabla9,"PROV",[1]Tablas!$A$27,"SEFIS",G$16,"CANT",[1]Tablas!$A4),0)</f>
        <v>0</v>
      </c>
      <c r="H33" s="15">
        <f ca="1">IFERROR(GETPIVOTDATA("Cuenta de CANT",Tabla9,"PROV",[1]Tablas!$A$27,"SEFIS",H$16,"CANT",[1]Tablas!$A4),0)</f>
        <v>0</v>
      </c>
      <c r="I33" s="15">
        <f ca="1">IFERROR(GETPIVOTDATA("Cuenta de CANT",Tabla9,"PROV",[1]Tablas!$A$27,"SEFIS",I$16,"CANT",[1]Tablas!$A4),0)</f>
        <v>0</v>
      </c>
      <c r="J33" s="15">
        <f ca="1">IFERROR(GETPIVOTDATA("Cuenta de CANT",Tabla9,"PROV",[1]Tablas!$A$27,"SEFIS",J$16,"CANT",[1]Tablas!$A4),0)</f>
        <v>0</v>
      </c>
      <c r="K33" s="15">
        <f ca="1">IFERROR(GETPIVOTDATA("Cuenta de CANT",Tabla9,"PROV",[1]Tablas!$A$27,"SEFIS",K$16,"CANT",[1]Tablas!$A4),0)</f>
        <v>0</v>
      </c>
      <c r="L33" s="15">
        <f ca="1">IFERROR(GETPIVOTDATA("Cuenta de CANT",Tabla9,"PROV",[1]Tablas!$A$27,"SEFIS",L$16,"CANT",[1]Tablas!$A4),0)</f>
        <v>0</v>
      </c>
      <c r="M33" s="15">
        <f ca="1">IFERROR(GETPIVOTDATA("Cuenta de CANT",Tabla9,"PROV",[1]Tablas!$A$27,"SEFIS",M$16,"CANT",[1]Tablas!$A4),0)</f>
        <v>0</v>
      </c>
      <c r="N33" s="15">
        <f ca="1">IFERROR(GETPIVOTDATA("Cuenta de CANT",Tabla9,"PROV",[1]Tablas!$A$27,"SEFIS",N$16,"CANT",[1]Tablas!$A4),0)</f>
        <v>0</v>
      </c>
      <c r="O33" s="15">
        <f ca="1">IFERROR(GETPIVOTDATA("Cuenta de CANT",Tabla9,"PROV",[1]Tablas!$A$27,"SEFIS",O$16,"CANT",[1]Tablas!$A4),0)</f>
        <v>0</v>
      </c>
      <c r="P33" s="15">
        <f ca="1">IFERROR(GETPIVOTDATA("Cuenta de CANT",Tabla9,"PROV",[1]Tablas!$A$27,"SEFIS",P$16,"CANT",[1]Tablas!$A4),0)</f>
        <v>0</v>
      </c>
      <c r="Q33" s="15">
        <f ca="1">IFERROR(GETPIVOTDATA("Cuenta de CANT",Tabla9,"PROV",[1]Tablas!$A$27,"SEFIS",Q$16,"CANT",[1]Tablas!$A4),0)</f>
        <v>0</v>
      </c>
      <c r="R33" s="15">
        <f ca="1">IFERROR(GETPIVOTDATA("Cuenta de CANT",Tabla9,"PROV",[1]Tablas!$A$27,"SEFIS",R$16,"CANT",[1]Tablas!$A4),0)</f>
        <v>0</v>
      </c>
      <c r="S33" s="15">
        <f ca="1">IFERROR(GETPIVOTDATA("Cuenta de CANT",Tabla9,"PROV",[1]Tablas!$A$27,"SEFIS",S$16,"CANT",[1]Tablas!$A4),0)</f>
        <v>0</v>
      </c>
      <c r="T33" s="15">
        <f ca="1">IFERROR(GETPIVOTDATA("Cuenta de CANT",Tabla9,"PROV",[1]Tablas!$A$27,"SEFIS",T$16,"CANT",[1]Tablas!$A4),0)</f>
        <v>0</v>
      </c>
      <c r="U33" s="15">
        <f ca="1">IFERROR(GETPIVOTDATA("Cuenta de CANT",Tabla9,"PROV",[1]Tablas!$A$27,"SEFIS",U$16,"CANT",[1]Tablas!$A4),0)</f>
        <v>0</v>
      </c>
      <c r="V33" s="15">
        <f ca="1">IFERROR(GETPIVOTDATA("Cuenta de CANT",Tabla9,"PROV",[1]Tablas!$A$27,"SEFIS",V$16,"CANT",[1]Tablas!$A4),0)</f>
        <v>0</v>
      </c>
      <c r="W33" s="15">
        <f ca="1">IFERROR(GETPIVOTDATA("Cuenta de CANT",Tabla9,"PROV",[1]Tablas!$A$27,"SEFIS",W$16,"CANT",[1]Tablas!$A4),0)</f>
        <v>0</v>
      </c>
      <c r="X33" s="15">
        <f ca="1">IFERROR(GETPIVOTDATA("Cuenta de CANT",Tabla9,"PROV",[1]Tablas!$A$27,"SEFIS",X$16,"CANT",[1]Tablas!$A4),0)</f>
        <v>0</v>
      </c>
      <c r="Y33" s="15">
        <f ca="1">IFERROR(GETPIVOTDATA("Cuenta de CANT",Tabla9,"PROV",[1]Tablas!$A$27,"SEFIS",Y$16,"CANT",[1]Tablas!$A4),0)</f>
        <v>0</v>
      </c>
      <c r="Z33" s="15">
        <f ca="1">IFERROR(GETPIVOTDATA("Cuenta de CANT",Tabla9,"PROV",[1]Tablas!$A$27,"SEFIS",Z$16,"CANT",[1]Tablas!$A4),0)</f>
        <v>0</v>
      </c>
      <c r="AA33" s="15">
        <f ca="1">IFERROR(GETPIVOTDATA("Cuenta de CANT",Tabla9,"PROV",[1]Tablas!$A$27,"SEFIS",AA$16,"CANT",[1]Tablas!$A4),0)</f>
        <v>0</v>
      </c>
      <c r="AB33" s="15">
        <f ca="1">IFERROR(GETPIVOTDATA("Cuenta de CANT",Tabla9,"PROV",[1]Tablas!$A$27,"SEFIS",AB$16,"CANT",[1]Tablas!$A4),0)</f>
        <v>0</v>
      </c>
      <c r="AC33" s="15">
        <f ca="1">IFERROR(GETPIVOTDATA("Cuenta de CANT",Tabla9,"PROV",[1]Tablas!$A$27,"SEFIS",AC$16,"CANT",[1]Tablas!$A4),0)</f>
        <v>0</v>
      </c>
      <c r="AD33" s="15">
        <f ca="1">IFERROR(GETPIVOTDATA("Cuenta de CANT",Tabla9,"PROV",[1]Tablas!$A$27,"SEFIS",AD$16,"CANT",[1]Tablas!$A4),0)</f>
        <v>0</v>
      </c>
      <c r="AE33" s="15">
        <f ca="1">IFERROR(GETPIVOTDATA("Cuenta de CANT",Tabla9,"PROV",[1]Tablas!$A$27,"SEFIS",AE$16,"CANT",[1]Tablas!$A4),0)</f>
        <v>0</v>
      </c>
      <c r="AF33" s="15">
        <f ca="1">IFERROR(GETPIVOTDATA("Cuenta de CANT",Tabla9,"PROV",[1]Tablas!$A$27,"SEFIS",AF$16,"CANT",[1]Tablas!$A4),0)</f>
        <v>0</v>
      </c>
      <c r="AG33" s="15">
        <f ca="1">IFERROR(GETPIVOTDATA("Cuenta de CANT",Tabla9,"PROV",[1]Tablas!$A$27,"SEFIS",AG$16,"CANT",[1]Tablas!$A4),0)</f>
        <v>0</v>
      </c>
      <c r="AH33" s="15">
        <f ca="1">IFERROR(GETPIVOTDATA("Cuenta de CANT",Tabla9,"PROV",[1]Tablas!$A$27,"SEFIS",AH$16,"CANT",[1]Tablas!$A4),0)</f>
        <v>0</v>
      </c>
      <c r="AI33" s="15">
        <f ca="1">IFERROR(GETPIVOTDATA("Cuenta de CANT",Tabla9,"PROV",[1]Tablas!$A$27,"SEFIS",AI$16,"CANT",[1]Tablas!$A4),0)</f>
        <v>0</v>
      </c>
      <c r="AJ33" s="15">
        <f ca="1">IFERROR(GETPIVOTDATA("Cuenta de CANT",Tabla9,"PROV",[1]Tablas!$A$27,"SEFIS",AJ$16,"CANT",[1]Tablas!$A4),0)</f>
        <v>0</v>
      </c>
      <c r="AK33" s="15">
        <f ca="1">IFERROR(GETPIVOTDATA("Cuenta de CANT",Tabla9,"PROV",[1]Tablas!$A$27,"SEFIS",AK$16,"CANT",[1]Tablas!$A4),0)</f>
        <v>0</v>
      </c>
      <c r="AL33" s="15">
        <f ca="1">IFERROR(GETPIVOTDATA("Cuenta de CANT",Tabla9,"PROV",[1]Tablas!$A$27,"SEFIS",AL$16,"CANT",[1]Tablas!$A4),0)</f>
        <v>0</v>
      </c>
      <c r="AM33" s="15">
        <f ca="1">IFERROR(GETPIVOTDATA("Cuenta de CANT",Tabla9,"PROV",[1]Tablas!$A$27,"SEFIS",AM$16,"CANT",[1]Tablas!$A4),0)</f>
        <v>0</v>
      </c>
      <c r="AN33" s="15">
        <f ca="1">IFERROR(GETPIVOTDATA("Cuenta de CANT",Tabla9,"PROV",[1]Tablas!$A$27,"SEFIS",AN$16,"CANT",[1]Tablas!$A4),0)</f>
        <v>0</v>
      </c>
      <c r="AO33" s="15">
        <f ca="1">IFERROR(GETPIVOTDATA("Cuenta de CANT",Tabla9,"PROV",[1]Tablas!$A$27,"SEFIS",AO$16,"CANT",[1]Tablas!$A4),0)</f>
        <v>0</v>
      </c>
      <c r="AP33" s="15">
        <f ca="1">IFERROR(GETPIVOTDATA("Cuenta de CANT",Tabla9,"PROV",[1]Tablas!$A$27,"SEFIS",AP$16,"CANT",[1]Tablas!$A4),0)</f>
        <v>0</v>
      </c>
      <c r="AQ33" s="15">
        <f ca="1">IFERROR(GETPIVOTDATA("Cuenta de CANT",Tabla9,"PROV",[1]Tablas!$A$27,"SEFIS",AQ$16,"CANT",[1]Tablas!$A4),0)</f>
        <v>0</v>
      </c>
      <c r="AR33" s="15">
        <f ca="1">IFERROR(GETPIVOTDATA("Cuenta de CANT",Tabla9,"PROV",[1]Tablas!$A$27,"SEFIS",AR$16,"CANT",[1]Tablas!$A4),0)</f>
        <v>0</v>
      </c>
      <c r="AS33" s="15">
        <f ca="1">IFERROR(GETPIVOTDATA("Cuenta de CANT",Tabla9,"PROV",[1]Tablas!$A$27,"SEFIS",AS$16,"CANT",[1]Tablas!$A4),0)</f>
        <v>0</v>
      </c>
      <c r="AT33" s="15">
        <f ca="1">IFERROR(GETPIVOTDATA("Cuenta de CANT",Tabla9,"PROV",[1]Tablas!$A$27,"SEFIS",AT$16,"CANT",[1]Tablas!$A4),0)</f>
        <v>0</v>
      </c>
      <c r="AU33" s="15">
        <f ca="1">IFERROR(GETPIVOTDATA("Cuenta de CANT",Tabla9,"PROV",[1]Tablas!$A$27,"SEFIS",AU$16,"CANT",[1]Tablas!$A4),0)</f>
        <v>0</v>
      </c>
      <c r="AV33" s="15">
        <f ca="1">IFERROR(GETPIVOTDATA("Cuenta de CANT",Tabla9,"PROV",[1]Tablas!$A$27,"SEFIS",AV$16,"CANT",[1]Tablas!$A4),0)</f>
        <v>0</v>
      </c>
      <c r="AW33" s="15">
        <f ca="1">IFERROR(GETPIVOTDATA("Cuenta de CANT",Tabla9,"PROV",[1]Tablas!$A$27,"SEFIS",AW$16,"CANT",[1]Tablas!$A4),0)</f>
        <v>0</v>
      </c>
      <c r="AX33" s="15">
        <f ca="1">IFERROR(GETPIVOTDATA("Cuenta de CANT",Tabla9,"PROV",[1]Tablas!$A$27,"SEFIS",AX$16,"CANT",[1]Tablas!$A4),0)</f>
        <v>0</v>
      </c>
      <c r="AY33" s="15">
        <f ca="1">IFERROR(GETPIVOTDATA("Cuenta de CANT",Tabla9,"PROV",[1]Tablas!$A$27,"SEFIS",AY$16,"CANT",[1]Tablas!$A4),0)</f>
        <v>0</v>
      </c>
      <c r="AZ33" s="15">
        <f ca="1">IFERROR(GETPIVOTDATA("Cuenta de CANT",Tabla9,"PROV",[1]Tablas!$A$27,"SEFIS",AZ$16,"CANT",[1]Tablas!$A4),0)</f>
        <v>0</v>
      </c>
      <c r="BA33" s="15">
        <f ca="1">IFERROR(GETPIVOTDATA("Cuenta de CANT",Tabla9,"PROV",[1]Tablas!$A$27,"SEFIS",BA$16,"CANT",[1]Tablas!$A4),0)</f>
        <v>0</v>
      </c>
      <c r="BB33" s="15">
        <f ca="1">IFERROR(GETPIVOTDATA("Cuenta de CANT",Tabla9,"PROV",[1]Tablas!$A$27,"SEFIS",BB$16,"CANT",[1]Tablas!$A4),0)</f>
        <v>0</v>
      </c>
      <c r="BC33" s="15">
        <f ca="1">IFERROR(GETPIVOTDATA("Cuenta de CANT",Tabla9,"PROV",[1]Tablas!$A$27,"SEFIS",BC$16,"CANT",[1]Tablas!$A4),0)</f>
        <v>0</v>
      </c>
    </row>
    <row r="34" spans="1:55" x14ac:dyDescent="0.35">
      <c r="A34" s="14"/>
      <c r="B34" s="12"/>
      <c r="C34" s="13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2"/>
      <c r="BC34" s="2"/>
    </row>
    <row r="35" spans="1:55" x14ac:dyDescent="0.35">
      <c r="A35" s="1" t="s">
        <v>31</v>
      </c>
      <c r="B35" s="10">
        <f t="shared" ca="1" si="1"/>
        <v>195</v>
      </c>
      <c r="C35" s="11">
        <f ca="1">IFERROR(B35/[1]Tablas!$B6*100000,"N/D")</f>
        <v>19.443283940744848</v>
      </c>
      <c r="D35" s="10">
        <f ca="1">SUM(D36:D50)</f>
        <v>8</v>
      </c>
      <c r="E35" s="10">
        <f t="shared" ref="E35:BC35" ca="1" si="3">SUM(E36:E50)</f>
        <v>1</v>
      </c>
      <c r="F35" s="10">
        <f t="shared" ca="1" si="3"/>
        <v>0</v>
      </c>
      <c r="G35" s="10">
        <f t="shared" ca="1" si="3"/>
        <v>1</v>
      </c>
      <c r="H35" s="10">
        <f t="shared" ca="1" si="3"/>
        <v>1</v>
      </c>
      <c r="I35" s="10">
        <f t="shared" ca="1" si="3"/>
        <v>5</v>
      </c>
      <c r="J35" s="10">
        <f t="shared" ca="1" si="3"/>
        <v>4</v>
      </c>
      <c r="K35" s="10">
        <f t="shared" ca="1" si="3"/>
        <v>3</v>
      </c>
      <c r="L35" s="10">
        <f t="shared" ca="1" si="3"/>
        <v>2</v>
      </c>
      <c r="M35" s="10">
        <f t="shared" ca="1" si="3"/>
        <v>2</v>
      </c>
      <c r="N35" s="10">
        <f t="shared" ca="1" si="3"/>
        <v>3</v>
      </c>
      <c r="O35" s="10">
        <f t="shared" ca="1" si="3"/>
        <v>2</v>
      </c>
      <c r="P35" s="10">
        <f t="shared" ca="1" si="3"/>
        <v>2</v>
      </c>
      <c r="Q35" s="10">
        <f t="shared" ca="1" si="3"/>
        <v>2</v>
      </c>
      <c r="R35" s="10">
        <f t="shared" ca="1" si="3"/>
        <v>3</v>
      </c>
      <c r="S35" s="10">
        <f t="shared" ca="1" si="3"/>
        <v>3</v>
      </c>
      <c r="T35" s="10">
        <f t="shared" ca="1" si="3"/>
        <v>3</v>
      </c>
      <c r="U35" s="10">
        <f t="shared" ca="1" si="3"/>
        <v>2</v>
      </c>
      <c r="V35" s="10">
        <f t="shared" ca="1" si="3"/>
        <v>6</v>
      </c>
      <c r="W35" s="10">
        <f t="shared" ca="1" si="3"/>
        <v>0</v>
      </c>
      <c r="X35" s="10">
        <f t="shared" ca="1" si="3"/>
        <v>5</v>
      </c>
      <c r="Y35" s="10">
        <f t="shared" ca="1" si="3"/>
        <v>7</v>
      </c>
      <c r="Z35" s="10">
        <f t="shared" ca="1" si="3"/>
        <v>5</v>
      </c>
      <c r="AA35" s="10">
        <f t="shared" ca="1" si="3"/>
        <v>4</v>
      </c>
      <c r="AB35" s="10">
        <f t="shared" ca="1" si="3"/>
        <v>4</v>
      </c>
      <c r="AC35" s="10">
        <f t="shared" ca="1" si="3"/>
        <v>4</v>
      </c>
      <c r="AD35" s="10">
        <f t="shared" ca="1" si="3"/>
        <v>3</v>
      </c>
      <c r="AE35" s="10">
        <f t="shared" ca="1" si="3"/>
        <v>5</v>
      </c>
      <c r="AF35" s="10">
        <f t="shared" ca="1" si="3"/>
        <v>5</v>
      </c>
      <c r="AG35" s="10">
        <f t="shared" ca="1" si="3"/>
        <v>3</v>
      </c>
      <c r="AH35" s="10">
        <f t="shared" ca="1" si="3"/>
        <v>2</v>
      </c>
      <c r="AI35" s="10">
        <f t="shared" ca="1" si="3"/>
        <v>5</v>
      </c>
      <c r="AJ35" s="10">
        <f t="shared" ca="1" si="3"/>
        <v>2</v>
      </c>
      <c r="AK35" s="10">
        <f t="shared" ca="1" si="3"/>
        <v>2</v>
      </c>
      <c r="AL35" s="10">
        <f t="shared" ca="1" si="3"/>
        <v>2</v>
      </c>
      <c r="AM35" s="10">
        <f t="shared" ca="1" si="3"/>
        <v>7</v>
      </c>
      <c r="AN35" s="10">
        <f t="shared" ca="1" si="3"/>
        <v>1</v>
      </c>
      <c r="AO35" s="10">
        <f t="shared" ca="1" si="3"/>
        <v>3</v>
      </c>
      <c r="AP35" s="10">
        <f t="shared" ca="1" si="3"/>
        <v>2</v>
      </c>
      <c r="AQ35" s="10">
        <f t="shared" ca="1" si="3"/>
        <v>2</v>
      </c>
      <c r="AR35" s="10">
        <f t="shared" ca="1" si="3"/>
        <v>3</v>
      </c>
      <c r="AS35" s="10">
        <f t="shared" ca="1" si="3"/>
        <v>3</v>
      </c>
      <c r="AT35" s="10">
        <f t="shared" ca="1" si="3"/>
        <v>5</v>
      </c>
      <c r="AU35" s="10">
        <f t="shared" ca="1" si="3"/>
        <v>12</v>
      </c>
      <c r="AV35" s="10">
        <f t="shared" ca="1" si="3"/>
        <v>5</v>
      </c>
      <c r="AW35" s="10">
        <f t="shared" ca="1" si="3"/>
        <v>4</v>
      </c>
      <c r="AX35" s="10">
        <f t="shared" ca="1" si="3"/>
        <v>8</v>
      </c>
      <c r="AY35" s="10">
        <f t="shared" ca="1" si="3"/>
        <v>7</v>
      </c>
      <c r="AZ35" s="10">
        <f t="shared" ca="1" si="3"/>
        <v>4</v>
      </c>
      <c r="BA35" s="10">
        <f t="shared" ca="1" si="3"/>
        <v>7</v>
      </c>
      <c r="BB35" s="10">
        <f t="shared" ca="1" si="3"/>
        <v>3</v>
      </c>
      <c r="BC35" s="10">
        <f t="shared" ca="1" si="3"/>
        <v>8</v>
      </c>
    </row>
    <row r="36" spans="1:55" x14ac:dyDescent="0.35">
      <c r="A36" s="14" t="s">
        <v>32</v>
      </c>
      <c r="B36" s="15">
        <f t="shared" ca="1" si="1"/>
        <v>114</v>
      </c>
      <c r="C36" s="16">
        <f ca="1">IFERROR(B36/[1]Tablas!$B7*100000,"N/D")</f>
        <v>37.229838736014315</v>
      </c>
      <c r="D36" s="15">
        <f ca="1">IFERROR(GETPIVOTDATA("Cuenta de CANT",Tabla9,"PROV",[1]Tablas!$A$49,"SEFIS",D$16,"CANT",[1]Tablas!$A7),0)</f>
        <v>5</v>
      </c>
      <c r="E36" s="15">
        <f ca="1">IFERROR(GETPIVOTDATA("Cuenta de CANT",Tabla9,"PROV",[1]Tablas!$A$49,"SEFIS",E$16,"CANT",[1]Tablas!$A7),0)</f>
        <v>1</v>
      </c>
      <c r="F36" s="15">
        <f ca="1">IFERROR(GETPIVOTDATA("Cuenta de CANT",Tabla9,"PROV",[1]Tablas!$A$49,"SEFIS",F$16,"CANT",[1]Tablas!$A7),0)</f>
        <v>0</v>
      </c>
      <c r="G36" s="15">
        <f ca="1">IFERROR(GETPIVOTDATA("Cuenta de CANT",Tabla9,"PROV",[1]Tablas!$A$49,"SEFIS",G$16,"CANT",[1]Tablas!$A7),0)</f>
        <v>1</v>
      </c>
      <c r="H36" s="15">
        <f ca="1">IFERROR(GETPIVOTDATA("Cuenta de CANT",Tabla9,"PROV",[1]Tablas!$A$49,"SEFIS",H$16,"CANT",[1]Tablas!$A7),0)</f>
        <v>1</v>
      </c>
      <c r="I36" s="15">
        <f ca="1">IFERROR(GETPIVOTDATA("Cuenta de CANT",Tabla9,"PROV",[1]Tablas!$A$49,"SEFIS",I$16,"CANT",[1]Tablas!$A7),0)</f>
        <v>3</v>
      </c>
      <c r="J36" s="15">
        <f ca="1">IFERROR(GETPIVOTDATA("Cuenta de CANT",Tabla9,"PROV",[1]Tablas!$A$49,"SEFIS",J$16,"CANT",[1]Tablas!$A7),0)</f>
        <v>2</v>
      </c>
      <c r="K36" s="15">
        <f ca="1">IFERROR(GETPIVOTDATA("Cuenta de CANT",Tabla9,"PROV",[1]Tablas!$A$49,"SEFIS",K$16,"CANT",[1]Tablas!$A7),0)</f>
        <v>3</v>
      </c>
      <c r="L36" s="15">
        <f ca="1">IFERROR(GETPIVOTDATA("Cuenta de CANT",Tabla9,"PROV",[1]Tablas!$A$49,"SEFIS",L$16,"CANT",[1]Tablas!$A7),0)</f>
        <v>1</v>
      </c>
      <c r="M36" s="15">
        <f ca="1">IFERROR(GETPIVOTDATA("Cuenta de CANT",Tabla9,"PROV",[1]Tablas!$A$49,"SEFIS",M$16,"CANT",[1]Tablas!$A7),0)</f>
        <v>1</v>
      </c>
      <c r="N36" s="15">
        <f ca="1">IFERROR(GETPIVOTDATA("Cuenta de CANT",Tabla9,"PROV",[1]Tablas!$A$49,"SEFIS",N$16,"CANT",[1]Tablas!$A7),0)</f>
        <v>3</v>
      </c>
      <c r="O36" s="15">
        <f ca="1">IFERROR(GETPIVOTDATA("Cuenta de CANT",Tabla9,"PROV",[1]Tablas!$A$49,"SEFIS",O$16,"CANT",[1]Tablas!$A7),0)</f>
        <v>2</v>
      </c>
      <c r="P36" s="15">
        <f ca="1">IFERROR(GETPIVOTDATA("Cuenta de CANT",Tabla9,"PROV",[1]Tablas!$A$49,"SEFIS",P$16,"CANT",[1]Tablas!$A7),0)</f>
        <v>0</v>
      </c>
      <c r="Q36" s="15">
        <f ca="1">IFERROR(GETPIVOTDATA("Cuenta de CANT",Tabla9,"PROV",[1]Tablas!$A$49,"SEFIS",Q$16,"CANT",[1]Tablas!$A7),0)</f>
        <v>0</v>
      </c>
      <c r="R36" s="15">
        <f ca="1">IFERROR(GETPIVOTDATA("Cuenta de CANT",Tabla9,"PROV",[1]Tablas!$A$49,"SEFIS",R$16,"CANT",[1]Tablas!$A7),0)</f>
        <v>3</v>
      </c>
      <c r="S36" s="15">
        <f ca="1">IFERROR(GETPIVOTDATA("Cuenta de CANT",Tabla9,"PROV",[1]Tablas!$A$49,"SEFIS",S$16,"CANT",[1]Tablas!$A7),0)</f>
        <v>2</v>
      </c>
      <c r="T36" s="15">
        <f ca="1">IFERROR(GETPIVOTDATA("Cuenta de CANT",Tabla9,"PROV",[1]Tablas!$A$49,"SEFIS",T$16,"CANT",[1]Tablas!$A7),0)</f>
        <v>1</v>
      </c>
      <c r="U36" s="15">
        <f ca="1">IFERROR(GETPIVOTDATA("Cuenta de CANT",Tabla9,"PROV",[1]Tablas!$A$49,"SEFIS",U$16,"CANT",[1]Tablas!$A7),0)</f>
        <v>2</v>
      </c>
      <c r="V36" s="15">
        <f ca="1">IFERROR(GETPIVOTDATA("Cuenta de CANT",Tabla9,"PROV",[1]Tablas!$A$49,"SEFIS",V$16,"CANT",[1]Tablas!$A7),0)</f>
        <v>4</v>
      </c>
      <c r="W36" s="15">
        <f ca="1">IFERROR(GETPIVOTDATA("Cuenta de CANT",Tabla9,"PROV",[1]Tablas!$A$49,"SEFIS",W$16,"CANT",[1]Tablas!$A7),0)</f>
        <v>0</v>
      </c>
      <c r="X36" s="15">
        <f ca="1">IFERROR(GETPIVOTDATA("Cuenta de CANT",Tabla9,"PROV",[1]Tablas!$A$49,"SEFIS",X$16,"CANT",[1]Tablas!$A7),0)</f>
        <v>5</v>
      </c>
      <c r="Y36" s="15">
        <f ca="1">IFERROR(GETPIVOTDATA("Cuenta de CANT",Tabla9,"PROV",[1]Tablas!$A$49,"SEFIS",Y$16,"CANT",[1]Tablas!$A7),0)</f>
        <v>5</v>
      </c>
      <c r="Z36" s="15">
        <f ca="1">IFERROR(GETPIVOTDATA("Cuenta de CANT",Tabla9,"PROV",[1]Tablas!$A$49,"SEFIS",Z$16,"CANT",[1]Tablas!$A7),0)</f>
        <v>3</v>
      </c>
      <c r="AA36" s="15">
        <f ca="1">IFERROR(GETPIVOTDATA("Cuenta de CANT",Tabla9,"PROV",[1]Tablas!$A$49,"SEFIS",AA$16,"CANT",[1]Tablas!$A7),0)</f>
        <v>2</v>
      </c>
      <c r="AB36" s="15">
        <f ca="1">IFERROR(GETPIVOTDATA("Cuenta de CANT",Tabla9,"PROV",[1]Tablas!$A$49,"SEFIS",AB$16,"CANT",[1]Tablas!$A7),0)</f>
        <v>4</v>
      </c>
      <c r="AC36" s="15">
        <f ca="1">IFERROR(GETPIVOTDATA("Cuenta de CANT",Tabla9,"PROV",[1]Tablas!$A$49,"SEFIS",AC$16,"CANT",[1]Tablas!$A7),0)</f>
        <v>4</v>
      </c>
      <c r="AD36" s="15">
        <f ca="1">IFERROR(GETPIVOTDATA("Cuenta de CANT",Tabla9,"PROV",[1]Tablas!$A$49,"SEFIS",AD$16,"CANT",[1]Tablas!$A7),0)</f>
        <v>2</v>
      </c>
      <c r="AE36" s="15">
        <f ca="1">IFERROR(GETPIVOTDATA("Cuenta de CANT",Tabla9,"PROV",[1]Tablas!$A$49,"SEFIS",AE$16,"CANT",[1]Tablas!$A7),0)</f>
        <v>2</v>
      </c>
      <c r="AF36" s="15">
        <f ca="1">IFERROR(GETPIVOTDATA("Cuenta de CANT",Tabla9,"PROV",[1]Tablas!$A$49,"SEFIS",AF$16,"CANT",[1]Tablas!$A7),0)</f>
        <v>3</v>
      </c>
      <c r="AG36" s="15">
        <f ca="1">IFERROR(GETPIVOTDATA("Cuenta de CANT",Tabla9,"PROV",[1]Tablas!$A$49,"SEFIS",AG$16,"CANT",[1]Tablas!$A7),0)</f>
        <v>3</v>
      </c>
      <c r="AH36" s="15">
        <f ca="1">IFERROR(GETPIVOTDATA("Cuenta de CANT",Tabla9,"PROV",[1]Tablas!$A$49,"SEFIS",AH$16,"CANT",[1]Tablas!$A7),0)</f>
        <v>2</v>
      </c>
      <c r="AI36" s="15">
        <f ca="1">IFERROR(GETPIVOTDATA("Cuenta de CANT",Tabla9,"PROV",[1]Tablas!$A$49,"SEFIS",AI$16,"CANT",[1]Tablas!$A7),0)</f>
        <v>3</v>
      </c>
      <c r="AJ36" s="15">
        <f ca="1">IFERROR(GETPIVOTDATA("Cuenta de CANT",Tabla9,"PROV",[1]Tablas!$A$49,"SEFIS",AJ$16,"CANT",[1]Tablas!$A7),0)</f>
        <v>1</v>
      </c>
      <c r="AK36" s="15">
        <f ca="1">IFERROR(GETPIVOTDATA("Cuenta de CANT",Tabla9,"PROV",[1]Tablas!$A$49,"SEFIS",AK$16,"CANT",[1]Tablas!$A7),0)</f>
        <v>1</v>
      </c>
      <c r="AL36" s="15">
        <f ca="1">IFERROR(GETPIVOTDATA("Cuenta de CANT",Tabla9,"PROV",[1]Tablas!$A$49,"SEFIS",AL$16,"CANT",[1]Tablas!$A7),0)</f>
        <v>1</v>
      </c>
      <c r="AM36" s="15">
        <f ca="1">IFERROR(GETPIVOTDATA("Cuenta de CANT",Tabla9,"PROV",[1]Tablas!$A$49,"SEFIS",AM$16,"CANT",[1]Tablas!$A7),0)</f>
        <v>4</v>
      </c>
      <c r="AN36" s="15">
        <f ca="1">IFERROR(GETPIVOTDATA("Cuenta de CANT",Tabla9,"PROV",[1]Tablas!$A$49,"SEFIS",AN$16,"CANT",[1]Tablas!$A7),0)</f>
        <v>1</v>
      </c>
      <c r="AO36" s="15">
        <f ca="1">IFERROR(GETPIVOTDATA("Cuenta de CANT",Tabla9,"PROV",[1]Tablas!$A$49,"SEFIS",AO$16,"CANT",[1]Tablas!$A7),0)</f>
        <v>1</v>
      </c>
      <c r="AP36" s="15">
        <f ca="1">IFERROR(GETPIVOTDATA("Cuenta de CANT",Tabla9,"PROV",[1]Tablas!$A$49,"SEFIS",AP$16,"CANT",[1]Tablas!$A7),0)</f>
        <v>1</v>
      </c>
      <c r="AQ36" s="15">
        <f ca="1">IFERROR(GETPIVOTDATA("Cuenta de CANT",Tabla9,"PROV",[1]Tablas!$A$49,"SEFIS",AQ$16,"CANT",[1]Tablas!$A7),0)</f>
        <v>1</v>
      </c>
      <c r="AR36" s="15">
        <f ca="1">IFERROR(GETPIVOTDATA("Cuenta de CANT",Tabla9,"PROV",[1]Tablas!$A$49,"SEFIS",AR$16,"CANT",[1]Tablas!$A7),0)</f>
        <v>2</v>
      </c>
      <c r="AS36" s="15">
        <f ca="1">IFERROR(GETPIVOTDATA("Cuenta de CANT",Tabla9,"PROV",[1]Tablas!$A$49,"SEFIS",AS$16,"CANT",[1]Tablas!$A7),0)</f>
        <v>2</v>
      </c>
      <c r="AT36" s="15">
        <f ca="1">IFERROR(GETPIVOTDATA("Cuenta de CANT",Tabla9,"PROV",[1]Tablas!$A$49,"SEFIS",AT$16,"CANT",[1]Tablas!$A7),0)</f>
        <v>2</v>
      </c>
      <c r="AU36" s="15">
        <f ca="1">IFERROR(GETPIVOTDATA("Cuenta de CANT",Tabla9,"PROV",[1]Tablas!$A$49,"SEFIS",AU$16,"CANT",[1]Tablas!$A7),0)</f>
        <v>9</v>
      </c>
      <c r="AV36" s="15">
        <f ca="1">IFERROR(GETPIVOTDATA("Cuenta de CANT",Tabla9,"PROV",[1]Tablas!$A$49,"SEFIS",AV$16,"CANT",[1]Tablas!$A7),0)</f>
        <v>2</v>
      </c>
      <c r="AW36" s="15">
        <f ca="1">IFERROR(GETPIVOTDATA("Cuenta de CANT",Tabla9,"PROV",[1]Tablas!$A$49,"SEFIS",AW$16,"CANT",[1]Tablas!$A7),0)</f>
        <v>2</v>
      </c>
      <c r="AX36" s="15">
        <f ca="1">IFERROR(GETPIVOTDATA("Cuenta de CANT",Tabla9,"PROV",[1]Tablas!$A$49,"SEFIS",AX$16,"CANT",[1]Tablas!$A7),0)</f>
        <v>2</v>
      </c>
      <c r="AY36" s="15">
        <f ca="1">IFERROR(GETPIVOTDATA("Cuenta de CANT",Tabla9,"PROV",[1]Tablas!$A$49,"SEFIS",AY$16,"CANT",[1]Tablas!$A7),0)</f>
        <v>2</v>
      </c>
      <c r="AZ36" s="15">
        <f ca="1">IFERROR(GETPIVOTDATA("Cuenta de CANT",Tabla9,"PROV",[1]Tablas!$A$49,"SEFIS",AZ$16,"CANT",[1]Tablas!$A7),0)</f>
        <v>2</v>
      </c>
      <c r="BA36" s="15">
        <f ca="1">IFERROR(GETPIVOTDATA("Cuenta de CANT",Tabla9,"PROV",[1]Tablas!$A$49,"SEFIS",BA$16,"CANT",[1]Tablas!$A7),0)</f>
        <v>1</v>
      </c>
      <c r="BB36" s="15">
        <f ca="1">IFERROR(GETPIVOTDATA("Cuenta de CANT",Tabla9,"PROV",[1]Tablas!$A$49,"SEFIS",BB$16,"CANT",[1]Tablas!$A7),0)</f>
        <v>1</v>
      </c>
      <c r="BC36" s="15">
        <f ca="1">IFERROR(GETPIVOTDATA("Cuenta de CANT",Tabla9,"PROV",[1]Tablas!$A$49,"SEFIS",BC$16,"CANT",[1]Tablas!$A7),0)</f>
        <v>3</v>
      </c>
    </row>
    <row r="37" spans="1:55" x14ac:dyDescent="0.35">
      <c r="A37" s="14" t="s">
        <v>33</v>
      </c>
      <c r="B37" s="15">
        <f t="shared" ca="1" si="1"/>
        <v>5</v>
      </c>
      <c r="C37" s="16">
        <f ca="1">IFERROR(B37/[1]Tablas!$B8*100000,"N/D")</f>
        <v>5.443480343592479</v>
      </c>
      <c r="D37" s="15">
        <f ca="1">IFERROR(GETPIVOTDATA("Cuenta de CANT",Tabla9,"PROV",[1]Tablas!$A$49,"SEFIS",D$16,"CANT",[1]Tablas!$A8),0)</f>
        <v>1</v>
      </c>
      <c r="E37" s="15">
        <f ca="1">IFERROR(GETPIVOTDATA("Cuenta de CANT",Tabla9,"PROV",[1]Tablas!$A$49,"SEFIS",E$16,"CANT",[1]Tablas!$A8),0)</f>
        <v>0</v>
      </c>
      <c r="F37" s="15">
        <f ca="1">IFERROR(GETPIVOTDATA("Cuenta de CANT",Tabla9,"PROV",[1]Tablas!$A$49,"SEFIS",F$16,"CANT",[1]Tablas!$A8),0)</f>
        <v>0</v>
      </c>
      <c r="G37" s="15">
        <f ca="1">IFERROR(GETPIVOTDATA("Cuenta de CANT",Tabla9,"PROV",[1]Tablas!$A$49,"SEFIS",G$16,"CANT",[1]Tablas!$A8),0)</f>
        <v>0</v>
      </c>
      <c r="H37" s="15">
        <f ca="1">IFERROR(GETPIVOTDATA("Cuenta de CANT",Tabla9,"PROV",[1]Tablas!$A$49,"SEFIS",H$16,"CANT",[1]Tablas!$A8),0)</f>
        <v>0</v>
      </c>
      <c r="I37" s="15">
        <f ca="1">IFERROR(GETPIVOTDATA("Cuenta de CANT",Tabla9,"PROV",[1]Tablas!$A$49,"SEFIS",I$16,"CANT",[1]Tablas!$A8),0)</f>
        <v>0</v>
      </c>
      <c r="J37" s="15">
        <f ca="1">IFERROR(GETPIVOTDATA("Cuenta de CANT",Tabla9,"PROV",[1]Tablas!$A$49,"SEFIS",J$16,"CANT",[1]Tablas!$A8),0)</f>
        <v>1</v>
      </c>
      <c r="K37" s="15">
        <f ca="1">IFERROR(GETPIVOTDATA("Cuenta de CANT",Tabla9,"PROV",[1]Tablas!$A$49,"SEFIS",K$16,"CANT",[1]Tablas!$A8),0)</f>
        <v>0</v>
      </c>
      <c r="L37" s="15">
        <f ca="1">IFERROR(GETPIVOTDATA("Cuenta de CANT",Tabla9,"PROV",[1]Tablas!$A$49,"SEFIS",L$16,"CANT",[1]Tablas!$A8),0)</f>
        <v>0</v>
      </c>
      <c r="M37" s="15">
        <f ca="1">IFERROR(GETPIVOTDATA("Cuenta de CANT",Tabla9,"PROV",[1]Tablas!$A$49,"SEFIS",M$16,"CANT",[1]Tablas!$A8),0)</f>
        <v>0</v>
      </c>
      <c r="N37" s="15">
        <f ca="1">IFERROR(GETPIVOTDATA("Cuenta de CANT",Tabla9,"PROV",[1]Tablas!$A$49,"SEFIS",N$16,"CANT",[1]Tablas!$A8),0)</f>
        <v>0</v>
      </c>
      <c r="O37" s="15">
        <f ca="1">IFERROR(GETPIVOTDATA("Cuenta de CANT",Tabla9,"PROV",[1]Tablas!$A$49,"SEFIS",O$16,"CANT",[1]Tablas!$A8),0)</f>
        <v>0</v>
      </c>
      <c r="P37" s="15">
        <f ca="1">IFERROR(GETPIVOTDATA("Cuenta de CANT",Tabla9,"PROV",[1]Tablas!$A$49,"SEFIS",P$16,"CANT",[1]Tablas!$A8),0)</f>
        <v>0</v>
      </c>
      <c r="Q37" s="15">
        <f ca="1">IFERROR(GETPIVOTDATA("Cuenta de CANT",Tabla9,"PROV",[1]Tablas!$A$49,"SEFIS",Q$16,"CANT",[1]Tablas!$A8),0)</f>
        <v>0</v>
      </c>
      <c r="R37" s="15">
        <f ca="1">IFERROR(GETPIVOTDATA("Cuenta de CANT",Tabla9,"PROV",[1]Tablas!$A$49,"SEFIS",R$16,"CANT",[1]Tablas!$A8),0)</f>
        <v>0</v>
      </c>
      <c r="S37" s="15">
        <f ca="1">IFERROR(GETPIVOTDATA("Cuenta de CANT",Tabla9,"PROV",[1]Tablas!$A$49,"SEFIS",S$16,"CANT",[1]Tablas!$A8),0)</f>
        <v>0</v>
      </c>
      <c r="T37" s="15">
        <f ca="1">IFERROR(GETPIVOTDATA("Cuenta de CANT",Tabla9,"PROV",[1]Tablas!$A$49,"SEFIS",T$16,"CANT",[1]Tablas!$A8),0)</f>
        <v>0</v>
      </c>
      <c r="U37" s="15">
        <f ca="1">IFERROR(GETPIVOTDATA("Cuenta de CANT",Tabla9,"PROV",[1]Tablas!$A$49,"SEFIS",U$16,"CANT",[1]Tablas!$A8),0)</f>
        <v>0</v>
      </c>
      <c r="V37" s="15">
        <f ca="1">IFERROR(GETPIVOTDATA("Cuenta de CANT",Tabla9,"PROV",[1]Tablas!$A$49,"SEFIS",V$16,"CANT",[1]Tablas!$A8),0)</f>
        <v>0</v>
      </c>
      <c r="W37" s="15">
        <f ca="1">IFERROR(GETPIVOTDATA("Cuenta de CANT",Tabla9,"PROV",[1]Tablas!$A$49,"SEFIS",W$16,"CANT",[1]Tablas!$A8),0)</f>
        <v>0</v>
      </c>
      <c r="X37" s="15">
        <f ca="1">IFERROR(GETPIVOTDATA("Cuenta de CANT",Tabla9,"PROV",[1]Tablas!$A$49,"SEFIS",X$16,"CANT",[1]Tablas!$A8),0)</f>
        <v>0</v>
      </c>
      <c r="Y37" s="15">
        <f ca="1">IFERROR(GETPIVOTDATA("Cuenta de CANT",Tabla9,"PROV",[1]Tablas!$A$49,"SEFIS",Y$16,"CANT",[1]Tablas!$A8),0)</f>
        <v>0</v>
      </c>
      <c r="Z37" s="15">
        <f ca="1">IFERROR(GETPIVOTDATA("Cuenta de CANT",Tabla9,"PROV",[1]Tablas!$A$49,"SEFIS",Z$16,"CANT",[1]Tablas!$A8),0)</f>
        <v>0</v>
      </c>
      <c r="AA37" s="15">
        <f ca="1">IFERROR(GETPIVOTDATA("Cuenta de CANT",Tabla9,"PROV",[1]Tablas!$A$49,"SEFIS",AA$16,"CANT",[1]Tablas!$A8),0)</f>
        <v>0</v>
      </c>
      <c r="AB37" s="15">
        <f ca="1">IFERROR(GETPIVOTDATA("Cuenta de CANT",Tabla9,"PROV",[1]Tablas!$A$49,"SEFIS",AB$16,"CANT",[1]Tablas!$A8),0)</f>
        <v>0</v>
      </c>
      <c r="AC37" s="15">
        <f ca="1">IFERROR(GETPIVOTDATA("Cuenta de CANT",Tabla9,"PROV",[1]Tablas!$A$49,"SEFIS",AC$16,"CANT",[1]Tablas!$A8),0)</f>
        <v>0</v>
      </c>
      <c r="AD37" s="15">
        <f ca="1">IFERROR(GETPIVOTDATA("Cuenta de CANT",Tabla9,"PROV",[1]Tablas!$A$49,"SEFIS",AD$16,"CANT",[1]Tablas!$A8),0)</f>
        <v>0</v>
      </c>
      <c r="AE37" s="15">
        <f ca="1">IFERROR(GETPIVOTDATA("Cuenta de CANT",Tabla9,"PROV",[1]Tablas!$A$49,"SEFIS",AE$16,"CANT",[1]Tablas!$A8),0)</f>
        <v>1</v>
      </c>
      <c r="AF37" s="15">
        <f ca="1">IFERROR(GETPIVOTDATA("Cuenta de CANT",Tabla9,"PROV",[1]Tablas!$A$49,"SEFIS",AF$16,"CANT",[1]Tablas!$A8),0)</f>
        <v>0</v>
      </c>
      <c r="AG37" s="15">
        <f ca="1">IFERROR(GETPIVOTDATA("Cuenta de CANT",Tabla9,"PROV",[1]Tablas!$A$49,"SEFIS",AG$16,"CANT",[1]Tablas!$A8),0)</f>
        <v>0</v>
      </c>
      <c r="AH37" s="15">
        <f ca="1">IFERROR(GETPIVOTDATA("Cuenta de CANT",Tabla9,"PROV",[1]Tablas!$A$49,"SEFIS",AH$16,"CANT",[1]Tablas!$A8),0)</f>
        <v>0</v>
      </c>
      <c r="AI37" s="15">
        <f ca="1">IFERROR(GETPIVOTDATA("Cuenta de CANT",Tabla9,"PROV",[1]Tablas!$A$49,"SEFIS",AI$16,"CANT",[1]Tablas!$A8),0)</f>
        <v>0</v>
      </c>
      <c r="AJ37" s="15">
        <f ca="1">IFERROR(GETPIVOTDATA("Cuenta de CANT",Tabla9,"PROV",[1]Tablas!$A$49,"SEFIS",AJ$16,"CANT",[1]Tablas!$A8),0)</f>
        <v>0</v>
      </c>
      <c r="AK37" s="15">
        <f ca="1">IFERROR(GETPIVOTDATA("Cuenta de CANT",Tabla9,"PROV",[1]Tablas!$A$49,"SEFIS",AK$16,"CANT",[1]Tablas!$A8),0)</f>
        <v>1</v>
      </c>
      <c r="AL37" s="15">
        <f ca="1">IFERROR(GETPIVOTDATA("Cuenta de CANT",Tabla9,"PROV",[1]Tablas!$A$49,"SEFIS",AL$16,"CANT",[1]Tablas!$A8),0)</f>
        <v>0</v>
      </c>
      <c r="AM37" s="15">
        <f ca="1">IFERROR(GETPIVOTDATA("Cuenta de CANT",Tabla9,"PROV",[1]Tablas!$A$49,"SEFIS",AM$16,"CANT",[1]Tablas!$A8),0)</f>
        <v>0</v>
      </c>
      <c r="AN37" s="15">
        <f ca="1">IFERROR(GETPIVOTDATA("Cuenta de CANT",Tabla9,"PROV",[1]Tablas!$A$49,"SEFIS",AN$16,"CANT",[1]Tablas!$A8),0)</f>
        <v>0</v>
      </c>
      <c r="AO37" s="15">
        <f ca="1">IFERROR(GETPIVOTDATA("Cuenta de CANT",Tabla9,"PROV",[1]Tablas!$A$49,"SEFIS",AO$16,"CANT",[1]Tablas!$A8),0)</f>
        <v>0</v>
      </c>
      <c r="AP37" s="15">
        <f ca="1">IFERROR(GETPIVOTDATA("Cuenta de CANT",Tabla9,"PROV",[1]Tablas!$A$49,"SEFIS",AP$16,"CANT",[1]Tablas!$A8),0)</f>
        <v>0</v>
      </c>
      <c r="AQ37" s="15">
        <f ca="1">IFERROR(GETPIVOTDATA("Cuenta de CANT",Tabla9,"PROV",[1]Tablas!$A$49,"SEFIS",AQ$16,"CANT",[1]Tablas!$A8),0)</f>
        <v>0</v>
      </c>
      <c r="AR37" s="15">
        <f ca="1">IFERROR(GETPIVOTDATA("Cuenta de CANT",Tabla9,"PROV",[1]Tablas!$A$49,"SEFIS",AR$16,"CANT",[1]Tablas!$A8),0)</f>
        <v>0</v>
      </c>
      <c r="AS37" s="15">
        <f ca="1">IFERROR(GETPIVOTDATA("Cuenta de CANT",Tabla9,"PROV",[1]Tablas!$A$49,"SEFIS",AS$16,"CANT",[1]Tablas!$A8),0)</f>
        <v>0</v>
      </c>
      <c r="AT37" s="15">
        <f ca="1">IFERROR(GETPIVOTDATA("Cuenta de CANT",Tabla9,"PROV",[1]Tablas!$A$49,"SEFIS",AT$16,"CANT",[1]Tablas!$A8),0)</f>
        <v>0</v>
      </c>
      <c r="AU37" s="15">
        <f ca="1">IFERROR(GETPIVOTDATA("Cuenta de CANT",Tabla9,"PROV",[1]Tablas!$A$49,"SEFIS",AU$16,"CANT",[1]Tablas!$A8),0)</f>
        <v>0</v>
      </c>
      <c r="AV37" s="15">
        <f ca="1">IFERROR(GETPIVOTDATA("Cuenta de CANT",Tabla9,"PROV",[1]Tablas!$A$49,"SEFIS",AV$16,"CANT",[1]Tablas!$A8),0)</f>
        <v>0</v>
      </c>
      <c r="AW37" s="15">
        <f ca="1">IFERROR(GETPIVOTDATA("Cuenta de CANT",Tabla9,"PROV",[1]Tablas!$A$49,"SEFIS",AW$16,"CANT",[1]Tablas!$A8),0)</f>
        <v>0</v>
      </c>
      <c r="AX37" s="15">
        <f ca="1">IFERROR(GETPIVOTDATA("Cuenta de CANT",Tabla9,"PROV",[1]Tablas!$A$49,"SEFIS",AX$16,"CANT",[1]Tablas!$A8),0)</f>
        <v>1</v>
      </c>
      <c r="AY37" s="15">
        <f ca="1">IFERROR(GETPIVOTDATA("Cuenta de CANT",Tabla9,"PROV",[1]Tablas!$A$49,"SEFIS",AY$16,"CANT",[1]Tablas!$A8),0)</f>
        <v>0</v>
      </c>
      <c r="AZ37" s="15">
        <f ca="1">IFERROR(GETPIVOTDATA("Cuenta de CANT",Tabla9,"PROV",[1]Tablas!$A$49,"SEFIS",AZ$16,"CANT",[1]Tablas!$A8),0)</f>
        <v>0</v>
      </c>
      <c r="BA37" s="15">
        <f ca="1">IFERROR(GETPIVOTDATA("Cuenta de CANT",Tabla9,"PROV",[1]Tablas!$A$49,"SEFIS",BA$16,"CANT",[1]Tablas!$A8),0)</f>
        <v>0</v>
      </c>
      <c r="BB37" s="15">
        <f ca="1">IFERROR(GETPIVOTDATA("Cuenta de CANT",Tabla9,"PROV",[1]Tablas!$A$49,"SEFIS",BB$16,"CANT",[1]Tablas!$A8),0)</f>
        <v>0</v>
      </c>
      <c r="BC37" s="15">
        <f ca="1">IFERROR(GETPIVOTDATA("Cuenta de CANT",Tabla9,"PROV",[1]Tablas!$A$49,"SEFIS",BC$16,"CANT",[1]Tablas!$A8),0)</f>
        <v>0</v>
      </c>
    </row>
    <row r="38" spans="1:55" x14ac:dyDescent="0.35">
      <c r="A38" s="14" t="s">
        <v>34</v>
      </c>
      <c r="B38" s="15">
        <f t="shared" ca="1" si="1"/>
        <v>7</v>
      </c>
      <c r="C38" s="16">
        <f ca="1">IFERROR(B38/[1]Tablas!$B9*100000,"N/D")</f>
        <v>7.6550419386940503</v>
      </c>
      <c r="D38" s="15">
        <f ca="1">IFERROR(GETPIVOTDATA("Cuenta de CANT",Tabla9,"PROV",[1]Tablas!$A$49,"SEFIS",D$16,"CANT",[1]Tablas!$A9),0)</f>
        <v>0</v>
      </c>
      <c r="E38" s="15">
        <f ca="1">IFERROR(GETPIVOTDATA("Cuenta de CANT",Tabla9,"PROV",[1]Tablas!$A$49,"SEFIS",E$16,"CANT",[1]Tablas!$A9),0)</f>
        <v>0</v>
      </c>
      <c r="F38" s="15">
        <f ca="1">IFERROR(GETPIVOTDATA("Cuenta de CANT",Tabla9,"PROV",[1]Tablas!$A$49,"SEFIS",F$16,"CANT",[1]Tablas!$A9),0)</f>
        <v>0</v>
      </c>
      <c r="G38" s="15">
        <f ca="1">IFERROR(GETPIVOTDATA("Cuenta de CANT",Tabla9,"PROV",[1]Tablas!$A$49,"SEFIS",G$16,"CANT",[1]Tablas!$A9),0)</f>
        <v>0</v>
      </c>
      <c r="H38" s="15">
        <f ca="1">IFERROR(GETPIVOTDATA("Cuenta de CANT",Tabla9,"PROV",[1]Tablas!$A$49,"SEFIS",H$16,"CANT",[1]Tablas!$A9),0)</f>
        <v>0</v>
      </c>
      <c r="I38" s="15">
        <f ca="1">IFERROR(GETPIVOTDATA("Cuenta de CANT",Tabla9,"PROV",[1]Tablas!$A$49,"SEFIS",I$16,"CANT",[1]Tablas!$A9),0)</f>
        <v>0</v>
      </c>
      <c r="J38" s="15">
        <f ca="1">IFERROR(GETPIVOTDATA("Cuenta de CANT",Tabla9,"PROV",[1]Tablas!$A$49,"SEFIS",J$16,"CANT",[1]Tablas!$A9),0)</f>
        <v>0</v>
      </c>
      <c r="K38" s="15">
        <f ca="1">IFERROR(GETPIVOTDATA("Cuenta de CANT",Tabla9,"PROV",[1]Tablas!$A$49,"SEFIS",K$16,"CANT",[1]Tablas!$A9),0)</f>
        <v>0</v>
      </c>
      <c r="L38" s="15">
        <f ca="1">IFERROR(GETPIVOTDATA("Cuenta de CANT",Tabla9,"PROV",[1]Tablas!$A$49,"SEFIS",L$16,"CANT",[1]Tablas!$A9),0)</f>
        <v>0</v>
      </c>
      <c r="M38" s="15">
        <f ca="1">IFERROR(GETPIVOTDATA("Cuenta de CANT",Tabla9,"PROV",[1]Tablas!$A$49,"SEFIS",M$16,"CANT",[1]Tablas!$A9),0)</f>
        <v>0</v>
      </c>
      <c r="N38" s="15">
        <f ca="1">IFERROR(GETPIVOTDATA("Cuenta de CANT",Tabla9,"PROV",[1]Tablas!$A$49,"SEFIS",N$16,"CANT",[1]Tablas!$A9),0)</f>
        <v>0</v>
      </c>
      <c r="O38" s="15">
        <f ca="1">IFERROR(GETPIVOTDATA("Cuenta de CANT",Tabla9,"PROV",[1]Tablas!$A$49,"SEFIS",O$16,"CANT",[1]Tablas!$A9),0)</f>
        <v>0</v>
      </c>
      <c r="P38" s="15">
        <f ca="1">IFERROR(GETPIVOTDATA("Cuenta de CANT",Tabla9,"PROV",[1]Tablas!$A$49,"SEFIS",P$16,"CANT",[1]Tablas!$A9),0)</f>
        <v>0</v>
      </c>
      <c r="Q38" s="15">
        <f ca="1">IFERROR(GETPIVOTDATA("Cuenta de CANT",Tabla9,"PROV",[1]Tablas!$A$49,"SEFIS",Q$16,"CANT",[1]Tablas!$A9),0)</f>
        <v>0</v>
      </c>
      <c r="R38" s="15">
        <f ca="1">IFERROR(GETPIVOTDATA("Cuenta de CANT",Tabla9,"PROV",[1]Tablas!$A$49,"SEFIS",R$16,"CANT",[1]Tablas!$A9),0)</f>
        <v>0</v>
      </c>
      <c r="S38" s="15">
        <f ca="1">IFERROR(GETPIVOTDATA("Cuenta de CANT",Tabla9,"PROV",[1]Tablas!$A$49,"SEFIS",S$16,"CANT",[1]Tablas!$A9),0)</f>
        <v>0</v>
      </c>
      <c r="T38" s="15">
        <f ca="1">IFERROR(GETPIVOTDATA("Cuenta de CANT",Tabla9,"PROV",[1]Tablas!$A$49,"SEFIS",T$16,"CANT",[1]Tablas!$A9),0)</f>
        <v>0</v>
      </c>
      <c r="U38" s="15">
        <f ca="1">IFERROR(GETPIVOTDATA("Cuenta de CANT",Tabla9,"PROV",[1]Tablas!$A$49,"SEFIS",U$16,"CANT",[1]Tablas!$A9),0)</f>
        <v>0</v>
      </c>
      <c r="V38" s="15">
        <f ca="1">IFERROR(GETPIVOTDATA("Cuenta de CANT",Tabla9,"PROV",[1]Tablas!$A$49,"SEFIS",V$16,"CANT",[1]Tablas!$A9),0)</f>
        <v>0</v>
      </c>
      <c r="W38" s="15">
        <f ca="1">IFERROR(GETPIVOTDATA("Cuenta de CANT",Tabla9,"PROV",[1]Tablas!$A$49,"SEFIS",W$16,"CANT",[1]Tablas!$A9),0)</f>
        <v>0</v>
      </c>
      <c r="X38" s="15">
        <f ca="1">IFERROR(GETPIVOTDATA("Cuenta de CANT",Tabla9,"PROV",[1]Tablas!$A$49,"SEFIS",X$16,"CANT",[1]Tablas!$A9),0)</f>
        <v>0</v>
      </c>
      <c r="Y38" s="15">
        <f ca="1">IFERROR(GETPIVOTDATA("Cuenta de CANT",Tabla9,"PROV",[1]Tablas!$A$49,"SEFIS",Y$16,"CANT",[1]Tablas!$A9),0)</f>
        <v>0</v>
      </c>
      <c r="Z38" s="15">
        <f ca="1">IFERROR(GETPIVOTDATA("Cuenta de CANT",Tabla9,"PROV",[1]Tablas!$A$49,"SEFIS",Z$16,"CANT",[1]Tablas!$A9),0)</f>
        <v>0</v>
      </c>
      <c r="AA38" s="15">
        <f ca="1">IFERROR(GETPIVOTDATA("Cuenta de CANT",Tabla9,"PROV",[1]Tablas!$A$49,"SEFIS",AA$16,"CANT",[1]Tablas!$A9),0)</f>
        <v>0</v>
      </c>
      <c r="AB38" s="15">
        <f ca="1">IFERROR(GETPIVOTDATA("Cuenta de CANT",Tabla9,"PROV",[1]Tablas!$A$49,"SEFIS",AB$16,"CANT",[1]Tablas!$A9),0)</f>
        <v>0</v>
      </c>
      <c r="AC38" s="15">
        <f ca="1">IFERROR(GETPIVOTDATA("Cuenta de CANT",Tabla9,"PROV",[1]Tablas!$A$49,"SEFIS",AC$16,"CANT",[1]Tablas!$A9),0)</f>
        <v>0</v>
      </c>
      <c r="AD38" s="15">
        <f ca="1">IFERROR(GETPIVOTDATA("Cuenta de CANT",Tabla9,"PROV",[1]Tablas!$A$49,"SEFIS",AD$16,"CANT",[1]Tablas!$A9),0)</f>
        <v>0</v>
      </c>
      <c r="AE38" s="15">
        <f ca="1">IFERROR(GETPIVOTDATA("Cuenta de CANT",Tabla9,"PROV",[1]Tablas!$A$49,"SEFIS",AE$16,"CANT",[1]Tablas!$A9),0)</f>
        <v>0</v>
      </c>
      <c r="AF38" s="15">
        <f ca="1">IFERROR(GETPIVOTDATA("Cuenta de CANT",Tabla9,"PROV",[1]Tablas!$A$49,"SEFIS",AF$16,"CANT",[1]Tablas!$A9),0)</f>
        <v>0</v>
      </c>
      <c r="AG38" s="15">
        <f ca="1">IFERROR(GETPIVOTDATA("Cuenta de CANT",Tabla9,"PROV",[1]Tablas!$A$49,"SEFIS",AG$16,"CANT",[1]Tablas!$A9),0)</f>
        <v>0</v>
      </c>
      <c r="AH38" s="15">
        <f ca="1">IFERROR(GETPIVOTDATA("Cuenta de CANT",Tabla9,"PROV",[1]Tablas!$A$49,"SEFIS",AH$16,"CANT",[1]Tablas!$A9),0)</f>
        <v>0</v>
      </c>
      <c r="AI38" s="15">
        <f ca="1">IFERROR(GETPIVOTDATA("Cuenta de CANT",Tabla9,"PROV",[1]Tablas!$A$49,"SEFIS",AI$16,"CANT",[1]Tablas!$A9),0)</f>
        <v>0</v>
      </c>
      <c r="AJ38" s="15">
        <f ca="1">IFERROR(GETPIVOTDATA("Cuenta de CANT",Tabla9,"PROV",[1]Tablas!$A$49,"SEFIS",AJ$16,"CANT",[1]Tablas!$A9),0)</f>
        <v>0</v>
      </c>
      <c r="AK38" s="15">
        <f ca="1">IFERROR(GETPIVOTDATA("Cuenta de CANT",Tabla9,"PROV",[1]Tablas!$A$49,"SEFIS",AK$16,"CANT",[1]Tablas!$A9),0)</f>
        <v>0</v>
      </c>
      <c r="AL38" s="15">
        <f ca="1">IFERROR(GETPIVOTDATA("Cuenta de CANT",Tabla9,"PROV",[1]Tablas!$A$49,"SEFIS",AL$16,"CANT",[1]Tablas!$A9),0)</f>
        <v>0</v>
      </c>
      <c r="AM38" s="15">
        <f ca="1">IFERROR(GETPIVOTDATA("Cuenta de CANT",Tabla9,"PROV",[1]Tablas!$A$49,"SEFIS",AM$16,"CANT",[1]Tablas!$A9),0)</f>
        <v>0</v>
      </c>
      <c r="AN38" s="15">
        <f ca="1">IFERROR(GETPIVOTDATA("Cuenta de CANT",Tabla9,"PROV",[1]Tablas!$A$49,"SEFIS",AN$16,"CANT",[1]Tablas!$A9),0)</f>
        <v>0</v>
      </c>
      <c r="AO38" s="15">
        <f ca="1">IFERROR(GETPIVOTDATA("Cuenta de CANT",Tabla9,"PROV",[1]Tablas!$A$49,"SEFIS",AO$16,"CANT",[1]Tablas!$A9),0)</f>
        <v>0</v>
      </c>
      <c r="AP38" s="15">
        <f ca="1">IFERROR(GETPIVOTDATA("Cuenta de CANT",Tabla9,"PROV",[1]Tablas!$A$49,"SEFIS",AP$16,"CANT",[1]Tablas!$A9),0)</f>
        <v>1</v>
      </c>
      <c r="AQ38" s="15">
        <f ca="1">IFERROR(GETPIVOTDATA("Cuenta de CANT",Tabla9,"PROV",[1]Tablas!$A$49,"SEFIS",AQ$16,"CANT",[1]Tablas!$A9),0)</f>
        <v>0</v>
      </c>
      <c r="AR38" s="15">
        <f ca="1">IFERROR(GETPIVOTDATA("Cuenta de CANT",Tabla9,"PROV",[1]Tablas!$A$49,"SEFIS",AR$16,"CANT",[1]Tablas!$A9),0)</f>
        <v>1</v>
      </c>
      <c r="AS38" s="15">
        <f ca="1">IFERROR(GETPIVOTDATA("Cuenta de CANT",Tabla9,"PROV",[1]Tablas!$A$49,"SEFIS",AS$16,"CANT",[1]Tablas!$A9),0)</f>
        <v>0</v>
      </c>
      <c r="AT38" s="15">
        <f ca="1">IFERROR(GETPIVOTDATA("Cuenta de CANT",Tabla9,"PROV",[1]Tablas!$A$49,"SEFIS",AT$16,"CANT",[1]Tablas!$A9),0)</f>
        <v>1</v>
      </c>
      <c r="AU38" s="15">
        <f ca="1">IFERROR(GETPIVOTDATA("Cuenta de CANT",Tabla9,"PROV",[1]Tablas!$A$49,"SEFIS",AU$16,"CANT",[1]Tablas!$A9),0)</f>
        <v>0</v>
      </c>
      <c r="AV38" s="15">
        <f ca="1">IFERROR(GETPIVOTDATA("Cuenta de CANT",Tabla9,"PROV",[1]Tablas!$A$49,"SEFIS",AV$16,"CANT",[1]Tablas!$A9),0)</f>
        <v>0</v>
      </c>
      <c r="AW38" s="15">
        <f ca="1">IFERROR(GETPIVOTDATA("Cuenta de CANT",Tabla9,"PROV",[1]Tablas!$A$49,"SEFIS",AW$16,"CANT",[1]Tablas!$A9),0)</f>
        <v>0</v>
      </c>
      <c r="AX38" s="15">
        <f ca="1">IFERROR(GETPIVOTDATA("Cuenta de CANT",Tabla9,"PROV",[1]Tablas!$A$49,"SEFIS",AX$16,"CANT",[1]Tablas!$A9),0)</f>
        <v>1</v>
      </c>
      <c r="AY38" s="15">
        <f ca="1">IFERROR(GETPIVOTDATA("Cuenta de CANT",Tabla9,"PROV",[1]Tablas!$A$49,"SEFIS",AY$16,"CANT",[1]Tablas!$A9),0)</f>
        <v>2</v>
      </c>
      <c r="AZ38" s="15">
        <f ca="1">IFERROR(GETPIVOTDATA("Cuenta de CANT",Tabla9,"PROV",[1]Tablas!$A$49,"SEFIS",AZ$16,"CANT",[1]Tablas!$A9),0)</f>
        <v>1</v>
      </c>
      <c r="BA38" s="15">
        <f ca="1">IFERROR(GETPIVOTDATA("Cuenta de CANT",Tabla9,"PROV",[1]Tablas!$A$49,"SEFIS",BA$16,"CANT",[1]Tablas!$A9),0)</f>
        <v>0</v>
      </c>
      <c r="BB38" s="15">
        <f ca="1">IFERROR(GETPIVOTDATA("Cuenta de CANT",Tabla9,"PROV",[1]Tablas!$A$49,"SEFIS",BB$16,"CANT",[1]Tablas!$A9),0)</f>
        <v>0</v>
      </c>
      <c r="BC38" s="15">
        <f ca="1">IFERROR(GETPIVOTDATA("Cuenta de CANT",Tabla9,"PROV",[1]Tablas!$A$49,"SEFIS",BC$16,"CANT",[1]Tablas!$A9),0)</f>
        <v>0</v>
      </c>
    </row>
    <row r="39" spans="1:55" x14ac:dyDescent="0.35">
      <c r="A39" s="14" t="s">
        <v>35</v>
      </c>
      <c r="B39" s="15">
        <f t="shared" ca="1" si="1"/>
        <v>5</v>
      </c>
      <c r="C39" s="16">
        <f ca="1">IFERROR(B39/[1]Tablas!$B10*100000,"N/D")</f>
        <v>71.459196798627985</v>
      </c>
      <c r="D39" s="15">
        <f ca="1">IFERROR(GETPIVOTDATA("Cuenta de CANT",Tabla9,"PROV",[1]Tablas!$A$49,"SEFIS",D$16,"CANT",[1]Tablas!$A10),0)</f>
        <v>0</v>
      </c>
      <c r="E39" s="15">
        <f ca="1">IFERROR(GETPIVOTDATA("Cuenta de CANT",Tabla9,"PROV",[1]Tablas!$A$49,"SEFIS",E$16,"CANT",[1]Tablas!$A10),0)</f>
        <v>0</v>
      </c>
      <c r="F39" s="15">
        <f ca="1">IFERROR(GETPIVOTDATA("Cuenta de CANT",Tabla9,"PROV",[1]Tablas!$A$49,"SEFIS",F$16,"CANT",[1]Tablas!$A10),0)</f>
        <v>0</v>
      </c>
      <c r="G39" s="15">
        <f ca="1">IFERROR(GETPIVOTDATA("Cuenta de CANT",Tabla9,"PROV",[1]Tablas!$A$49,"SEFIS",G$16,"CANT",[1]Tablas!$A10),0)</f>
        <v>0</v>
      </c>
      <c r="H39" s="15">
        <f ca="1">IFERROR(GETPIVOTDATA("Cuenta de CANT",Tabla9,"PROV",[1]Tablas!$A$49,"SEFIS",H$16,"CANT",[1]Tablas!$A10),0)</f>
        <v>0</v>
      </c>
      <c r="I39" s="15">
        <f ca="1">IFERROR(GETPIVOTDATA("Cuenta de CANT",Tabla9,"PROV",[1]Tablas!$A$49,"SEFIS",I$16,"CANT",[1]Tablas!$A10),0)</f>
        <v>0</v>
      </c>
      <c r="J39" s="15">
        <f ca="1">IFERROR(GETPIVOTDATA("Cuenta de CANT",Tabla9,"PROV",[1]Tablas!$A$49,"SEFIS",J$16,"CANT",[1]Tablas!$A10),0)</f>
        <v>0</v>
      </c>
      <c r="K39" s="15">
        <f ca="1">IFERROR(GETPIVOTDATA("Cuenta de CANT",Tabla9,"PROV",[1]Tablas!$A$49,"SEFIS",K$16,"CANT",[1]Tablas!$A10),0)</f>
        <v>0</v>
      </c>
      <c r="L39" s="15">
        <f ca="1">IFERROR(GETPIVOTDATA("Cuenta de CANT",Tabla9,"PROV",[1]Tablas!$A$49,"SEFIS",L$16,"CANT",[1]Tablas!$A10),0)</f>
        <v>0</v>
      </c>
      <c r="M39" s="15">
        <f ca="1">IFERROR(GETPIVOTDATA("Cuenta de CANT",Tabla9,"PROV",[1]Tablas!$A$49,"SEFIS",M$16,"CANT",[1]Tablas!$A10),0)</f>
        <v>0</v>
      </c>
      <c r="N39" s="15">
        <f ca="1">IFERROR(GETPIVOTDATA("Cuenta de CANT",Tabla9,"PROV",[1]Tablas!$A$49,"SEFIS",N$16,"CANT",[1]Tablas!$A10),0)</f>
        <v>0</v>
      </c>
      <c r="O39" s="15">
        <f ca="1">IFERROR(GETPIVOTDATA("Cuenta de CANT",Tabla9,"PROV",[1]Tablas!$A$49,"SEFIS",O$16,"CANT",[1]Tablas!$A10),0)</f>
        <v>0</v>
      </c>
      <c r="P39" s="15">
        <f ca="1">IFERROR(GETPIVOTDATA("Cuenta de CANT",Tabla9,"PROV",[1]Tablas!$A$49,"SEFIS",P$16,"CANT",[1]Tablas!$A10),0)</f>
        <v>0</v>
      </c>
      <c r="Q39" s="15">
        <f ca="1">IFERROR(GETPIVOTDATA("Cuenta de CANT",Tabla9,"PROV",[1]Tablas!$A$49,"SEFIS",Q$16,"CANT",[1]Tablas!$A10),0)</f>
        <v>0</v>
      </c>
      <c r="R39" s="15">
        <f ca="1">IFERROR(GETPIVOTDATA("Cuenta de CANT",Tabla9,"PROV",[1]Tablas!$A$49,"SEFIS",R$16,"CANT",[1]Tablas!$A10),0)</f>
        <v>0</v>
      </c>
      <c r="S39" s="15">
        <f ca="1">IFERROR(GETPIVOTDATA("Cuenta de CANT",Tabla9,"PROV",[1]Tablas!$A$49,"SEFIS",S$16,"CANT",[1]Tablas!$A10),0)</f>
        <v>0</v>
      </c>
      <c r="T39" s="15">
        <f ca="1">IFERROR(GETPIVOTDATA("Cuenta de CANT",Tabla9,"PROV",[1]Tablas!$A$49,"SEFIS",T$16,"CANT",[1]Tablas!$A10),0)</f>
        <v>0</v>
      </c>
      <c r="U39" s="15">
        <f ca="1">IFERROR(GETPIVOTDATA("Cuenta de CANT",Tabla9,"PROV",[1]Tablas!$A$49,"SEFIS",U$16,"CANT",[1]Tablas!$A10),0)</f>
        <v>0</v>
      </c>
      <c r="V39" s="15">
        <f ca="1">IFERROR(GETPIVOTDATA("Cuenta de CANT",Tabla9,"PROV",[1]Tablas!$A$49,"SEFIS",V$16,"CANT",[1]Tablas!$A10),0)</f>
        <v>1</v>
      </c>
      <c r="W39" s="15">
        <f ca="1">IFERROR(GETPIVOTDATA("Cuenta de CANT",Tabla9,"PROV",[1]Tablas!$A$49,"SEFIS",W$16,"CANT",[1]Tablas!$A10),0)</f>
        <v>0</v>
      </c>
      <c r="X39" s="15">
        <f ca="1">IFERROR(GETPIVOTDATA("Cuenta de CANT",Tabla9,"PROV",[1]Tablas!$A$49,"SEFIS",X$16,"CANT",[1]Tablas!$A10),0)</f>
        <v>0</v>
      </c>
      <c r="Y39" s="15">
        <f ca="1">IFERROR(GETPIVOTDATA("Cuenta de CANT",Tabla9,"PROV",[1]Tablas!$A$49,"SEFIS",Y$16,"CANT",[1]Tablas!$A10),0)</f>
        <v>0</v>
      </c>
      <c r="Z39" s="15">
        <f ca="1">IFERROR(GETPIVOTDATA("Cuenta de CANT",Tabla9,"PROV",[1]Tablas!$A$49,"SEFIS",Z$16,"CANT",[1]Tablas!$A10),0)</f>
        <v>0</v>
      </c>
      <c r="AA39" s="15">
        <f ca="1">IFERROR(GETPIVOTDATA("Cuenta de CANT",Tabla9,"PROV",[1]Tablas!$A$49,"SEFIS",AA$16,"CANT",[1]Tablas!$A10),0)</f>
        <v>0</v>
      </c>
      <c r="AB39" s="15">
        <f ca="1">IFERROR(GETPIVOTDATA("Cuenta de CANT",Tabla9,"PROV",[1]Tablas!$A$49,"SEFIS",AB$16,"CANT",[1]Tablas!$A10),0)</f>
        <v>0</v>
      </c>
      <c r="AC39" s="15">
        <f ca="1">IFERROR(GETPIVOTDATA("Cuenta de CANT",Tabla9,"PROV",[1]Tablas!$A$49,"SEFIS",AC$16,"CANT",[1]Tablas!$A10),0)</f>
        <v>0</v>
      </c>
      <c r="AD39" s="15">
        <f ca="1">IFERROR(GETPIVOTDATA("Cuenta de CANT",Tabla9,"PROV",[1]Tablas!$A$49,"SEFIS",AD$16,"CANT",[1]Tablas!$A10),0)</f>
        <v>0</v>
      </c>
      <c r="AE39" s="15">
        <f ca="1">IFERROR(GETPIVOTDATA("Cuenta de CANT",Tabla9,"PROV",[1]Tablas!$A$49,"SEFIS",AE$16,"CANT",[1]Tablas!$A10),0)</f>
        <v>0</v>
      </c>
      <c r="AF39" s="15">
        <f ca="1">IFERROR(GETPIVOTDATA("Cuenta de CANT",Tabla9,"PROV",[1]Tablas!$A$49,"SEFIS",AF$16,"CANT",[1]Tablas!$A10),0)</f>
        <v>0</v>
      </c>
      <c r="AG39" s="15">
        <f ca="1">IFERROR(GETPIVOTDATA("Cuenta de CANT",Tabla9,"PROV",[1]Tablas!$A$49,"SEFIS",AG$16,"CANT",[1]Tablas!$A10),0)</f>
        <v>0</v>
      </c>
      <c r="AH39" s="15">
        <f ca="1">IFERROR(GETPIVOTDATA("Cuenta de CANT",Tabla9,"PROV",[1]Tablas!$A$49,"SEFIS",AH$16,"CANT",[1]Tablas!$A10),0)</f>
        <v>0</v>
      </c>
      <c r="AI39" s="15">
        <f ca="1">IFERROR(GETPIVOTDATA("Cuenta de CANT",Tabla9,"PROV",[1]Tablas!$A$49,"SEFIS",AI$16,"CANT",[1]Tablas!$A10),0)</f>
        <v>2</v>
      </c>
      <c r="AJ39" s="15">
        <f ca="1">IFERROR(GETPIVOTDATA("Cuenta de CANT",Tabla9,"PROV",[1]Tablas!$A$49,"SEFIS",AJ$16,"CANT",[1]Tablas!$A10),0)</f>
        <v>0</v>
      </c>
      <c r="AK39" s="15">
        <f ca="1">IFERROR(GETPIVOTDATA("Cuenta de CANT",Tabla9,"PROV",[1]Tablas!$A$49,"SEFIS",AK$16,"CANT",[1]Tablas!$A10),0)</f>
        <v>0</v>
      </c>
      <c r="AL39" s="15">
        <f ca="1">IFERROR(GETPIVOTDATA("Cuenta de CANT",Tabla9,"PROV",[1]Tablas!$A$49,"SEFIS",AL$16,"CANT",[1]Tablas!$A10),0)</f>
        <v>0</v>
      </c>
      <c r="AM39" s="15">
        <f ca="1">IFERROR(GETPIVOTDATA("Cuenta de CANT",Tabla9,"PROV",[1]Tablas!$A$49,"SEFIS",AM$16,"CANT",[1]Tablas!$A10),0)</f>
        <v>0</v>
      </c>
      <c r="AN39" s="15">
        <f ca="1">IFERROR(GETPIVOTDATA("Cuenta de CANT",Tabla9,"PROV",[1]Tablas!$A$49,"SEFIS",AN$16,"CANT",[1]Tablas!$A10),0)</f>
        <v>0</v>
      </c>
      <c r="AO39" s="15">
        <f ca="1">IFERROR(GETPIVOTDATA("Cuenta de CANT",Tabla9,"PROV",[1]Tablas!$A$49,"SEFIS",AO$16,"CANT",[1]Tablas!$A10),0)</f>
        <v>0</v>
      </c>
      <c r="AP39" s="15">
        <f ca="1">IFERROR(GETPIVOTDATA("Cuenta de CANT",Tabla9,"PROV",[1]Tablas!$A$49,"SEFIS",AP$16,"CANT",[1]Tablas!$A10),0)</f>
        <v>0</v>
      </c>
      <c r="AQ39" s="15">
        <f ca="1">IFERROR(GETPIVOTDATA("Cuenta de CANT",Tabla9,"PROV",[1]Tablas!$A$49,"SEFIS",AQ$16,"CANT",[1]Tablas!$A10),0)</f>
        <v>1</v>
      </c>
      <c r="AR39" s="15">
        <f ca="1">IFERROR(GETPIVOTDATA("Cuenta de CANT",Tabla9,"PROV",[1]Tablas!$A$49,"SEFIS",AR$16,"CANT",[1]Tablas!$A10),0)</f>
        <v>0</v>
      </c>
      <c r="AS39" s="15">
        <f ca="1">IFERROR(GETPIVOTDATA("Cuenta de CANT",Tabla9,"PROV",[1]Tablas!$A$49,"SEFIS",AS$16,"CANT",[1]Tablas!$A10),0)</f>
        <v>0</v>
      </c>
      <c r="AT39" s="15">
        <f ca="1">IFERROR(GETPIVOTDATA("Cuenta de CANT",Tabla9,"PROV",[1]Tablas!$A$49,"SEFIS",AT$16,"CANT",[1]Tablas!$A10),0)</f>
        <v>0</v>
      </c>
      <c r="AU39" s="15">
        <f ca="1">IFERROR(GETPIVOTDATA("Cuenta de CANT",Tabla9,"PROV",[1]Tablas!$A$49,"SEFIS",AU$16,"CANT",[1]Tablas!$A10),0)</f>
        <v>0</v>
      </c>
      <c r="AV39" s="15">
        <f ca="1">IFERROR(GETPIVOTDATA("Cuenta de CANT",Tabla9,"PROV",[1]Tablas!$A$49,"SEFIS",AV$16,"CANT",[1]Tablas!$A10),0)</f>
        <v>0</v>
      </c>
      <c r="AW39" s="15">
        <f ca="1">IFERROR(GETPIVOTDATA("Cuenta de CANT",Tabla9,"PROV",[1]Tablas!$A$49,"SEFIS",AW$16,"CANT",[1]Tablas!$A10),0)</f>
        <v>0</v>
      </c>
      <c r="AX39" s="15">
        <f ca="1">IFERROR(GETPIVOTDATA("Cuenta de CANT",Tabla9,"PROV",[1]Tablas!$A$49,"SEFIS",AX$16,"CANT",[1]Tablas!$A10),0)</f>
        <v>0</v>
      </c>
      <c r="AY39" s="15">
        <f ca="1">IFERROR(GETPIVOTDATA("Cuenta de CANT",Tabla9,"PROV",[1]Tablas!$A$49,"SEFIS",AY$16,"CANT",[1]Tablas!$A10),0)</f>
        <v>0</v>
      </c>
      <c r="AZ39" s="15">
        <f ca="1">IFERROR(GETPIVOTDATA("Cuenta de CANT",Tabla9,"PROV",[1]Tablas!$A$49,"SEFIS",AZ$16,"CANT",[1]Tablas!$A10),0)</f>
        <v>0</v>
      </c>
      <c r="BA39" s="15">
        <f ca="1">IFERROR(GETPIVOTDATA("Cuenta de CANT",Tabla9,"PROV",[1]Tablas!$A$49,"SEFIS",BA$16,"CANT",[1]Tablas!$A10),0)</f>
        <v>0</v>
      </c>
      <c r="BB39" s="15">
        <f ca="1">IFERROR(GETPIVOTDATA("Cuenta de CANT",Tabla9,"PROV",[1]Tablas!$A$49,"SEFIS",BB$16,"CANT",[1]Tablas!$A10),0)</f>
        <v>0</v>
      </c>
      <c r="BC39" s="15">
        <f ca="1">IFERROR(GETPIVOTDATA("Cuenta de CANT",Tabla9,"PROV",[1]Tablas!$A$49,"SEFIS",BC$16,"CANT",[1]Tablas!$A10),0)</f>
        <v>1</v>
      </c>
    </row>
    <row r="40" spans="1:55" x14ac:dyDescent="0.35">
      <c r="A40" s="14" t="s">
        <v>36</v>
      </c>
      <c r="B40" s="15">
        <f t="shared" ca="1" si="1"/>
        <v>13</v>
      </c>
      <c r="C40" s="16">
        <f ca="1">IFERROR(B40/[1]Tablas!$B11*100000,"N/D")</f>
        <v>45.22211013323129</v>
      </c>
      <c r="D40" s="15">
        <f ca="1">IFERROR(GETPIVOTDATA("Cuenta de CANT",Tabla9,"PROV",[1]Tablas!$A$49,"SEFIS",D$16,"CANT",[1]Tablas!$A11),0)</f>
        <v>0</v>
      </c>
      <c r="E40" s="15">
        <f ca="1">IFERROR(GETPIVOTDATA("Cuenta de CANT",Tabla9,"PROV",[1]Tablas!$A$49,"SEFIS",E$16,"CANT",[1]Tablas!$A11),0)</f>
        <v>0</v>
      </c>
      <c r="F40" s="15">
        <f ca="1">IFERROR(GETPIVOTDATA("Cuenta de CANT",Tabla9,"PROV",[1]Tablas!$A$49,"SEFIS",F$16,"CANT",[1]Tablas!$A11),0)</f>
        <v>0</v>
      </c>
      <c r="G40" s="15">
        <f ca="1">IFERROR(GETPIVOTDATA("Cuenta de CANT",Tabla9,"PROV",[1]Tablas!$A$49,"SEFIS",G$16,"CANT",[1]Tablas!$A11),0)</f>
        <v>0</v>
      </c>
      <c r="H40" s="15">
        <f ca="1">IFERROR(GETPIVOTDATA("Cuenta de CANT",Tabla9,"PROV",[1]Tablas!$A$49,"SEFIS",H$16,"CANT",[1]Tablas!$A11),0)</f>
        <v>0</v>
      </c>
      <c r="I40" s="15">
        <f ca="1">IFERROR(GETPIVOTDATA("Cuenta de CANT",Tabla9,"PROV",[1]Tablas!$A$49,"SEFIS",I$16,"CANT",[1]Tablas!$A11),0)</f>
        <v>0</v>
      </c>
      <c r="J40" s="15">
        <f ca="1">IFERROR(GETPIVOTDATA("Cuenta de CANT",Tabla9,"PROV",[1]Tablas!$A$49,"SEFIS",J$16,"CANT",[1]Tablas!$A11),0)</f>
        <v>0</v>
      </c>
      <c r="K40" s="15">
        <f ca="1">IFERROR(GETPIVOTDATA("Cuenta de CANT",Tabla9,"PROV",[1]Tablas!$A$49,"SEFIS",K$16,"CANT",[1]Tablas!$A11),0)</f>
        <v>0</v>
      </c>
      <c r="L40" s="15">
        <f ca="1">IFERROR(GETPIVOTDATA("Cuenta de CANT",Tabla9,"PROV",[1]Tablas!$A$49,"SEFIS",L$16,"CANT",[1]Tablas!$A11),0)</f>
        <v>0</v>
      </c>
      <c r="M40" s="15">
        <f ca="1">IFERROR(GETPIVOTDATA("Cuenta de CANT",Tabla9,"PROV",[1]Tablas!$A$49,"SEFIS",M$16,"CANT",[1]Tablas!$A11),0)</f>
        <v>0</v>
      </c>
      <c r="N40" s="15">
        <f ca="1">IFERROR(GETPIVOTDATA("Cuenta de CANT",Tabla9,"PROV",[1]Tablas!$A$49,"SEFIS",N$16,"CANT",[1]Tablas!$A11),0)</f>
        <v>0</v>
      </c>
      <c r="O40" s="15">
        <f ca="1">IFERROR(GETPIVOTDATA("Cuenta de CANT",Tabla9,"PROV",[1]Tablas!$A$49,"SEFIS",O$16,"CANT",[1]Tablas!$A11),0)</f>
        <v>0</v>
      </c>
      <c r="P40" s="15">
        <f ca="1">IFERROR(GETPIVOTDATA("Cuenta de CANT",Tabla9,"PROV",[1]Tablas!$A$49,"SEFIS",P$16,"CANT",[1]Tablas!$A11),0)</f>
        <v>0</v>
      </c>
      <c r="Q40" s="15">
        <f ca="1">IFERROR(GETPIVOTDATA("Cuenta de CANT",Tabla9,"PROV",[1]Tablas!$A$49,"SEFIS",Q$16,"CANT",[1]Tablas!$A11),0)</f>
        <v>0</v>
      </c>
      <c r="R40" s="15">
        <f ca="1">IFERROR(GETPIVOTDATA("Cuenta de CANT",Tabla9,"PROV",[1]Tablas!$A$49,"SEFIS",R$16,"CANT",[1]Tablas!$A11),0)</f>
        <v>0</v>
      </c>
      <c r="S40" s="15">
        <f ca="1">IFERROR(GETPIVOTDATA("Cuenta de CANT",Tabla9,"PROV",[1]Tablas!$A$49,"SEFIS",S$16,"CANT",[1]Tablas!$A11),0)</f>
        <v>0</v>
      </c>
      <c r="T40" s="15">
        <f ca="1">IFERROR(GETPIVOTDATA("Cuenta de CANT",Tabla9,"PROV",[1]Tablas!$A$49,"SEFIS",T$16,"CANT",[1]Tablas!$A11),0)</f>
        <v>0</v>
      </c>
      <c r="U40" s="15">
        <f ca="1">IFERROR(GETPIVOTDATA("Cuenta de CANT",Tabla9,"PROV",[1]Tablas!$A$49,"SEFIS",U$16,"CANT",[1]Tablas!$A11),0)</f>
        <v>0</v>
      </c>
      <c r="V40" s="15">
        <f ca="1">IFERROR(GETPIVOTDATA("Cuenta de CANT",Tabla9,"PROV",[1]Tablas!$A$49,"SEFIS",V$16,"CANT",[1]Tablas!$A11),0)</f>
        <v>0</v>
      </c>
      <c r="W40" s="15">
        <f ca="1">IFERROR(GETPIVOTDATA("Cuenta de CANT",Tabla9,"PROV",[1]Tablas!$A$49,"SEFIS",W$16,"CANT",[1]Tablas!$A11),0)</f>
        <v>0</v>
      </c>
      <c r="X40" s="15">
        <f ca="1">IFERROR(GETPIVOTDATA("Cuenta de CANT",Tabla9,"PROV",[1]Tablas!$A$49,"SEFIS",X$16,"CANT",[1]Tablas!$A11),0)</f>
        <v>0</v>
      </c>
      <c r="Y40" s="15">
        <f ca="1">IFERROR(GETPIVOTDATA("Cuenta de CANT",Tabla9,"PROV",[1]Tablas!$A$49,"SEFIS",Y$16,"CANT",[1]Tablas!$A11),0)</f>
        <v>0</v>
      </c>
      <c r="Z40" s="15">
        <f ca="1">IFERROR(GETPIVOTDATA("Cuenta de CANT",Tabla9,"PROV",[1]Tablas!$A$49,"SEFIS",Z$16,"CANT",[1]Tablas!$A11),0)</f>
        <v>0</v>
      </c>
      <c r="AA40" s="15">
        <f ca="1">IFERROR(GETPIVOTDATA("Cuenta de CANT",Tabla9,"PROV",[1]Tablas!$A$49,"SEFIS",AA$16,"CANT",[1]Tablas!$A11),0)</f>
        <v>0</v>
      </c>
      <c r="AB40" s="15">
        <f ca="1">IFERROR(GETPIVOTDATA("Cuenta de CANT",Tabla9,"PROV",[1]Tablas!$A$49,"SEFIS",AB$16,"CANT",[1]Tablas!$A11),0)</f>
        <v>0</v>
      </c>
      <c r="AC40" s="15">
        <f ca="1">IFERROR(GETPIVOTDATA("Cuenta de CANT",Tabla9,"PROV",[1]Tablas!$A$49,"SEFIS",AC$16,"CANT",[1]Tablas!$A11),0)</f>
        <v>0</v>
      </c>
      <c r="AD40" s="15">
        <f ca="1">IFERROR(GETPIVOTDATA("Cuenta de CANT",Tabla9,"PROV",[1]Tablas!$A$49,"SEFIS",AD$16,"CANT",[1]Tablas!$A11),0)</f>
        <v>0</v>
      </c>
      <c r="AE40" s="15">
        <f ca="1">IFERROR(GETPIVOTDATA("Cuenta de CANT",Tabla9,"PROV",[1]Tablas!$A$49,"SEFIS",AE$16,"CANT",[1]Tablas!$A11),0)</f>
        <v>1</v>
      </c>
      <c r="AF40" s="15">
        <f ca="1">IFERROR(GETPIVOTDATA("Cuenta de CANT",Tabla9,"PROV",[1]Tablas!$A$49,"SEFIS",AF$16,"CANT",[1]Tablas!$A11),0)</f>
        <v>1</v>
      </c>
      <c r="AG40" s="15">
        <f ca="1">IFERROR(GETPIVOTDATA("Cuenta de CANT",Tabla9,"PROV",[1]Tablas!$A$49,"SEFIS",AG$16,"CANT",[1]Tablas!$A11),0)</f>
        <v>0</v>
      </c>
      <c r="AH40" s="15">
        <f ca="1">IFERROR(GETPIVOTDATA("Cuenta de CANT",Tabla9,"PROV",[1]Tablas!$A$49,"SEFIS",AH$16,"CANT",[1]Tablas!$A11),0)</f>
        <v>0</v>
      </c>
      <c r="AI40" s="15">
        <f ca="1">IFERROR(GETPIVOTDATA("Cuenta de CANT",Tabla9,"PROV",[1]Tablas!$A$49,"SEFIS",AI$16,"CANT",[1]Tablas!$A11),0)</f>
        <v>0</v>
      </c>
      <c r="AJ40" s="15">
        <f ca="1">IFERROR(GETPIVOTDATA("Cuenta de CANT",Tabla9,"PROV",[1]Tablas!$A$49,"SEFIS",AJ$16,"CANT",[1]Tablas!$A11),0)</f>
        <v>0</v>
      </c>
      <c r="AK40" s="15">
        <f ca="1">IFERROR(GETPIVOTDATA("Cuenta de CANT",Tabla9,"PROV",[1]Tablas!$A$49,"SEFIS",AK$16,"CANT",[1]Tablas!$A11),0)</f>
        <v>0</v>
      </c>
      <c r="AL40" s="15">
        <f ca="1">IFERROR(GETPIVOTDATA("Cuenta de CANT",Tabla9,"PROV",[1]Tablas!$A$49,"SEFIS",AL$16,"CANT",[1]Tablas!$A11),0)</f>
        <v>0</v>
      </c>
      <c r="AM40" s="15">
        <f ca="1">IFERROR(GETPIVOTDATA("Cuenta de CANT",Tabla9,"PROV",[1]Tablas!$A$49,"SEFIS",AM$16,"CANT",[1]Tablas!$A11),0)</f>
        <v>0</v>
      </c>
      <c r="AN40" s="15">
        <f ca="1">IFERROR(GETPIVOTDATA("Cuenta de CANT",Tabla9,"PROV",[1]Tablas!$A$49,"SEFIS",AN$16,"CANT",[1]Tablas!$A11),0)</f>
        <v>0</v>
      </c>
      <c r="AO40" s="15">
        <f ca="1">IFERROR(GETPIVOTDATA("Cuenta de CANT",Tabla9,"PROV",[1]Tablas!$A$49,"SEFIS",AO$16,"CANT",[1]Tablas!$A11),0)</f>
        <v>0</v>
      </c>
      <c r="AP40" s="15">
        <f ca="1">IFERROR(GETPIVOTDATA("Cuenta de CANT",Tabla9,"PROV",[1]Tablas!$A$49,"SEFIS",AP$16,"CANT",[1]Tablas!$A11),0)</f>
        <v>0</v>
      </c>
      <c r="AQ40" s="15">
        <f ca="1">IFERROR(GETPIVOTDATA("Cuenta de CANT",Tabla9,"PROV",[1]Tablas!$A$49,"SEFIS",AQ$16,"CANT",[1]Tablas!$A11),0)</f>
        <v>0</v>
      </c>
      <c r="AR40" s="15">
        <f ca="1">IFERROR(GETPIVOTDATA("Cuenta de CANT",Tabla9,"PROV",[1]Tablas!$A$49,"SEFIS",AR$16,"CANT",[1]Tablas!$A11),0)</f>
        <v>0</v>
      </c>
      <c r="AS40" s="15">
        <f ca="1">IFERROR(GETPIVOTDATA("Cuenta de CANT",Tabla9,"PROV",[1]Tablas!$A$49,"SEFIS",AS$16,"CANT",[1]Tablas!$A11),0)</f>
        <v>0</v>
      </c>
      <c r="AT40" s="15">
        <f ca="1">IFERROR(GETPIVOTDATA("Cuenta de CANT",Tabla9,"PROV",[1]Tablas!$A$49,"SEFIS",AT$16,"CANT",[1]Tablas!$A11),0)</f>
        <v>0</v>
      </c>
      <c r="AU40" s="15">
        <f ca="1">IFERROR(GETPIVOTDATA("Cuenta de CANT",Tabla9,"PROV",[1]Tablas!$A$49,"SEFIS",AU$16,"CANT",[1]Tablas!$A11),0)</f>
        <v>1</v>
      </c>
      <c r="AV40" s="15">
        <f ca="1">IFERROR(GETPIVOTDATA("Cuenta de CANT",Tabla9,"PROV",[1]Tablas!$A$49,"SEFIS",AV$16,"CANT",[1]Tablas!$A11),0)</f>
        <v>2</v>
      </c>
      <c r="AW40" s="15">
        <f ca="1">IFERROR(GETPIVOTDATA("Cuenta de CANT",Tabla9,"PROV",[1]Tablas!$A$49,"SEFIS",AW$16,"CANT",[1]Tablas!$A11),0)</f>
        <v>0</v>
      </c>
      <c r="AX40" s="15">
        <f ca="1">IFERROR(GETPIVOTDATA("Cuenta de CANT",Tabla9,"PROV",[1]Tablas!$A$49,"SEFIS",AX$16,"CANT",[1]Tablas!$A11),0)</f>
        <v>0</v>
      </c>
      <c r="AY40" s="15">
        <f ca="1">IFERROR(GETPIVOTDATA("Cuenta de CANT",Tabla9,"PROV",[1]Tablas!$A$49,"SEFIS",AY$16,"CANT",[1]Tablas!$A11),0)</f>
        <v>2</v>
      </c>
      <c r="AZ40" s="15">
        <f ca="1">IFERROR(GETPIVOTDATA("Cuenta de CANT",Tabla9,"PROV",[1]Tablas!$A$49,"SEFIS",AZ$16,"CANT",[1]Tablas!$A11),0)</f>
        <v>1</v>
      </c>
      <c r="BA40" s="15">
        <f ca="1">IFERROR(GETPIVOTDATA("Cuenta de CANT",Tabla9,"PROV",[1]Tablas!$A$49,"SEFIS",BA$16,"CANT",[1]Tablas!$A11),0)</f>
        <v>2</v>
      </c>
      <c r="BB40" s="15">
        <f ca="1">IFERROR(GETPIVOTDATA("Cuenta de CANT",Tabla9,"PROV",[1]Tablas!$A$49,"SEFIS",BB$16,"CANT",[1]Tablas!$A11),0)</f>
        <v>0</v>
      </c>
      <c r="BC40" s="15">
        <f ca="1">IFERROR(GETPIVOTDATA("Cuenta de CANT",Tabla9,"PROV",[1]Tablas!$A$49,"SEFIS",BC$16,"CANT",[1]Tablas!$A11),0)</f>
        <v>3</v>
      </c>
    </row>
    <row r="41" spans="1:55" x14ac:dyDescent="0.35">
      <c r="A41" s="14" t="s">
        <v>37</v>
      </c>
      <c r="B41" s="15">
        <f t="shared" ca="1" si="1"/>
        <v>3</v>
      </c>
      <c r="C41" s="16">
        <f ca="1">IFERROR(B41/[1]Tablas!$B12*100000,"N/D")</f>
        <v>6.2760193301395377</v>
      </c>
      <c r="D41" s="15">
        <f ca="1">IFERROR(GETPIVOTDATA("Cuenta de CANT",Tabla9,"PROV",[1]Tablas!$A$49,"SEFIS",D$16,"CANT",[1]Tablas!$A12),0)</f>
        <v>0</v>
      </c>
      <c r="E41" s="15">
        <f ca="1">IFERROR(GETPIVOTDATA("Cuenta de CANT",Tabla9,"PROV",[1]Tablas!$A$49,"SEFIS",E$16,"CANT",[1]Tablas!$A12),0)</f>
        <v>0</v>
      </c>
      <c r="F41" s="15">
        <f ca="1">IFERROR(GETPIVOTDATA("Cuenta de CANT",Tabla9,"PROV",[1]Tablas!$A$49,"SEFIS",F$16,"CANT",[1]Tablas!$A12),0)</f>
        <v>0</v>
      </c>
      <c r="G41" s="15">
        <f ca="1">IFERROR(GETPIVOTDATA("Cuenta de CANT",Tabla9,"PROV",[1]Tablas!$A$49,"SEFIS",G$16,"CANT",[1]Tablas!$A12),0)</f>
        <v>0</v>
      </c>
      <c r="H41" s="15">
        <f ca="1">IFERROR(GETPIVOTDATA("Cuenta de CANT",Tabla9,"PROV",[1]Tablas!$A$49,"SEFIS",H$16,"CANT",[1]Tablas!$A12),0)</f>
        <v>0</v>
      </c>
      <c r="I41" s="15">
        <f ca="1">IFERROR(GETPIVOTDATA("Cuenta de CANT",Tabla9,"PROV",[1]Tablas!$A$49,"SEFIS",I$16,"CANT",[1]Tablas!$A12),0)</f>
        <v>0</v>
      </c>
      <c r="J41" s="15">
        <f ca="1">IFERROR(GETPIVOTDATA("Cuenta de CANT",Tabla9,"PROV",[1]Tablas!$A$49,"SEFIS",J$16,"CANT",[1]Tablas!$A12),0)</f>
        <v>0</v>
      </c>
      <c r="K41" s="15">
        <f ca="1">IFERROR(GETPIVOTDATA("Cuenta de CANT",Tabla9,"PROV",[1]Tablas!$A$49,"SEFIS",K$16,"CANT",[1]Tablas!$A12),0)</f>
        <v>0</v>
      </c>
      <c r="L41" s="15">
        <f ca="1">IFERROR(GETPIVOTDATA("Cuenta de CANT",Tabla9,"PROV",[1]Tablas!$A$49,"SEFIS",L$16,"CANT",[1]Tablas!$A12),0)</f>
        <v>0</v>
      </c>
      <c r="M41" s="15">
        <f ca="1">IFERROR(GETPIVOTDATA("Cuenta de CANT",Tabla9,"PROV",[1]Tablas!$A$49,"SEFIS",M$16,"CANT",[1]Tablas!$A12),0)</f>
        <v>0</v>
      </c>
      <c r="N41" s="15">
        <f ca="1">IFERROR(GETPIVOTDATA("Cuenta de CANT",Tabla9,"PROV",[1]Tablas!$A$49,"SEFIS",N$16,"CANT",[1]Tablas!$A12),0)</f>
        <v>0</v>
      </c>
      <c r="O41" s="15">
        <f ca="1">IFERROR(GETPIVOTDATA("Cuenta de CANT",Tabla9,"PROV",[1]Tablas!$A$49,"SEFIS",O$16,"CANT",[1]Tablas!$A12),0)</f>
        <v>0</v>
      </c>
      <c r="P41" s="15">
        <f ca="1">IFERROR(GETPIVOTDATA("Cuenta de CANT",Tabla9,"PROV",[1]Tablas!$A$49,"SEFIS",P$16,"CANT",[1]Tablas!$A12),0)</f>
        <v>0</v>
      </c>
      <c r="Q41" s="15">
        <f ca="1">IFERROR(GETPIVOTDATA("Cuenta de CANT",Tabla9,"PROV",[1]Tablas!$A$49,"SEFIS",Q$16,"CANT",[1]Tablas!$A12),0)</f>
        <v>0</v>
      </c>
      <c r="R41" s="15">
        <f ca="1">IFERROR(GETPIVOTDATA("Cuenta de CANT",Tabla9,"PROV",[1]Tablas!$A$49,"SEFIS",R$16,"CANT",[1]Tablas!$A12),0)</f>
        <v>0</v>
      </c>
      <c r="S41" s="15">
        <f ca="1">IFERROR(GETPIVOTDATA("Cuenta de CANT",Tabla9,"PROV",[1]Tablas!$A$49,"SEFIS",S$16,"CANT",[1]Tablas!$A12),0)</f>
        <v>0</v>
      </c>
      <c r="T41" s="15">
        <f ca="1">IFERROR(GETPIVOTDATA("Cuenta de CANT",Tabla9,"PROV",[1]Tablas!$A$49,"SEFIS",T$16,"CANT",[1]Tablas!$A12),0)</f>
        <v>0</v>
      </c>
      <c r="U41" s="15">
        <f ca="1">IFERROR(GETPIVOTDATA("Cuenta de CANT",Tabla9,"PROV",[1]Tablas!$A$49,"SEFIS",U$16,"CANT",[1]Tablas!$A12),0)</f>
        <v>0</v>
      </c>
      <c r="V41" s="15">
        <f ca="1">IFERROR(GETPIVOTDATA("Cuenta de CANT",Tabla9,"PROV",[1]Tablas!$A$49,"SEFIS",V$16,"CANT",[1]Tablas!$A12),0)</f>
        <v>0</v>
      </c>
      <c r="W41" s="15">
        <f ca="1">IFERROR(GETPIVOTDATA("Cuenta de CANT",Tabla9,"PROV",[1]Tablas!$A$49,"SEFIS",W$16,"CANT",[1]Tablas!$A12),0)</f>
        <v>0</v>
      </c>
      <c r="X41" s="15">
        <f ca="1">IFERROR(GETPIVOTDATA("Cuenta de CANT",Tabla9,"PROV",[1]Tablas!$A$49,"SEFIS",X$16,"CANT",[1]Tablas!$A12),0)</f>
        <v>0</v>
      </c>
      <c r="Y41" s="15">
        <f ca="1">IFERROR(GETPIVOTDATA("Cuenta de CANT",Tabla9,"PROV",[1]Tablas!$A$49,"SEFIS",Y$16,"CANT",[1]Tablas!$A12),0)</f>
        <v>0</v>
      </c>
      <c r="Z41" s="15">
        <f ca="1">IFERROR(GETPIVOTDATA("Cuenta de CANT",Tabla9,"PROV",[1]Tablas!$A$49,"SEFIS",Z$16,"CANT",[1]Tablas!$A12),0)</f>
        <v>0</v>
      </c>
      <c r="AA41" s="15">
        <f ca="1">IFERROR(GETPIVOTDATA("Cuenta de CANT",Tabla9,"PROV",[1]Tablas!$A$49,"SEFIS",AA$16,"CANT",[1]Tablas!$A12),0)</f>
        <v>1</v>
      </c>
      <c r="AB41" s="15">
        <f ca="1">IFERROR(GETPIVOTDATA("Cuenta de CANT",Tabla9,"PROV",[1]Tablas!$A$49,"SEFIS",AB$16,"CANT",[1]Tablas!$A12),0)</f>
        <v>0</v>
      </c>
      <c r="AC41" s="15">
        <f ca="1">IFERROR(GETPIVOTDATA("Cuenta de CANT",Tabla9,"PROV",[1]Tablas!$A$49,"SEFIS",AC$16,"CANT",[1]Tablas!$A12),0)</f>
        <v>0</v>
      </c>
      <c r="AD41" s="15">
        <f ca="1">IFERROR(GETPIVOTDATA("Cuenta de CANT",Tabla9,"PROV",[1]Tablas!$A$49,"SEFIS",AD$16,"CANT",[1]Tablas!$A12),0)</f>
        <v>0</v>
      </c>
      <c r="AE41" s="15">
        <f ca="1">IFERROR(GETPIVOTDATA("Cuenta de CANT",Tabla9,"PROV",[1]Tablas!$A$49,"SEFIS",AE$16,"CANT",[1]Tablas!$A12),0)</f>
        <v>0</v>
      </c>
      <c r="AF41" s="15">
        <f ca="1">IFERROR(GETPIVOTDATA("Cuenta de CANT",Tabla9,"PROV",[1]Tablas!$A$49,"SEFIS",AF$16,"CANT",[1]Tablas!$A12),0)</f>
        <v>0</v>
      </c>
      <c r="AG41" s="15">
        <f ca="1">IFERROR(GETPIVOTDATA("Cuenta de CANT",Tabla9,"PROV",[1]Tablas!$A$49,"SEFIS",AG$16,"CANT",[1]Tablas!$A12),0)</f>
        <v>0</v>
      </c>
      <c r="AH41" s="15">
        <f ca="1">IFERROR(GETPIVOTDATA("Cuenta de CANT",Tabla9,"PROV",[1]Tablas!$A$49,"SEFIS",AH$16,"CANT",[1]Tablas!$A12),0)</f>
        <v>0</v>
      </c>
      <c r="AI41" s="15">
        <f ca="1">IFERROR(GETPIVOTDATA("Cuenta de CANT",Tabla9,"PROV",[1]Tablas!$A$49,"SEFIS",AI$16,"CANT",[1]Tablas!$A12),0)</f>
        <v>0</v>
      </c>
      <c r="AJ41" s="15">
        <f ca="1">IFERROR(GETPIVOTDATA("Cuenta de CANT",Tabla9,"PROV",[1]Tablas!$A$49,"SEFIS",AJ$16,"CANT",[1]Tablas!$A12),0)</f>
        <v>1</v>
      </c>
      <c r="AK41" s="15">
        <f ca="1">IFERROR(GETPIVOTDATA("Cuenta de CANT",Tabla9,"PROV",[1]Tablas!$A$49,"SEFIS",AK$16,"CANT",[1]Tablas!$A12),0)</f>
        <v>0</v>
      </c>
      <c r="AL41" s="15">
        <f ca="1">IFERROR(GETPIVOTDATA("Cuenta de CANT",Tabla9,"PROV",[1]Tablas!$A$49,"SEFIS",AL$16,"CANT",[1]Tablas!$A12),0)</f>
        <v>0</v>
      </c>
      <c r="AM41" s="15">
        <f ca="1">IFERROR(GETPIVOTDATA("Cuenta de CANT",Tabla9,"PROV",[1]Tablas!$A$49,"SEFIS",AM$16,"CANT",[1]Tablas!$A12),0)</f>
        <v>0</v>
      </c>
      <c r="AN41" s="15">
        <f ca="1">IFERROR(GETPIVOTDATA("Cuenta de CANT",Tabla9,"PROV",[1]Tablas!$A$49,"SEFIS",AN$16,"CANT",[1]Tablas!$A12),0)</f>
        <v>0</v>
      </c>
      <c r="AO41" s="15">
        <f ca="1">IFERROR(GETPIVOTDATA("Cuenta de CANT",Tabla9,"PROV",[1]Tablas!$A$49,"SEFIS",AO$16,"CANT",[1]Tablas!$A12),0)</f>
        <v>0</v>
      </c>
      <c r="AP41" s="15">
        <f ca="1">IFERROR(GETPIVOTDATA("Cuenta de CANT",Tabla9,"PROV",[1]Tablas!$A$49,"SEFIS",AP$16,"CANT",[1]Tablas!$A12),0)</f>
        <v>0</v>
      </c>
      <c r="AQ41" s="15">
        <f ca="1">IFERROR(GETPIVOTDATA("Cuenta de CANT",Tabla9,"PROV",[1]Tablas!$A$49,"SEFIS",AQ$16,"CANT",[1]Tablas!$A12),0)</f>
        <v>0</v>
      </c>
      <c r="AR41" s="15">
        <f ca="1">IFERROR(GETPIVOTDATA("Cuenta de CANT",Tabla9,"PROV",[1]Tablas!$A$49,"SEFIS",AR$16,"CANT",[1]Tablas!$A12),0)</f>
        <v>0</v>
      </c>
      <c r="AS41" s="15">
        <f ca="1">IFERROR(GETPIVOTDATA("Cuenta de CANT",Tabla9,"PROV",[1]Tablas!$A$49,"SEFIS",AS$16,"CANT",[1]Tablas!$A12),0)</f>
        <v>0</v>
      </c>
      <c r="AT41" s="15">
        <f ca="1">IFERROR(GETPIVOTDATA("Cuenta de CANT",Tabla9,"PROV",[1]Tablas!$A$49,"SEFIS",AT$16,"CANT",[1]Tablas!$A12),0)</f>
        <v>0</v>
      </c>
      <c r="AU41" s="15">
        <f ca="1">IFERROR(GETPIVOTDATA("Cuenta de CANT",Tabla9,"PROV",[1]Tablas!$A$49,"SEFIS",AU$16,"CANT",[1]Tablas!$A12),0)</f>
        <v>0</v>
      </c>
      <c r="AV41" s="15">
        <f ca="1">IFERROR(GETPIVOTDATA("Cuenta de CANT",Tabla9,"PROV",[1]Tablas!$A$49,"SEFIS",AV$16,"CANT",[1]Tablas!$A12),0)</f>
        <v>0</v>
      </c>
      <c r="AW41" s="15">
        <f ca="1">IFERROR(GETPIVOTDATA("Cuenta de CANT",Tabla9,"PROV",[1]Tablas!$A$49,"SEFIS",AW$16,"CANT",[1]Tablas!$A12),0)</f>
        <v>0</v>
      </c>
      <c r="AX41" s="15">
        <f ca="1">IFERROR(GETPIVOTDATA("Cuenta de CANT",Tabla9,"PROV",[1]Tablas!$A$49,"SEFIS",AX$16,"CANT",[1]Tablas!$A12),0)</f>
        <v>1</v>
      </c>
      <c r="AY41" s="15">
        <f ca="1">IFERROR(GETPIVOTDATA("Cuenta de CANT",Tabla9,"PROV",[1]Tablas!$A$49,"SEFIS",AY$16,"CANT",[1]Tablas!$A12),0)</f>
        <v>0</v>
      </c>
      <c r="AZ41" s="15">
        <f ca="1">IFERROR(GETPIVOTDATA("Cuenta de CANT",Tabla9,"PROV",[1]Tablas!$A$49,"SEFIS",AZ$16,"CANT",[1]Tablas!$A12),0)</f>
        <v>0</v>
      </c>
      <c r="BA41" s="15">
        <f ca="1">IFERROR(GETPIVOTDATA("Cuenta de CANT",Tabla9,"PROV",[1]Tablas!$A$49,"SEFIS",BA$16,"CANT",[1]Tablas!$A12),0)</f>
        <v>0</v>
      </c>
      <c r="BB41" s="15">
        <f ca="1">IFERROR(GETPIVOTDATA("Cuenta de CANT",Tabla9,"PROV",[1]Tablas!$A$49,"SEFIS",BB$16,"CANT",[1]Tablas!$A12),0)</f>
        <v>0</v>
      </c>
      <c r="BC41" s="15">
        <f ca="1">IFERROR(GETPIVOTDATA("Cuenta de CANT",Tabla9,"PROV",[1]Tablas!$A$49,"SEFIS",BC$16,"CANT",[1]Tablas!$A12),0)</f>
        <v>0</v>
      </c>
    </row>
    <row r="42" spans="1:55" x14ac:dyDescent="0.35">
      <c r="A42" s="14" t="s">
        <v>38</v>
      </c>
      <c r="B42" s="15">
        <f t="shared" ca="1" si="1"/>
        <v>4</v>
      </c>
      <c r="C42" s="16">
        <f ca="1">IFERROR(B42/[1]Tablas!$B13*100000,"N/D")</f>
        <v>10</v>
      </c>
      <c r="D42" s="15">
        <f ca="1">IFERROR(GETPIVOTDATA("Cuenta de CANT",Tabla9,"PROV",[1]Tablas!$A$49,"SEFIS",D$16,"CANT",[1]Tablas!$A13),0)</f>
        <v>0</v>
      </c>
      <c r="E42" s="15">
        <f ca="1">IFERROR(GETPIVOTDATA("Cuenta de CANT",Tabla9,"PROV",[1]Tablas!$A$49,"SEFIS",E$16,"CANT",[1]Tablas!$A13),0)</f>
        <v>0</v>
      </c>
      <c r="F42" s="15">
        <f ca="1">IFERROR(GETPIVOTDATA("Cuenta de CANT",Tabla9,"PROV",[1]Tablas!$A$49,"SEFIS",F$16,"CANT",[1]Tablas!$A13),0)</f>
        <v>0</v>
      </c>
      <c r="G42" s="15">
        <f ca="1">IFERROR(GETPIVOTDATA("Cuenta de CANT",Tabla9,"PROV",[1]Tablas!$A$49,"SEFIS",G$16,"CANT",[1]Tablas!$A13),0)</f>
        <v>0</v>
      </c>
      <c r="H42" s="15">
        <f ca="1">IFERROR(GETPIVOTDATA("Cuenta de CANT",Tabla9,"PROV",[1]Tablas!$A$49,"SEFIS",H$16,"CANT",[1]Tablas!$A13),0)</f>
        <v>0</v>
      </c>
      <c r="I42" s="15">
        <f ca="1">IFERROR(GETPIVOTDATA("Cuenta de CANT",Tabla9,"PROV",[1]Tablas!$A$49,"SEFIS",I$16,"CANT",[1]Tablas!$A13),0)</f>
        <v>0</v>
      </c>
      <c r="J42" s="15">
        <f ca="1">IFERROR(GETPIVOTDATA("Cuenta de CANT",Tabla9,"PROV",[1]Tablas!$A$49,"SEFIS",J$16,"CANT",[1]Tablas!$A13),0)</f>
        <v>0</v>
      </c>
      <c r="K42" s="15">
        <f ca="1">IFERROR(GETPIVOTDATA("Cuenta de CANT",Tabla9,"PROV",[1]Tablas!$A$49,"SEFIS",K$16,"CANT",[1]Tablas!$A13),0)</f>
        <v>0</v>
      </c>
      <c r="L42" s="15">
        <f ca="1">IFERROR(GETPIVOTDATA("Cuenta de CANT",Tabla9,"PROV",[1]Tablas!$A$49,"SEFIS",L$16,"CANT",[1]Tablas!$A13),0)</f>
        <v>0</v>
      </c>
      <c r="M42" s="15">
        <f ca="1">IFERROR(GETPIVOTDATA("Cuenta de CANT",Tabla9,"PROV",[1]Tablas!$A$49,"SEFIS",M$16,"CANT",[1]Tablas!$A13),0)</f>
        <v>0</v>
      </c>
      <c r="N42" s="15">
        <f ca="1">IFERROR(GETPIVOTDATA("Cuenta de CANT",Tabla9,"PROV",[1]Tablas!$A$49,"SEFIS",N$16,"CANT",[1]Tablas!$A13),0)</f>
        <v>0</v>
      </c>
      <c r="O42" s="15">
        <f ca="1">IFERROR(GETPIVOTDATA("Cuenta de CANT",Tabla9,"PROV",[1]Tablas!$A$49,"SEFIS",O$16,"CANT",[1]Tablas!$A13),0)</f>
        <v>0</v>
      </c>
      <c r="P42" s="15">
        <f ca="1">IFERROR(GETPIVOTDATA("Cuenta de CANT",Tabla9,"PROV",[1]Tablas!$A$49,"SEFIS",P$16,"CANT",[1]Tablas!$A13),0)</f>
        <v>0</v>
      </c>
      <c r="Q42" s="15">
        <f ca="1">IFERROR(GETPIVOTDATA("Cuenta de CANT",Tabla9,"PROV",[1]Tablas!$A$49,"SEFIS",Q$16,"CANT",[1]Tablas!$A13),0)</f>
        <v>1</v>
      </c>
      <c r="R42" s="15">
        <f ca="1">IFERROR(GETPIVOTDATA("Cuenta de CANT",Tabla9,"PROV",[1]Tablas!$A$49,"SEFIS",R$16,"CANT",[1]Tablas!$A13),0)</f>
        <v>0</v>
      </c>
      <c r="S42" s="15">
        <f ca="1">IFERROR(GETPIVOTDATA("Cuenta de CANT",Tabla9,"PROV",[1]Tablas!$A$49,"SEFIS",S$16,"CANT",[1]Tablas!$A13),0)</f>
        <v>0</v>
      </c>
      <c r="T42" s="15">
        <f ca="1">IFERROR(GETPIVOTDATA("Cuenta de CANT",Tabla9,"PROV",[1]Tablas!$A$49,"SEFIS",T$16,"CANT",[1]Tablas!$A13),0)</f>
        <v>0</v>
      </c>
      <c r="U42" s="15">
        <f ca="1">IFERROR(GETPIVOTDATA("Cuenta de CANT",Tabla9,"PROV",[1]Tablas!$A$49,"SEFIS",U$16,"CANT",[1]Tablas!$A13),0)</f>
        <v>0</v>
      </c>
      <c r="V42" s="15">
        <f ca="1">IFERROR(GETPIVOTDATA("Cuenta de CANT",Tabla9,"PROV",[1]Tablas!$A$49,"SEFIS",V$16,"CANT",[1]Tablas!$A13),0)</f>
        <v>1</v>
      </c>
      <c r="W42" s="15">
        <f ca="1">IFERROR(GETPIVOTDATA("Cuenta de CANT",Tabla9,"PROV",[1]Tablas!$A$49,"SEFIS",W$16,"CANT",[1]Tablas!$A13),0)</f>
        <v>0</v>
      </c>
      <c r="X42" s="15">
        <f ca="1">IFERROR(GETPIVOTDATA("Cuenta de CANT",Tabla9,"PROV",[1]Tablas!$A$49,"SEFIS",X$16,"CANT",[1]Tablas!$A13),0)</f>
        <v>0</v>
      </c>
      <c r="Y42" s="15">
        <f ca="1">IFERROR(GETPIVOTDATA("Cuenta de CANT",Tabla9,"PROV",[1]Tablas!$A$49,"SEFIS",Y$16,"CANT",[1]Tablas!$A13),0)</f>
        <v>0</v>
      </c>
      <c r="Z42" s="15">
        <f ca="1">IFERROR(GETPIVOTDATA("Cuenta de CANT",Tabla9,"PROV",[1]Tablas!$A$49,"SEFIS",Z$16,"CANT",[1]Tablas!$A13),0)</f>
        <v>1</v>
      </c>
      <c r="AA42" s="15">
        <f ca="1">IFERROR(GETPIVOTDATA("Cuenta de CANT",Tabla9,"PROV",[1]Tablas!$A$49,"SEFIS",AA$16,"CANT",[1]Tablas!$A13),0)</f>
        <v>0</v>
      </c>
      <c r="AB42" s="15">
        <f ca="1">IFERROR(GETPIVOTDATA("Cuenta de CANT",Tabla9,"PROV",[1]Tablas!$A$49,"SEFIS",AB$16,"CANT",[1]Tablas!$A13),0)</f>
        <v>0</v>
      </c>
      <c r="AC42" s="15">
        <f ca="1">IFERROR(GETPIVOTDATA("Cuenta de CANT",Tabla9,"PROV",[1]Tablas!$A$49,"SEFIS",AC$16,"CANT",[1]Tablas!$A13),0)</f>
        <v>0</v>
      </c>
      <c r="AD42" s="15">
        <f ca="1">IFERROR(GETPIVOTDATA("Cuenta de CANT",Tabla9,"PROV",[1]Tablas!$A$49,"SEFIS",AD$16,"CANT",[1]Tablas!$A13),0)</f>
        <v>0</v>
      </c>
      <c r="AE42" s="15">
        <f ca="1">IFERROR(GETPIVOTDATA("Cuenta de CANT",Tabla9,"PROV",[1]Tablas!$A$49,"SEFIS",AE$16,"CANT",[1]Tablas!$A13),0)</f>
        <v>0</v>
      </c>
      <c r="AF42" s="15">
        <f ca="1">IFERROR(GETPIVOTDATA("Cuenta de CANT",Tabla9,"PROV",[1]Tablas!$A$49,"SEFIS",AF$16,"CANT",[1]Tablas!$A13),0)</f>
        <v>0</v>
      </c>
      <c r="AG42" s="15">
        <f ca="1">IFERROR(GETPIVOTDATA("Cuenta de CANT",Tabla9,"PROV",[1]Tablas!$A$49,"SEFIS",AG$16,"CANT",[1]Tablas!$A13),0)</f>
        <v>0</v>
      </c>
      <c r="AH42" s="15">
        <f ca="1">IFERROR(GETPIVOTDATA("Cuenta de CANT",Tabla9,"PROV",[1]Tablas!$A$49,"SEFIS",AH$16,"CANT",[1]Tablas!$A13),0)</f>
        <v>0</v>
      </c>
      <c r="AI42" s="15">
        <f ca="1">IFERROR(GETPIVOTDATA("Cuenta de CANT",Tabla9,"PROV",[1]Tablas!$A$49,"SEFIS",AI$16,"CANT",[1]Tablas!$A13),0)</f>
        <v>0</v>
      </c>
      <c r="AJ42" s="15">
        <f ca="1">IFERROR(GETPIVOTDATA("Cuenta de CANT",Tabla9,"PROV",[1]Tablas!$A$49,"SEFIS",AJ$16,"CANT",[1]Tablas!$A13),0)</f>
        <v>0</v>
      </c>
      <c r="AK42" s="15">
        <f ca="1">IFERROR(GETPIVOTDATA("Cuenta de CANT",Tabla9,"PROV",[1]Tablas!$A$49,"SEFIS",AK$16,"CANT",[1]Tablas!$A13),0)</f>
        <v>0</v>
      </c>
      <c r="AL42" s="15">
        <f ca="1">IFERROR(GETPIVOTDATA("Cuenta de CANT",Tabla9,"PROV",[1]Tablas!$A$49,"SEFIS",AL$16,"CANT",[1]Tablas!$A13),0)</f>
        <v>0</v>
      </c>
      <c r="AM42" s="15">
        <f ca="1">IFERROR(GETPIVOTDATA("Cuenta de CANT",Tabla9,"PROV",[1]Tablas!$A$49,"SEFIS",AM$16,"CANT",[1]Tablas!$A13),0)</f>
        <v>0</v>
      </c>
      <c r="AN42" s="15">
        <f ca="1">IFERROR(GETPIVOTDATA("Cuenta de CANT",Tabla9,"PROV",[1]Tablas!$A$49,"SEFIS",AN$16,"CANT",[1]Tablas!$A13),0)</f>
        <v>0</v>
      </c>
      <c r="AO42" s="15">
        <f ca="1">IFERROR(GETPIVOTDATA("Cuenta de CANT",Tabla9,"PROV",[1]Tablas!$A$49,"SEFIS",AO$16,"CANT",[1]Tablas!$A13),0)</f>
        <v>0</v>
      </c>
      <c r="AP42" s="15">
        <f ca="1">IFERROR(GETPIVOTDATA("Cuenta de CANT",Tabla9,"PROV",[1]Tablas!$A$49,"SEFIS",AP$16,"CANT",[1]Tablas!$A13),0)</f>
        <v>0</v>
      </c>
      <c r="AQ42" s="15">
        <f ca="1">IFERROR(GETPIVOTDATA("Cuenta de CANT",Tabla9,"PROV",[1]Tablas!$A$49,"SEFIS",AQ$16,"CANT",[1]Tablas!$A13),0)</f>
        <v>0</v>
      </c>
      <c r="AR42" s="15">
        <f ca="1">IFERROR(GETPIVOTDATA("Cuenta de CANT",Tabla9,"PROV",[1]Tablas!$A$49,"SEFIS",AR$16,"CANT",[1]Tablas!$A13),0)</f>
        <v>0</v>
      </c>
      <c r="AS42" s="15">
        <f ca="1">IFERROR(GETPIVOTDATA("Cuenta de CANT",Tabla9,"PROV",[1]Tablas!$A$49,"SEFIS",AS$16,"CANT",[1]Tablas!$A13),0)</f>
        <v>0</v>
      </c>
      <c r="AT42" s="15">
        <f ca="1">IFERROR(GETPIVOTDATA("Cuenta de CANT",Tabla9,"PROV",[1]Tablas!$A$49,"SEFIS",AT$16,"CANT",[1]Tablas!$A13),0)</f>
        <v>0</v>
      </c>
      <c r="AU42" s="15">
        <f ca="1">IFERROR(GETPIVOTDATA("Cuenta de CANT",Tabla9,"PROV",[1]Tablas!$A$49,"SEFIS",AU$16,"CANT",[1]Tablas!$A13),0)</f>
        <v>0</v>
      </c>
      <c r="AV42" s="15">
        <f ca="1">IFERROR(GETPIVOTDATA("Cuenta de CANT",Tabla9,"PROV",[1]Tablas!$A$49,"SEFIS",AV$16,"CANT",[1]Tablas!$A13),0)</f>
        <v>0</v>
      </c>
      <c r="AW42" s="15">
        <f ca="1">IFERROR(GETPIVOTDATA("Cuenta de CANT",Tabla9,"PROV",[1]Tablas!$A$49,"SEFIS",AW$16,"CANT",[1]Tablas!$A13),0)</f>
        <v>0</v>
      </c>
      <c r="AX42" s="15">
        <f ca="1">IFERROR(GETPIVOTDATA("Cuenta de CANT",Tabla9,"PROV",[1]Tablas!$A$49,"SEFIS",AX$16,"CANT",[1]Tablas!$A13),0)</f>
        <v>1</v>
      </c>
      <c r="AY42" s="15">
        <f ca="1">IFERROR(GETPIVOTDATA("Cuenta de CANT",Tabla9,"PROV",[1]Tablas!$A$49,"SEFIS",AY$16,"CANT",[1]Tablas!$A13),0)</f>
        <v>0</v>
      </c>
      <c r="AZ42" s="15">
        <f ca="1">IFERROR(GETPIVOTDATA("Cuenta de CANT",Tabla9,"PROV",[1]Tablas!$A$49,"SEFIS",AZ$16,"CANT",[1]Tablas!$A13),0)</f>
        <v>0</v>
      </c>
      <c r="BA42" s="15">
        <f ca="1">IFERROR(GETPIVOTDATA("Cuenta de CANT",Tabla9,"PROV",[1]Tablas!$A$49,"SEFIS",BA$16,"CANT",[1]Tablas!$A13),0)</f>
        <v>0</v>
      </c>
      <c r="BB42" s="15">
        <f ca="1">IFERROR(GETPIVOTDATA("Cuenta de CANT",Tabla9,"PROV",[1]Tablas!$A$49,"SEFIS",BB$16,"CANT",[1]Tablas!$A13),0)</f>
        <v>0</v>
      </c>
      <c r="BC42" s="15">
        <f ca="1">IFERROR(GETPIVOTDATA("Cuenta de CANT",Tabla9,"PROV",[1]Tablas!$A$49,"SEFIS",BC$16,"CANT",[1]Tablas!$A13),0)</f>
        <v>0</v>
      </c>
    </row>
    <row r="43" spans="1:55" x14ac:dyDescent="0.35">
      <c r="A43" s="14" t="s">
        <v>39</v>
      </c>
      <c r="B43" s="15">
        <f t="shared" ca="1" si="1"/>
        <v>0</v>
      </c>
      <c r="C43" s="16">
        <f ca="1">IFERROR(B43/[1]Tablas!$B14*100000,"N/D")</f>
        <v>0</v>
      </c>
      <c r="D43" s="15">
        <f ca="1">IFERROR(GETPIVOTDATA("Cuenta de CANT",Tabla9,"PROV",[1]Tablas!$A$49,"SEFIS",D$16,"CANT",[1]Tablas!$A14),0)</f>
        <v>0</v>
      </c>
      <c r="E43" s="15">
        <f ca="1">IFERROR(GETPIVOTDATA("Cuenta de CANT",Tabla9,"PROV",[1]Tablas!$A$49,"SEFIS",E$16,"CANT",[1]Tablas!$A14),0)</f>
        <v>0</v>
      </c>
      <c r="F43" s="15">
        <f ca="1">IFERROR(GETPIVOTDATA("Cuenta de CANT",Tabla9,"PROV",[1]Tablas!$A$49,"SEFIS",F$16,"CANT",[1]Tablas!$A14),0)</f>
        <v>0</v>
      </c>
      <c r="G43" s="15">
        <f ca="1">IFERROR(GETPIVOTDATA("Cuenta de CANT",Tabla9,"PROV",[1]Tablas!$A$49,"SEFIS",G$16,"CANT",[1]Tablas!$A14),0)</f>
        <v>0</v>
      </c>
      <c r="H43" s="15">
        <f ca="1">IFERROR(GETPIVOTDATA("Cuenta de CANT",Tabla9,"PROV",[1]Tablas!$A$49,"SEFIS",H$16,"CANT",[1]Tablas!$A14),0)</f>
        <v>0</v>
      </c>
      <c r="I43" s="15">
        <f ca="1">IFERROR(GETPIVOTDATA("Cuenta de CANT",Tabla9,"PROV",[1]Tablas!$A$49,"SEFIS",I$16,"CANT",[1]Tablas!$A14),0)</f>
        <v>0</v>
      </c>
      <c r="J43" s="15">
        <f ca="1">IFERROR(GETPIVOTDATA("Cuenta de CANT",Tabla9,"PROV",[1]Tablas!$A$49,"SEFIS",J$16,"CANT",[1]Tablas!$A14),0)</f>
        <v>0</v>
      </c>
      <c r="K43" s="15">
        <f ca="1">IFERROR(GETPIVOTDATA("Cuenta de CANT",Tabla9,"PROV",[1]Tablas!$A$49,"SEFIS",K$16,"CANT",[1]Tablas!$A14),0)</f>
        <v>0</v>
      </c>
      <c r="L43" s="15">
        <f ca="1">IFERROR(GETPIVOTDATA("Cuenta de CANT",Tabla9,"PROV",[1]Tablas!$A$49,"SEFIS",L$16,"CANT",[1]Tablas!$A14),0)</f>
        <v>0</v>
      </c>
      <c r="M43" s="15">
        <f ca="1">IFERROR(GETPIVOTDATA("Cuenta de CANT",Tabla9,"PROV",[1]Tablas!$A$49,"SEFIS",M$16,"CANT",[1]Tablas!$A14),0)</f>
        <v>0</v>
      </c>
      <c r="N43" s="15">
        <f ca="1">IFERROR(GETPIVOTDATA("Cuenta de CANT",Tabla9,"PROV",[1]Tablas!$A$49,"SEFIS",N$16,"CANT",[1]Tablas!$A14),0)</f>
        <v>0</v>
      </c>
      <c r="O43" s="15">
        <f ca="1">IFERROR(GETPIVOTDATA("Cuenta de CANT",Tabla9,"PROV",[1]Tablas!$A$49,"SEFIS",O$16,"CANT",[1]Tablas!$A14),0)</f>
        <v>0</v>
      </c>
      <c r="P43" s="15">
        <f ca="1">IFERROR(GETPIVOTDATA("Cuenta de CANT",Tabla9,"PROV",[1]Tablas!$A$49,"SEFIS",P$16,"CANT",[1]Tablas!$A14),0)</f>
        <v>0</v>
      </c>
      <c r="Q43" s="15">
        <f ca="1">IFERROR(GETPIVOTDATA("Cuenta de CANT",Tabla9,"PROV",[1]Tablas!$A$49,"SEFIS",Q$16,"CANT",[1]Tablas!$A14),0)</f>
        <v>0</v>
      </c>
      <c r="R43" s="15">
        <f ca="1">IFERROR(GETPIVOTDATA("Cuenta de CANT",Tabla9,"PROV",[1]Tablas!$A$49,"SEFIS",R$16,"CANT",[1]Tablas!$A14),0)</f>
        <v>0</v>
      </c>
      <c r="S43" s="15">
        <f ca="1">IFERROR(GETPIVOTDATA("Cuenta de CANT",Tabla9,"PROV",[1]Tablas!$A$49,"SEFIS",S$16,"CANT",[1]Tablas!$A14),0)</f>
        <v>0</v>
      </c>
      <c r="T43" s="15">
        <f ca="1">IFERROR(GETPIVOTDATA("Cuenta de CANT",Tabla9,"PROV",[1]Tablas!$A$49,"SEFIS",T$16,"CANT",[1]Tablas!$A14),0)</f>
        <v>0</v>
      </c>
      <c r="U43" s="15">
        <f ca="1">IFERROR(GETPIVOTDATA("Cuenta de CANT",Tabla9,"PROV",[1]Tablas!$A$49,"SEFIS",U$16,"CANT",[1]Tablas!$A14),0)</f>
        <v>0</v>
      </c>
      <c r="V43" s="15">
        <f ca="1">IFERROR(GETPIVOTDATA("Cuenta de CANT",Tabla9,"PROV",[1]Tablas!$A$49,"SEFIS",V$16,"CANT",[1]Tablas!$A14),0)</f>
        <v>0</v>
      </c>
      <c r="W43" s="15">
        <f ca="1">IFERROR(GETPIVOTDATA("Cuenta de CANT",Tabla9,"PROV",[1]Tablas!$A$49,"SEFIS",W$16,"CANT",[1]Tablas!$A14),0)</f>
        <v>0</v>
      </c>
      <c r="X43" s="15">
        <f ca="1">IFERROR(GETPIVOTDATA("Cuenta de CANT",Tabla9,"PROV",[1]Tablas!$A$49,"SEFIS",X$16,"CANT",[1]Tablas!$A14),0)</f>
        <v>0</v>
      </c>
      <c r="Y43" s="15">
        <f ca="1">IFERROR(GETPIVOTDATA("Cuenta de CANT",Tabla9,"PROV",[1]Tablas!$A$49,"SEFIS",Y$16,"CANT",[1]Tablas!$A14),0)</f>
        <v>0</v>
      </c>
      <c r="Z43" s="15">
        <f ca="1">IFERROR(GETPIVOTDATA("Cuenta de CANT",Tabla9,"PROV",[1]Tablas!$A$49,"SEFIS",Z$16,"CANT",[1]Tablas!$A14),0)</f>
        <v>0</v>
      </c>
      <c r="AA43" s="15">
        <f ca="1">IFERROR(GETPIVOTDATA("Cuenta de CANT",Tabla9,"PROV",[1]Tablas!$A$49,"SEFIS",AA$16,"CANT",[1]Tablas!$A14),0)</f>
        <v>0</v>
      </c>
      <c r="AB43" s="15">
        <f ca="1">IFERROR(GETPIVOTDATA("Cuenta de CANT",Tabla9,"PROV",[1]Tablas!$A$49,"SEFIS",AB$16,"CANT",[1]Tablas!$A14),0)</f>
        <v>0</v>
      </c>
      <c r="AC43" s="15">
        <f ca="1">IFERROR(GETPIVOTDATA("Cuenta de CANT",Tabla9,"PROV",[1]Tablas!$A$49,"SEFIS",AC$16,"CANT",[1]Tablas!$A14),0)</f>
        <v>0</v>
      </c>
      <c r="AD43" s="15">
        <f ca="1">IFERROR(GETPIVOTDATA("Cuenta de CANT",Tabla9,"PROV",[1]Tablas!$A$49,"SEFIS",AD$16,"CANT",[1]Tablas!$A14),0)</f>
        <v>0</v>
      </c>
      <c r="AE43" s="15">
        <f ca="1">IFERROR(GETPIVOTDATA("Cuenta de CANT",Tabla9,"PROV",[1]Tablas!$A$49,"SEFIS",AE$16,"CANT",[1]Tablas!$A14),0)</f>
        <v>0</v>
      </c>
      <c r="AF43" s="15">
        <f ca="1">IFERROR(GETPIVOTDATA("Cuenta de CANT",Tabla9,"PROV",[1]Tablas!$A$49,"SEFIS",AF$16,"CANT",[1]Tablas!$A14),0)</f>
        <v>0</v>
      </c>
      <c r="AG43" s="15">
        <f ca="1">IFERROR(GETPIVOTDATA("Cuenta de CANT",Tabla9,"PROV",[1]Tablas!$A$49,"SEFIS",AG$16,"CANT",[1]Tablas!$A14),0)</f>
        <v>0</v>
      </c>
      <c r="AH43" s="15">
        <f ca="1">IFERROR(GETPIVOTDATA("Cuenta de CANT",Tabla9,"PROV",[1]Tablas!$A$49,"SEFIS",AH$16,"CANT",[1]Tablas!$A14),0)</f>
        <v>0</v>
      </c>
      <c r="AI43" s="15">
        <f ca="1">IFERROR(GETPIVOTDATA("Cuenta de CANT",Tabla9,"PROV",[1]Tablas!$A$49,"SEFIS",AI$16,"CANT",[1]Tablas!$A14),0)</f>
        <v>0</v>
      </c>
      <c r="AJ43" s="15">
        <f ca="1">IFERROR(GETPIVOTDATA("Cuenta de CANT",Tabla9,"PROV",[1]Tablas!$A$49,"SEFIS",AJ$16,"CANT",[1]Tablas!$A14),0)</f>
        <v>0</v>
      </c>
      <c r="AK43" s="15">
        <f ca="1">IFERROR(GETPIVOTDATA("Cuenta de CANT",Tabla9,"PROV",[1]Tablas!$A$49,"SEFIS",AK$16,"CANT",[1]Tablas!$A14),0)</f>
        <v>0</v>
      </c>
      <c r="AL43" s="15">
        <f ca="1">IFERROR(GETPIVOTDATA("Cuenta de CANT",Tabla9,"PROV",[1]Tablas!$A$49,"SEFIS",AL$16,"CANT",[1]Tablas!$A14),0)</f>
        <v>0</v>
      </c>
      <c r="AM43" s="15">
        <f ca="1">IFERROR(GETPIVOTDATA("Cuenta de CANT",Tabla9,"PROV",[1]Tablas!$A$49,"SEFIS",AM$16,"CANT",[1]Tablas!$A14),0)</f>
        <v>0</v>
      </c>
      <c r="AN43" s="15">
        <f ca="1">IFERROR(GETPIVOTDATA("Cuenta de CANT",Tabla9,"PROV",[1]Tablas!$A$49,"SEFIS",AN$16,"CANT",[1]Tablas!$A14),0)</f>
        <v>0</v>
      </c>
      <c r="AO43" s="15">
        <f ca="1">IFERROR(GETPIVOTDATA("Cuenta de CANT",Tabla9,"PROV",[1]Tablas!$A$49,"SEFIS",AO$16,"CANT",[1]Tablas!$A14),0)</f>
        <v>0</v>
      </c>
      <c r="AP43" s="15">
        <f ca="1">IFERROR(GETPIVOTDATA("Cuenta de CANT",Tabla9,"PROV",[1]Tablas!$A$49,"SEFIS",AP$16,"CANT",[1]Tablas!$A14),0)</f>
        <v>0</v>
      </c>
      <c r="AQ43" s="15">
        <f ca="1">IFERROR(GETPIVOTDATA("Cuenta de CANT",Tabla9,"PROV",[1]Tablas!$A$49,"SEFIS",AQ$16,"CANT",[1]Tablas!$A14),0)</f>
        <v>0</v>
      </c>
      <c r="AR43" s="15">
        <f ca="1">IFERROR(GETPIVOTDATA("Cuenta de CANT",Tabla9,"PROV",[1]Tablas!$A$49,"SEFIS",AR$16,"CANT",[1]Tablas!$A14),0)</f>
        <v>0</v>
      </c>
      <c r="AS43" s="15">
        <f ca="1">IFERROR(GETPIVOTDATA("Cuenta de CANT",Tabla9,"PROV",[1]Tablas!$A$49,"SEFIS",AS$16,"CANT",[1]Tablas!$A14),0)</f>
        <v>0</v>
      </c>
      <c r="AT43" s="15">
        <f ca="1">IFERROR(GETPIVOTDATA("Cuenta de CANT",Tabla9,"PROV",[1]Tablas!$A$49,"SEFIS",AT$16,"CANT",[1]Tablas!$A14),0)</f>
        <v>0</v>
      </c>
      <c r="AU43" s="15">
        <f ca="1">IFERROR(GETPIVOTDATA("Cuenta de CANT",Tabla9,"PROV",[1]Tablas!$A$49,"SEFIS",AU$16,"CANT",[1]Tablas!$A14),0)</f>
        <v>0</v>
      </c>
      <c r="AV43" s="15">
        <f ca="1">IFERROR(GETPIVOTDATA("Cuenta de CANT",Tabla9,"PROV",[1]Tablas!$A$49,"SEFIS",AV$16,"CANT",[1]Tablas!$A14),0)</f>
        <v>0</v>
      </c>
      <c r="AW43" s="15">
        <f ca="1">IFERROR(GETPIVOTDATA("Cuenta de CANT",Tabla9,"PROV",[1]Tablas!$A$49,"SEFIS",AW$16,"CANT",[1]Tablas!$A14),0)</f>
        <v>0</v>
      </c>
      <c r="AX43" s="15">
        <f ca="1">IFERROR(GETPIVOTDATA("Cuenta de CANT",Tabla9,"PROV",[1]Tablas!$A$49,"SEFIS",AX$16,"CANT",[1]Tablas!$A14),0)</f>
        <v>0</v>
      </c>
      <c r="AY43" s="15">
        <f ca="1">IFERROR(GETPIVOTDATA("Cuenta de CANT",Tabla9,"PROV",[1]Tablas!$A$49,"SEFIS",AY$16,"CANT",[1]Tablas!$A14),0)</f>
        <v>0</v>
      </c>
      <c r="AZ43" s="15">
        <f ca="1">IFERROR(GETPIVOTDATA("Cuenta de CANT",Tabla9,"PROV",[1]Tablas!$A$49,"SEFIS",AZ$16,"CANT",[1]Tablas!$A14),0)</f>
        <v>0</v>
      </c>
      <c r="BA43" s="15">
        <f ca="1">IFERROR(GETPIVOTDATA("Cuenta de CANT",Tabla9,"PROV",[1]Tablas!$A$49,"SEFIS",BA$16,"CANT",[1]Tablas!$A14),0)</f>
        <v>0</v>
      </c>
      <c r="BB43" s="15">
        <f ca="1">IFERROR(GETPIVOTDATA("Cuenta de CANT",Tabla9,"PROV",[1]Tablas!$A$49,"SEFIS",BB$16,"CANT",[1]Tablas!$A14),0)</f>
        <v>0</v>
      </c>
      <c r="BC43" s="15">
        <f ca="1">IFERROR(GETPIVOTDATA("Cuenta de CANT",Tabla9,"PROV",[1]Tablas!$A$49,"SEFIS",BC$16,"CANT",[1]Tablas!$A14),0)</f>
        <v>0</v>
      </c>
    </row>
    <row r="44" spans="1:55" x14ac:dyDescent="0.35">
      <c r="A44" s="14" t="s">
        <v>40</v>
      </c>
      <c r="B44" s="15">
        <f t="shared" ca="1" si="1"/>
        <v>21</v>
      </c>
      <c r="C44" s="16">
        <f ca="1">IFERROR(B44/[1]Tablas!$B15*100000,"N/D")</f>
        <v>90.806884026636681</v>
      </c>
      <c r="D44" s="15">
        <f ca="1">IFERROR(GETPIVOTDATA("Cuenta de CANT",Tabla9,"PROV",[1]Tablas!$A$49,"SEFIS",D$16,"CANT",[1]Tablas!$A15),0)</f>
        <v>0</v>
      </c>
      <c r="E44" s="15">
        <f ca="1">IFERROR(GETPIVOTDATA("Cuenta de CANT",Tabla9,"PROV",[1]Tablas!$A$49,"SEFIS",E$16,"CANT",[1]Tablas!$A15),0)</f>
        <v>0</v>
      </c>
      <c r="F44" s="15">
        <f ca="1">IFERROR(GETPIVOTDATA("Cuenta de CANT",Tabla9,"PROV",[1]Tablas!$A$49,"SEFIS",F$16,"CANT",[1]Tablas!$A15),0)</f>
        <v>0</v>
      </c>
      <c r="G44" s="15">
        <f ca="1">IFERROR(GETPIVOTDATA("Cuenta de CANT",Tabla9,"PROV",[1]Tablas!$A$49,"SEFIS",G$16,"CANT",[1]Tablas!$A15),0)</f>
        <v>0</v>
      </c>
      <c r="H44" s="15">
        <f ca="1">IFERROR(GETPIVOTDATA("Cuenta de CANT",Tabla9,"PROV",[1]Tablas!$A$49,"SEFIS",H$16,"CANT",[1]Tablas!$A15),0)</f>
        <v>0</v>
      </c>
      <c r="I44" s="15">
        <f ca="1">IFERROR(GETPIVOTDATA("Cuenta de CANT",Tabla9,"PROV",[1]Tablas!$A$49,"SEFIS",I$16,"CANT",[1]Tablas!$A15),0)</f>
        <v>1</v>
      </c>
      <c r="J44" s="15">
        <f ca="1">IFERROR(GETPIVOTDATA("Cuenta de CANT",Tabla9,"PROV",[1]Tablas!$A$49,"SEFIS",J$16,"CANT",[1]Tablas!$A15),0)</f>
        <v>0</v>
      </c>
      <c r="K44" s="15">
        <f ca="1">IFERROR(GETPIVOTDATA("Cuenta de CANT",Tabla9,"PROV",[1]Tablas!$A$49,"SEFIS",K$16,"CANT",[1]Tablas!$A15),0)</f>
        <v>0</v>
      </c>
      <c r="L44" s="15">
        <f ca="1">IFERROR(GETPIVOTDATA("Cuenta de CANT",Tabla9,"PROV",[1]Tablas!$A$49,"SEFIS",L$16,"CANT",[1]Tablas!$A15),0)</f>
        <v>0</v>
      </c>
      <c r="M44" s="15">
        <f ca="1">IFERROR(GETPIVOTDATA("Cuenta de CANT",Tabla9,"PROV",[1]Tablas!$A$49,"SEFIS",M$16,"CANT",[1]Tablas!$A15),0)</f>
        <v>0</v>
      </c>
      <c r="N44" s="15">
        <f ca="1">IFERROR(GETPIVOTDATA("Cuenta de CANT",Tabla9,"PROV",[1]Tablas!$A$49,"SEFIS",N$16,"CANT",[1]Tablas!$A15),0)</f>
        <v>0</v>
      </c>
      <c r="O44" s="15">
        <f ca="1">IFERROR(GETPIVOTDATA("Cuenta de CANT",Tabla9,"PROV",[1]Tablas!$A$49,"SEFIS",O$16,"CANT",[1]Tablas!$A15),0)</f>
        <v>0</v>
      </c>
      <c r="P44" s="15">
        <f ca="1">IFERROR(GETPIVOTDATA("Cuenta de CANT",Tabla9,"PROV",[1]Tablas!$A$49,"SEFIS",P$16,"CANT",[1]Tablas!$A15),0)</f>
        <v>2</v>
      </c>
      <c r="Q44" s="15">
        <f ca="1">IFERROR(GETPIVOTDATA("Cuenta de CANT",Tabla9,"PROV",[1]Tablas!$A$49,"SEFIS",Q$16,"CANT",[1]Tablas!$A15),0)</f>
        <v>0</v>
      </c>
      <c r="R44" s="15">
        <f ca="1">IFERROR(GETPIVOTDATA("Cuenta de CANT",Tabla9,"PROV",[1]Tablas!$A$49,"SEFIS",R$16,"CANT",[1]Tablas!$A15),0)</f>
        <v>0</v>
      </c>
      <c r="S44" s="15">
        <f ca="1">IFERROR(GETPIVOTDATA("Cuenta de CANT",Tabla9,"PROV",[1]Tablas!$A$49,"SEFIS",S$16,"CANT",[1]Tablas!$A15),0)</f>
        <v>0</v>
      </c>
      <c r="T44" s="15">
        <f ca="1">IFERROR(GETPIVOTDATA("Cuenta de CANT",Tabla9,"PROV",[1]Tablas!$A$49,"SEFIS",T$16,"CANT",[1]Tablas!$A15),0)</f>
        <v>1</v>
      </c>
      <c r="U44" s="15">
        <f ca="1">IFERROR(GETPIVOTDATA("Cuenta de CANT",Tabla9,"PROV",[1]Tablas!$A$49,"SEFIS",U$16,"CANT",[1]Tablas!$A15),0)</f>
        <v>0</v>
      </c>
      <c r="V44" s="15">
        <f ca="1">IFERROR(GETPIVOTDATA("Cuenta de CANT",Tabla9,"PROV",[1]Tablas!$A$49,"SEFIS",V$16,"CANT",[1]Tablas!$A15),0)</f>
        <v>0</v>
      </c>
      <c r="W44" s="15">
        <f ca="1">IFERROR(GETPIVOTDATA("Cuenta de CANT",Tabla9,"PROV",[1]Tablas!$A$49,"SEFIS",W$16,"CANT",[1]Tablas!$A15),0)</f>
        <v>0</v>
      </c>
      <c r="X44" s="15">
        <f ca="1">IFERROR(GETPIVOTDATA("Cuenta de CANT",Tabla9,"PROV",[1]Tablas!$A$49,"SEFIS",X$16,"CANT",[1]Tablas!$A15),0)</f>
        <v>0</v>
      </c>
      <c r="Y44" s="15">
        <f ca="1">IFERROR(GETPIVOTDATA("Cuenta de CANT",Tabla9,"PROV",[1]Tablas!$A$49,"SEFIS",Y$16,"CANT",[1]Tablas!$A15),0)</f>
        <v>0</v>
      </c>
      <c r="Z44" s="15">
        <f ca="1">IFERROR(GETPIVOTDATA("Cuenta de CANT",Tabla9,"PROV",[1]Tablas!$A$49,"SEFIS",Z$16,"CANT",[1]Tablas!$A15),0)</f>
        <v>0</v>
      </c>
      <c r="AA44" s="15">
        <f ca="1">IFERROR(GETPIVOTDATA("Cuenta de CANT",Tabla9,"PROV",[1]Tablas!$A$49,"SEFIS",AA$16,"CANT",[1]Tablas!$A15),0)</f>
        <v>1</v>
      </c>
      <c r="AB44" s="15">
        <f ca="1">IFERROR(GETPIVOTDATA("Cuenta de CANT",Tabla9,"PROV",[1]Tablas!$A$49,"SEFIS",AB$16,"CANT",[1]Tablas!$A15),0)</f>
        <v>0</v>
      </c>
      <c r="AC44" s="15">
        <f ca="1">IFERROR(GETPIVOTDATA("Cuenta de CANT",Tabla9,"PROV",[1]Tablas!$A$49,"SEFIS",AC$16,"CANT",[1]Tablas!$A15),0)</f>
        <v>0</v>
      </c>
      <c r="AD44" s="15">
        <f ca="1">IFERROR(GETPIVOTDATA("Cuenta de CANT",Tabla9,"PROV",[1]Tablas!$A$49,"SEFIS",AD$16,"CANT",[1]Tablas!$A15),0)</f>
        <v>0</v>
      </c>
      <c r="AE44" s="15">
        <f ca="1">IFERROR(GETPIVOTDATA("Cuenta de CANT",Tabla9,"PROV",[1]Tablas!$A$49,"SEFIS",AE$16,"CANT",[1]Tablas!$A15),0)</f>
        <v>0</v>
      </c>
      <c r="AF44" s="15">
        <f ca="1">IFERROR(GETPIVOTDATA("Cuenta de CANT",Tabla9,"PROV",[1]Tablas!$A$49,"SEFIS",AF$16,"CANT",[1]Tablas!$A15),0)</f>
        <v>0</v>
      </c>
      <c r="AG44" s="15">
        <f ca="1">IFERROR(GETPIVOTDATA("Cuenta de CANT",Tabla9,"PROV",[1]Tablas!$A$49,"SEFIS",AG$16,"CANT",[1]Tablas!$A15),0)</f>
        <v>0</v>
      </c>
      <c r="AH44" s="15">
        <f ca="1">IFERROR(GETPIVOTDATA("Cuenta de CANT",Tabla9,"PROV",[1]Tablas!$A$49,"SEFIS",AH$16,"CANT",[1]Tablas!$A15),0)</f>
        <v>0</v>
      </c>
      <c r="AI44" s="15">
        <f ca="1">IFERROR(GETPIVOTDATA("Cuenta de CANT",Tabla9,"PROV",[1]Tablas!$A$49,"SEFIS",AI$16,"CANT",[1]Tablas!$A15),0)</f>
        <v>0</v>
      </c>
      <c r="AJ44" s="15">
        <f ca="1">IFERROR(GETPIVOTDATA("Cuenta de CANT",Tabla9,"PROV",[1]Tablas!$A$49,"SEFIS",AJ$16,"CANT",[1]Tablas!$A15),0)</f>
        <v>0</v>
      </c>
      <c r="AK44" s="15">
        <f ca="1">IFERROR(GETPIVOTDATA("Cuenta de CANT",Tabla9,"PROV",[1]Tablas!$A$49,"SEFIS",AK$16,"CANT",[1]Tablas!$A15),0)</f>
        <v>0</v>
      </c>
      <c r="AL44" s="15">
        <f ca="1">IFERROR(GETPIVOTDATA("Cuenta de CANT",Tabla9,"PROV",[1]Tablas!$A$49,"SEFIS",AL$16,"CANT",[1]Tablas!$A15),0)</f>
        <v>1</v>
      </c>
      <c r="AM44" s="15">
        <f ca="1">IFERROR(GETPIVOTDATA("Cuenta de CANT",Tabla9,"PROV",[1]Tablas!$A$49,"SEFIS",AM$16,"CANT",[1]Tablas!$A15),0)</f>
        <v>2</v>
      </c>
      <c r="AN44" s="15">
        <f ca="1">IFERROR(GETPIVOTDATA("Cuenta de CANT",Tabla9,"PROV",[1]Tablas!$A$49,"SEFIS",AN$16,"CANT",[1]Tablas!$A15),0)</f>
        <v>0</v>
      </c>
      <c r="AO44" s="15">
        <f ca="1">IFERROR(GETPIVOTDATA("Cuenta de CANT",Tabla9,"PROV",[1]Tablas!$A$49,"SEFIS",AO$16,"CANT",[1]Tablas!$A15),0)</f>
        <v>2</v>
      </c>
      <c r="AP44" s="15">
        <f ca="1">IFERROR(GETPIVOTDATA("Cuenta de CANT",Tabla9,"PROV",[1]Tablas!$A$49,"SEFIS",AP$16,"CANT",[1]Tablas!$A15),0)</f>
        <v>0</v>
      </c>
      <c r="AQ44" s="15">
        <f ca="1">IFERROR(GETPIVOTDATA("Cuenta de CANT",Tabla9,"PROV",[1]Tablas!$A$49,"SEFIS",AQ$16,"CANT",[1]Tablas!$A15),0)</f>
        <v>0</v>
      </c>
      <c r="AR44" s="15">
        <f ca="1">IFERROR(GETPIVOTDATA("Cuenta de CANT",Tabla9,"PROV",[1]Tablas!$A$49,"SEFIS",AR$16,"CANT",[1]Tablas!$A15),0)</f>
        <v>0</v>
      </c>
      <c r="AS44" s="15">
        <f ca="1">IFERROR(GETPIVOTDATA("Cuenta de CANT",Tabla9,"PROV",[1]Tablas!$A$49,"SEFIS",AS$16,"CANT",[1]Tablas!$A15),0)</f>
        <v>1</v>
      </c>
      <c r="AT44" s="15">
        <f ca="1">IFERROR(GETPIVOTDATA("Cuenta de CANT",Tabla9,"PROV",[1]Tablas!$A$49,"SEFIS",AT$16,"CANT",[1]Tablas!$A15),0)</f>
        <v>2</v>
      </c>
      <c r="AU44" s="15">
        <f ca="1">IFERROR(GETPIVOTDATA("Cuenta de CANT",Tabla9,"PROV",[1]Tablas!$A$49,"SEFIS",AU$16,"CANT",[1]Tablas!$A15),0)</f>
        <v>1</v>
      </c>
      <c r="AV44" s="15">
        <f ca="1">IFERROR(GETPIVOTDATA("Cuenta de CANT",Tabla9,"PROV",[1]Tablas!$A$49,"SEFIS",AV$16,"CANT",[1]Tablas!$A15),0)</f>
        <v>1</v>
      </c>
      <c r="AW44" s="15">
        <f ca="1">IFERROR(GETPIVOTDATA("Cuenta de CANT",Tabla9,"PROV",[1]Tablas!$A$49,"SEFIS",AW$16,"CANT",[1]Tablas!$A15),0)</f>
        <v>1</v>
      </c>
      <c r="AX44" s="15">
        <f ca="1">IFERROR(GETPIVOTDATA("Cuenta de CANT",Tabla9,"PROV",[1]Tablas!$A$49,"SEFIS",AX$16,"CANT",[1]Tablas!$A15),0)</f>
        <v>1</v>
      </c>
      <c r="AY44" s="15">
        <f ca="1">IFERROR(GETPIVOTDATA("Cuenta de CANT",Tabla9,"PROV",[1]Tablas!$A$49,"SEFIS",AY$16,"CANT",[1]Tablas!$A15),0)</f>
        <v>0</v>
      </c>
      <c r="AZ44" s="15">
        <f ca="1">IFERROR(GETPIVOTDATA("Cuenta de CANT",Tabla9,"PROV",[1]Tablas!$A$49,"SEFIS",AZ$16,"CANT",[1]Tablas!$A15),0)</f>
        <v>0</v>
      </c>
      <c r="BA44" s="15">
        <f ca="1">IFERROR(GETPIVOTDATA("Cuenta de CANT",Tabla9,"PROV",[1]Tablas!$A$49,"SEFIS",BA$16,"CANT",[1]Tablas!$A15),0)</f>
        <v>3</v>
      </c>
      <c r="BB44" s="15">
        <f ca="1">IFERROR(GETPIVOTDATA("Cuenta de CANT",Tabla9,"PROV",[1]Tablas!$A$49,"SEFIS",BB$16,"CANT",[1]Tablas!$A15),0)</f>
        <v>0</v>
      </c>
      <c r="BC44" s="15">
        <f ca="1">IFERROR(GETPIVOTDATA("Cuenta de CANT",Tabla9,"PROV",[1]Tablas!$A$49,"SEFIS",BC$16,"CANT",[1]Tablas!$A15),0)</f>
        <v>1</v>
      </c>
    </row>
    <row r="45" spans="1:55" x14ac:dyDescent="0.35">
      <c r="A45" s="14" t="s">
        <v>41</v>
      </c>
      <c r="B45" s="15">
        <f t="shared" ca="1" si="1"/>
        <v>11</v>
      </c>
      <c r="C45" s="16">
        <f ca="1">IFERROR(B45/[1]Tablas!$B16*100000,"N/D")</f>
        <v>5.6640594829228608</v>
      </c>
      <c r="D45" s="15">
        <f ca="1">IFERROR(GETPIVOTDATA("Cuenta de CANT",Tabla9,"PROV",[1]Tablas!$A$49,"SEFIS",D$16,"CANT",[1]Tablas!$A16),0)</f>
        <v>1</v>
      </c>
      <c r="E45" s="15">
        <f ca="1">IFERROR(GETPIVOTDATA("Cuenta de CANT",Tabla9,"PROV",[1]Tablas!$A$49,"SEFIS",E$16,"CANT",[1]Tablas!$A16),0)</f>
        <v>0</v>
      </c>
      <c r="F45" s="15">
        <f ca="1">IFERROR(GETPIVOTDATA("Cuenta de CANT",Tabla9,"PROV",[1]Tablas!$A$49,"SEFIS",F$16,"CANT",[1]Tablas!$A16),0)</f>
        <v>0</v>
      </c>
      <c r="G45" s="15">
        <f ca="1">IFERROR(GETPIVOTDATA("Cuenta de CANT",Tabla9,"PROV",[1]Tablas!$A$49,"SEFIS",G$16,"CANT",[1]Tablas!$A16),0)</f>
        <v>0</v>
      </c>
      <c r="H45" s="15">
        <f ca="1">IFERROR(GETPIVOTDATA("Cuenta de CANT",Tabla9,"PROV",[1]Tablas!$A$49,"SEFIS",H$16,"CANT",[1]Tablas!$A16),0)</f>
        <v>0</v>
      </c>
      <c r="I45" s="15">
        <f ca="1">IFERROR(GETPIVOTDATA("Cuenta de CANT",Tabla9,"PROV",[1]Tablas!$A$49,"SEFIS",I$16,"CANT",[1]Tablas!$A16),0)</f>
        <v>1</v>
      </c>
      <c r="J45" s="15">
        <f ca="1">IFERROR(GETPIVOTDATA("Cuenta de CANT",Tabla9,"PROV",[1]Tablas!$A$49,"SEFIS",J$16,"CANT",[1]Tablas!$A16),0)</f>
        <v>1</v>
      </c>
      <c r="K45" s="15">
        <f ca="1">IFERROR(GETPIVOTDATA("Cuenta de CANT",Tabla9,"PROV",[1]Tablas!$A$49,"SEFIS",K$16,"CANT",[1]Tablas!$A16),0)</f>
        <v>0</v>
      </c>
      <c r="L45" s="15">
        <f ca="1">IFERROR(GETPIVOTDATA("Cuenta de CANT",Tabla9,"PROV",[1]Tablas!$A$49,"SEFIS",L$16,"CANT",[1]Tablas!$A16),0)</f>
        <v>0</v>
      </c>
      <c r="M45" s="15">
        <f ca="1">IFERROR(GETPIVOTDATA("Cuenta de CANT",Tabla9,"PROV",[1]Tablas!$A$49,"SEFIS",M$16,"CANT",[1]Tablas!$A16),0)</f>
        <v>1</v>
      </c>
      <c r="N45" s="15">
        <f ca="1">IFERROR(GETPIVOTDATA("Cuenta de CANT",Tabla9,"PROV",[1]Tablas!$A$49,"SEFIS",N$16,"CANT",[1]Tablas!$A16),0)</f>
        <v>0</v>
      </c>
      <c r="O45" s="15">
        <f ca="1">IFERROR(GETPIVOTDATA("Cuenta de CANT",Tabla9,"PROV",[1]Tablas!$A$49,"SEFIS",O$16,"CANT",[1]Tablas!$A16),0)</f>
        <v>0</v>
      </c>
      <c r="P45" s="15">
        <f ca="1">IFERROR(GETPIVOTDATA("Cuenta de CANT",Tabla9,"PROV",[1]Tablas!$A$49,"SEFIS",P$16,"CANT",[1]Tablas!$A16),0)</f>
        <v>0</v>
      </c>
      <c r="Q45" s="15">
        <f ca="1">IFERROR(GETPIVOTDATA("Cuenta de CANT",Tabla9,"PROV",[1]Tablas!$A$49,"SEFIS",Q$16,"CANT",[1]Tablas!$A16),0)</f>
        <v>1</v>
      </c>
      <c r="R45" s="15">
        <f ca="1">IFERROR(GETPIVOTDATA("Cuenta de CANT",Tabla9,"PROV",[1]Tablas!$A$49,"SEFIS",R$16,"CANT",[1]Tablas!$A16),0)</f>
        <v>0</v>
      </c>
      <c r="S45" s="15">
        <f ca="1">IFERROR(GETPIVOTDATA("Cuenta de CANT",Tabla9,"PROV",[1]Tablas!$A$49,"SEFIS",S$16,"CANT",[1]Tablas!$A16),0)</f>
        <v>1</v>
      </c>
      <c r="T45" s="15">
        <f ca="1">IFERROR(GETPIVOTDATA("Cuenta de CANT",Tabla9,"PROV",[1]Tablas!$A$49,"SEFIS",T$16,"CANT",[1]Tablas!$A16),0)</f>
        <v>0</v>
      </c>
      <c r="U45" s="15">
        <f ca="1">IFERROR(GETPIVOTDATA("Cuenta de CANT",Tabla9,"PROV",[1]Tablas!$A$49,"SEFIS",U$16,"CANT",[1]Tablas!$A16),0)</f>
        <v>0</v>
      </c>
      <c r="V45" s="15">
        <f ca="1">IFERROR(GETPIVOTDATA("Cuenta de CANT",Tabla9,"PROV",[1]Tablas!$A$49,"SEFIS",V$16,"CANT",[1]Tablas!$A16),0)</f>
        <v>0</v>
      </c>
      <c r="W45" s="15">
        <f ca="1">IFERROR(GETPIVOTDATA("Cuenta de CANT",Tabla9,"PROV",[1]Tablas!$A$49,"SEFIS",W$16,"CANT",[1]Tablas!$A16),0)</f>
        <v>0</v>
      </c>
      <c r="X45" s="15">
        <f ca="1">IFERROR(GETPIVOTDATA("Cuenta de CANT",Tabla9,"PROV",[1]Tablas!$A$49,"SEFIS",X$16,"CANT",[1]Tablas!$A16),0)</f>
        <v>0</v>
      </c>
      <c r="Y45" s="15">
        <f ca="1">IFERROR(GETPIVOTDATA("Cuenta de CANT",Tabla9,"PROV",[1]Tablas!$A$49,"SEFIS",Y$16,"CANT",[1]Tablas!$A16),0)</f>
        <v>0</v>
      </c>
      <c r="Z45" s="15">
        <f ca="1">IFERROR(GETPIVOTDATA("Cuenta de CANT",Tabla9,"PROV",[1]Tablas!$A$49,"SEFIS",Z$16,"CANT",[1]Tablas!$A16),0)</f>
        <v>0</v>
      </c>
      <c r="AA45" s="15">
        <f ca="1">IFERROR(GETPIVOTDATA("Cuenta de CANT",Tabla9,"PROV",[1]Tablas!$A$49,"SEFIS",AA$16,"CANT",[1]Tablas!$A16),0)</f>
        <v>0</v>
      </c>
      <c r="AB45" s="15">
        <f ca="1">IFERROR(GETPIVOTDATA("Cuenta de CANT",Tabla9,"PROV",[1]Tablas!$A$49,"SEFIS",AB$16,"CANT",[1]Tablas!$A16),0)</f>
        <v>0</v>
      </c>
      <c r="AC45" s="15">
        <f ca="1">IFERROR(GETPIVOTDATA("Cuenta de CANT",Tabla9,"PROV",[1]Tablas!$A$49,"SEFIS",AC$16,"CANT",[1]Tablas!$A16),0)</f>
        <v>0</v>
      </c>
      <c r="AD45" s="15">
        <f ca="1">IFERROR(GETPIVOTDATA("Cuenta de CANT",Tabla9,"PROV",[1]Tablas!$A$49,"SEFIS",AD$16,"CANT",[1]Tablas!$A16),0)</f>
        <v>1</v>
      </c>
      <c r="AE45" s="15">
        <f ca="1">IFERROR(GETPIVOTDATA("Cuenta de CANT",Tabla9,"PROV",[1]Tablas!$A$49,"SEFIS",AE$16,"CANT",[1]Tablas!$A16),0)</f>
        <v>0</v>
      </c>
      <c r="AF45" s="15">
        <f ca="1">IFERROR(GETPIVOTDATA("Cuenta de CANT",Tabla9,"PROV",[1]Tablas!$A$49,"SEFIS",AF$16,"CANT",[1]Tablas!$A16),0)</f>
        <v>0</v>
      </c>
      <c r="AG45" s="15">
        <f ca="1">IFERROR(GETPIVOTDATA("Cuenta de CANT",Tabla9,"PROV",[1]Tablas!$A$49,"SEFIS",AG$16,"CANT",[1]Tablas!$A16),0)</f>
        <v>0</v>
      </c>
      <c r="AH45" s="15">
        <f ca="1">IFERROR(GETPIVOTDATA("Cuenta de CANT",Tabla9,"PROV",[1]Tablas!$A$49,"SEFIS",AH$16,"CANT",[1]Tablas!$A16),0)</f>
        <v>0</v>
      </c>
      <c r="AI45" s="15">
        <f ca="1">IFERROR(GETPIVOTDATA("Cuenta de CANT",Tabla9,"PROV",[1]Tablas!$A$49,"SEFIS",AI$16,"CANT",[1]Tablas!$A16),0)</f>
        <v>0</v>
      </c>
      <c r="AJ45" s="15">
        <f ca="1">IFERROR(GETPIVOTDATA("Cuenta de CANT",Tabla9,"PROV",[1]Tablas!$A$49,"SEFIS",AJ$16,"CANT",[1]Tablas!$A16),0)</f>
        <v>0</v>
      </c>
      <c r="AK45" s="15">
        <f ca="1">IFERROR(GETPIVOTDATA("Cuenta de CANT",Tabla9,"PROV",[1]Tablas!$A$49,"SEFIS",AK$16,"CANT",[1]Tablas!$A16),0)</f>
        <v>0</v>
      </c>
      <c r="AL45" s="15">
        <f ca="1">IFERROR(GETPIVOTDATA("Cuenta de CANT",Tabla9,"PROV",[1]Tablas!$A$49,"SEFIS",AL$16,"CANT",[1]Tablas!$A16),0)</f>
        <v>0</v>
      </c>
      <c r="AM45" s="15">
        <f ca="1">IFERROR(GETPIVOTDATA("Cuenta de CANT",Tabla9,"PROV",[1]Tablas!$A$49,"SEFIS",AM$16,"CANT",[1]Tablas!$A16),0)</f>
        <v>0</v>
      </c>
      <c r="AN45" s="15">
        <f ca="1">IFERROR(GETPIVOTDATA("Cuenta de CANT",Tabla9,"PROV",[1]Tablas!$A$49,"SEFIS",AN$16,"CANT",[1]Tablas!$A16),0)</f>
        <v>0</v>
      </c>
      <c r="AO45" s="15">
        <f ca="1">IFERROR(GETPIVOTDATA("Cuenta de CANT",Tabla9,"PROV",[1]Tablas!$A$49,"SEFIS",AO$16,"CANT",[1]Tablas!$A16),0)</f>
        <v>0</v>
      </c>
      <c r="AP45" s="15">
        <f ca="1">IFERROR(GETPIVOTDATA("Cuenta de CANT",Tabla9,"PROV",[1]Tablas!$A$49,"SEFIS",AP$16,"CANT",[1]Tablas!$A16),0)</f>
        <v>0</v>
      </c>
      <c r="AQ45" s="15">
        <f ca="1">IFERROR(GETPIVOTDATA("Cuenta de CANT",Tabla9,"PROV",[1]Tablas!$A$49,"SEFIS",AQ$16,"CANT",[1]Tablas!$A16),0)</f>
        <v>0</v>
      </c>
      <c r="AR45" s="15">
        <f ca="1">IFERROR(GETPIVOTDATA("Cuenta de CANT",Tabla9,"PROV",[1]Tablas!$A$49,"SEFIS",AR$16,"CANT",[1]Tablas!$A16),0)</f>
        <v>0</v>
      </c>
      <c r="AS45" s="15">
        <f ca="1">IFERROR(GETPIVOTDATA("Cuenta de CANT",Tabla9,"PROV",[1]Tablas!$A$49,"SEFIS",AS$16,"CANT",[1]Tablas!$A16),0)</f>
        <v>0</v>
      </c>
      <c r="AT45" s="15">
        <f ca="1">IFERROR(GETPIVOTDATA("Cuenta de CANT",Tabla9,"PROV",[1]Tablas!$A$49,"SEFIS",AT$16,"CANT",[1]Tablas!$A16),0)</f>
        <v>0</v>
      </c>
      <c r="AU45" s="15">
        <f ca="1">IFERROR(GETPIVOTDATA("Cuenta de CANT",Tabla9,"PROV",[1]Tablas!$A$49,"SEFIS",AU$16,"CANT",[1]Tablas!$A16),0)</f>
        <v>0</v>
      </c>
      <c r="AV45" s="15">
        <f ca="1">IFERROR(GETPIVOTDATA("Cuenta de CANT",Tabla9,"PROV",[1]Tablas!$A$49,"SEFIS",AV$16,"CANT",[1]Tablas!$A16),0)</f>
        <v>0</v>
      </c>
      <c r="AW45" s="15">
        <f ca="1">IFERROR(GETPIVOTDATA("Cuenta de CANT",Tabla9,"PROV",[1]Tablas!$A$49,"SEFIS",AW$16,"CANT",[1]Tablas!$A16),0)</f>
        <v>0</v>
      </c>
      <c r="AX45" s="15">
        <f ca="1">IFERROR(GETPIVOTDATA("Cuenta de CANT",Tabla9,"PROV",[1]Tablas!$A$49,"SEFIS",AX$16,"CANT",[1]Tablas!$A16),0)</f>
        <v>1</v>
      </c>
      <c r="AY45" s="15">
        <f ca="1">IFERROR(GETPIVOTDATA("Cuenta de CANT",Tabla9,"PROV",[1]Tablas!$A$49,"SEFIS",AY$16,"CANT",[1]Tablas!$A16),0)</f>
        <v>1</v>
      </c>
      <c r="AZ45" s="15">
        <f ca="1">IFERROR(GETPIVOTDATA("Cuenta de CANT",Tabla9,"PROV",[1]Tablas!$A$49,"SEFIS",AZ$16,"CANT",[1]Tablas!$A16),0)</f>
        <v>0</v>
      </c>
      <c r="BA45" s="15">
        <f ca="1">IFERROR(GETPIVOTDATA("Cuenta de CANT",Tabla9,"PROV",[1]Tablas!$A$49,"SEFIS",BA$16,"CANT",[1]Tablas!$A16),0)</f>
        <v>1</v>
      </c>
      <c r="BB45" s="15">
        <f ca="1">IFERROR(GETPIVOTDATA("Cuenta de CANT",Tabla9,"PROV",[1]Tablas!$A$49,"SEFIS",BB$16,"CANT",[1]Tablas!$A16),0)</f>
        <v>1</v>
      </c>
      <c r="BC45" s="15">
        <f ca="1">IFERROR(GETPIVOTDATA("Cuenta de CANT",Tabla9,"PROV",[1]Tablas!$A$49,"SEFIS",BC$16,"CANT",[1]Tablas!$A16),0)</f>
        <v>0</v>
      </c>
    </row>
    <row r="46" spans="1:55" x14ac:dyDescent="0.35">
      <c r="A46" s="14" t="s">
        <v>42</v>
      </c>
      <c r="B46" s="15">
        <f t="shared" ca="1" si="1"/>
        <v>3</v>
      </c>
      <c r="C46" s="16">
        <f ca="1">IFERROR(B46/[1]Tablas!$B17*100000,"N/D")</f>
        <v>21.358393848782573</v>
      </c>
      <c r="D46" s="15">
        <f ca="1">IFERROR(GETPIVOTDATA("Cuenta de CANT",Tabla9,"PROV",[1]Tablas!$A$49,"SEFIS",D$16,"CANT",[1]Tablas!$A17),0)</f>
        <v>0</v>
      </c>
      <c r="E46" s="15">
        <f ca="1">IFERROR(GETPIVOTDATA("Cuenta de CANT",Tabla9,"PROV",[1]Tablas!$A$49,"SEFIS",E$16,"CANT",[1]Tablas!$A17),0)</f>
        <v>0</v>
      </c>
      <c r="F46" s="15">
        <f ca="1">IFERROR(GETPIVOTDATA("Cuenta de CANT",Tabla9,"PROV",[1]Tablas!$A$49,"SEFIS",F$16,"CANT",[1]Tablas!$A17),0)</f>
        <v>0</v>
      </c>
      <c r="G46" s="15">
        <f ca="1">IFERROR(GETPIVOTDATA("Cuenta de CANT",Tabla9,"PROV",[1]Tablas!$A$49,"SEFIS",G$16,"CANT",[1]Tablas!$A17),0)</f>
        <v>0</v>
      </c>
      <c r="H46" s="15">
        <f ca="1">IFERROR(GETPIVOTDATA("Cuenta de CANT",Tabla9,"PROV",[1]Tablas!$A$49,"SEFIS",H$16,"CANT",[1]Tablas!$A17),0)</f>
        <v>0</v>
      </c>
      <c r="I46" s="15">
        <f ca="1">IFERROR(GETPIVOTDATA("Cuenta de CANT",Tabla9,"PROV",[1]Tablas!$A$49,"SEFIS",I$16,"CANT",[1]Tablas!$A17),0)</f>
        <v>0</v>
      </c>
      <c r="J46" s="15">
        <f ca="1">IFERROR(GETPIVOTDATA("Cuenta de CANT",Tabla9,"PROV",[1]Tablas!$A$49,"SEFIS",J$16,"CANT",[1]Tablas!$A17),0)</f>
        <v>0</v>
      </c>
      <c r="K46" s="15">
        <f ca="1">IFERROR(GETPIVOTDATA("Cuenta de CANT",Tabla9,"PROV",[1]Tablas!$A$49,"SEFIS",K$16,"CANT",[1]Tablas!$A17),0)</f>
        <v>0</v>
      </c>
      <c r="L46" s="15">
        <f ca="1">IFERROR(GETPIVOTDATA("Cuenta de CANT",Tabla9,"PROV",[1]Tablas!$A$49,"SEFIS",L$16,"CANT",[1]Tablas!$A17),0)</f>
        <v>0</v>
      </c>
      <c r="M46" s="15">
        <f ca="1">IFERROR(GETPIVOTDATA("Cuenta de CANT",Tabla9,"PROV",[1]Tablas!$A$49,"SEFIS",M$16,"CANT",[1]Tablas!$A17),0)</f>
        <v>0</v>
      </c>
      <c r="N46" s="15">
        <f ca="1">IFERROR(GETPIVOTDATA("Cuenta de CANT",Tabla9,"PROV",[1]Tablas!$A$49,"SEFIS",N$16,"CANT",[1]Tablas!$A17),0)</f>
        <v>0</v>
      </c>
      <c r="O46" s="15">
        <f ca="1">IFERROR(GETPIVOTDATA("Cuenta de CANT",Tabla9,"PROV",[1]Tablas!$A$49,"SEFIS",O$16,"CANT",[1]Tablas!$A17),0)</f>
        <v>0</v>
      </c>
      <c r="P46" s="15">
        <f ca="1">IFERROR(GETPIVOTDATA("Cuenta de CANT",Tabla9,"PROV",[1]Tablas!$A$49,"SEFIS",P$16,"CANT",[1]Tablas!$A17),0)</f>
        <v>0</v>
      </c>
      <c r="Q46" s="15">
        <f ca="1">IFERROR(GETPIVOTDATA("Cuenta de CANT",Tabla9,"PROV",[1]Tablas!$A$49,"SEFIS",Q$16,"CANT",[1]Tablas!$A17),0)</f>
        <v>0</v>
      </c>
      <c r="R46" s="15">
        <f ca="1">IFERROR(GETPIVOTDATA("Cuenta de CANT",Tabla9,"PROV",[1]Tablas!$A$49,"SEFIS",R$16,"CANT",[1]Tablas!$A17),0)</f>
        <v>0</v>
      </c>
      <c r="S46" s="15">
        <f ca="1">IFERROR(GETPIVOTDATA("Cuenta de CANT",Tabla9,"PROV",[1]Tablas!$A$49,"SEFIS",S$16,"CANT",[1]Tablas!$A17),0)</f>
        <v>0</v>
      </c>
      <c r="T46" s="15">
        <f ca="1">IFERROR(GETPIVOTDATA("Cuenta de CANT",Tabla9,"PROV",[1]Tablas!$A$49,"SEFIS",T$16,"CANT",[1]Tablas!$A17),0)</f>
        <v>0</v>
      </c>
      <c r="U46" s="15">
        <f ca="1">IFERROR(GETPIVOTDATA("Cuenta de CANT",Tabla9,"PROV",[1]Tablas!$A$49,"SEFIS",U$16,"CANT",[1]Tablas!$A17),0)</f>
        <v>0</v>
      </c>
      <c r="V46" s="15">
        <f ca="1">IFERROR(GETPIVOTDATA("Cuenta de CANT",Tabla9,"PROV",[1]Tablas!$A$49,"SEFIS",V$16,"CANT",[1]Tablas!$A17),0)</f>
        <v>0</v>
      </c>
      <c r="W46" s="15">
        <f ca="1">IFERROR(GETPIVOTDATA("Cuenta de CANT",Tabla9,"PROV",[1]Tablas!$A$49,"SEFIS",W$16,"CANT",[1]Tablas!$A17),0)</f>
        <v>0</v>
      </c>
      <c r="X46" s="15">
        <f ca="1">IFERROR(GETPIVOTDATA("Cuenta de CANT",Tabla9,"PROV",[1]Tablas!$A$49,"SEFIS",X$16,"CANT",[1]Tablas!$A17),0)</f>
        <v>0</v>
      </c>
      <c r="Y46" s="15">
        <f ca="1">IFERROR(GETPIVOTDATA("Cuenta de CANT",Tabla9,"PROV",[1]Tablas!$A$49,"SEFIS",Y$16,"CANT",[1]Tablas!$A17),0)</f>
        <v>1</v>
      </c>
      <c r="Z46" s="15">
        <f ca="1">IFERROR(GETPIVOTDATA("Cuenta de CANT",Tabla9,"PROV",[1]Tablas!$A$49,"SEFIS",Z$16,"CANT",[1]Tablas!$A17),0)</f>
        <v>1</v>
      </c>
      <c r="AA46" s="15">
        <f ca="1">IFERROR(GETPIVOTDATA("Cuenta de CANT",Tabla9,"PROV",[1]Tablas!$A$49,"SEFIS",AA$16,"CANT",[1]Tablas!$A17),0)</f>
        <v>0</v>
      </c>
      <c r="AB46" s="15">
        <f ca="1">IFERROR(GETPIVOTDATA("Cuenta de CANT",Tabla9,"PROV",[1]Tablas!$A$49,"SEFIS",AB$16,"CANT",[1]Tablas!$A17),0)</f>
        <v>0</v>
      </c>
      <c r="AC46" s="15">
        <f ca="1">IFERROR(GETPIVOTDATA("Cuenta de CANT",Tabla9,"PROV",[1]Tablas!$A$49,"SEFIS",AC$16,"CANT",[1]Tablas!$A17),0)</f>
        <v>0</v>
      </c>
      <c r="AD46" s="15">
        <f ca="1">IFERROR(GETPIVOTDATA("Cuenta de CANT",Tabla9,"PROV",[1]Tablas!$A$49,"SEFIS",AD$16,"CANT",[1]Tablas!$A17),0)</f>
        <v>0</v>
      </c>
      <c r="AE46" s="15">
        <f ca="1">IFERROR(GETPIVOTDATA("Cuenta de CANT",Tabla9,"PROV",[1]Tablas!$A$49,"SEFIS",AE$16,"CANT",[1]Tablas!$A17),0)</f>
        <v>0</v>
      </c>
      <c r="AF46" s="15">
        <f ca="1">IFERROR(GETPIVOTDATA("Cuenta de CANT",Tabla9,"PROV",[1]Tablas!$A$49,"SEFIS",AF$16,"CANT",[1]Tablas!$A17),0)</f>
        <v>0</v>
      </c>
      <c r="AG46" s="15">
        <f ca="1">IFERROR(GETPIVOTDATA("Cuenta de CANT",Tabla9,"PROV",[1]Tablas!$A$49,"SEFIS",AG$16,"CANT",[1]Tablas!$A17),0)</f>
        <v>0</v>
      </c>
      <c r="AH46" s="15">
        <f ca="1">IFERROR(GETPIVOTDATA("Cuenta de CANT",Tabla9,"PROV",[1]Tablas!$A$49,"SEFIS",AH$16,"CANT",[1]Tablas!$A17),0)</f>
        <v>0</v>
      </c>
      <c r="AI46" s="15">
        <f ca="1">IFERROR(GETPIVOTDATA("Cuenta de CANT",Tabla9,"PROV",[1]Tablas!$A$49,"SEFIS",AI$16,"CANT",[1]Tablas!$A17),0)</f>
        <v>0</v>
      </c>
      <c r="AJ46" s="15">
        <f ca="1">IFERROR(GETPIVOTDATA("Cuenta de CANT",Tabla9,"PROV",[1]Tablas!$A$49,"SEFIS",AJ$16,"CANT",[1]Tablas!$A17),0)</f>
        <v>0</v>
      </c>
      <c r="AK46" s="15">
        <f ca="1">IFERROR(GETPIVOTDATA("Cuenta de CANT",Tabla9,"PROV",[1]Tablas!$A$49,"SEFIS",AK$16,"CANT",[1]Tablas!$A17),0)</f>
        <v>0</v>
      </c>
      <c r="AL46" s="15">
        <f ca="1">IFERROR(GETPIVOTDATA("Cuenta de CANT",Tabla9,"PROV",[1]Tablas!$A$49,"SEFIS",AL$16,"CANT",[1]Tablas!$A17),0)</f>
        <v>0</v>
      </c>
      <c r="AM46" s="15">
        <f ca="1">IFERROR(GETPIVOTDATA("Cuenta de CANT",Tabla9,"PROV",[1]Tablas!$A$49,"SEFIS",AM$16,"CANT",[1]Tablas!$A17),0)</f>
        <v>1</v>
      </c>
      <c r="AN46" s="15">
        <f ca="1">IFERROR(GETPIVOTDATA("Cuenta de CANT",Tabla9,"PROV",[1]Tablas!$A$49,"SEFIS",AN$16,"CANT",[1]Tablas!$A17),0)</f>
        <v>0</v>
      </c>
      <c r="AO46" s="15">
        <f ca="1">IFERROR(GETPIVOTDATA("Cuenta de CANT",Tabla9,"PROV",[1]Tablas!$A$49,"SEFIS",AO$16,"CANT",[1]Tablas!$A17),0)</f>
        <v>0</v>
      </c>
      <c r="AP46" s="15">
        <f ca="1">IFERROR(GETPIVOTDATA("Cuenta de CANT",Tabla9,"PROV",[1]Tablas!$A$49,"SEFIS",AP$16,"CANT",[1]Tablas!$A17),0)</f>
        <v>0</v>
      </c>
      <c r="AQ46" s="15">
        <f ca="1">IFERROR(GETPIVOTDATA("Cuenta de CANT",Tabla9,"PROV",[1]Tablas!$A$49,"SEFIS",AQ$16,"CANT",[1]Tablas!$A17),0)</f>
        <v>0</v>
      </c>
      <c r="AR46" s="15">
        <f ca="1">IFERROR(GETPIVOTDATA("Cuenta de CANT",Tabla9,"PROV",[1]Tablas!$A$49,"SEFIS",AR$16,"CANT",[1]Tablas!$A17),0)</f>
        <v>0</v>
      </c>
      <c r="AS46" s="15">
        <f ca="1">IFERROR(GETPIVOTDATA("Cuenta de CANT",Tabla9,"PROV",[1]Tablas!$A$49,"SEFIS",AS$16,"CANT",[1]Tablas!$A17),0)</f>
        <v>0</v>
      </c>
      <c r="AT46" s="15">
        <f ca="1">IFERROR(GETPIVOTDATA("Cuenta de CANT",Tabla9,"PROV",[1]Tablas!$A$49,"SEFIS",AT$16,"CANT",[1]Tablas!$A17),0)</f>
        <v>0</v>
      </c>
      <c r="AU46" s="15">
        <f ca="1">IFERROR(GETPIVOTDATA("Cuenta de CANT",Tabla9,"PROV",[1]Tablas!$A$49,"SEFIS",AU$16,"CANT",[1]Tablas!$A17),0)</f>
        <v>0</v>
      </c>
      <c r="AV46" s="15">
        <f ca="1">IFERROR(GETPIVOTDATA("Cuenta de CANT",Tabla9,"PROV",[1]Tablas!$A$49,"SEFIS",AV$16,"CANT",[1]Tablas!$A17),0)</f>
        <v>0</v>
      </c>
      <c r="AW46" s="15">
        <f ca="1">IFERROR(GETPIVOTDATA("Cuenta de CANT",Tabla9,"PROV",[1]Tablas!$A$49,"SEFIS",AW$16,"CANT",[1]Tablas!$A17),0)</f>
        <v>0</v>
      </c>
      <c r="AX46" s="15">
        <f ca="1">IFERROR(GETPIVOTDATA("Cuenta de CANT",Tabla9,"PROV",[1]Tablas!$A$49,"SEFIS",AX$16,"CANT",[1]Tablas!$A17),0)</f>
        <v>0</v>
      </c>
      <c r="AY46" s="15">
        <f ca="1">IFERROR(GETPIVOTDATA("Cuenta de CANT",Tabla9,"PROV",[1]Tablas!$A$49,"SEFIS",AY$16,"CANT",[1]Tablas!$A17),0)</f>
        <v>0</v>
      </c>
      <c r="AZ46" s="15">
        <f ca="1">IFERROR(GETPIVOTDATA("Cuenta de CANT",Tabla9,"PROV",[1]Tablas!$A$49,"SEFIS",AZ$16,"CANT",[1]Tablas!$A17),0)</f>
        <v>0</v>
      </c>
      <c r="BA46" s="15">
        <f ca="1">IFERROR(GETPIVOTDATA("Cuenta de CANT",Tabla9,"PROV",[1]Tablas!$A$49,"SEFIS",BA$16,"CANT",[1]Tablas!$A17),0)</f>
        <v>0</v>
      </c>
      <c r="BB46" s="15">
        <f ca="1">IFERROR(GETPIVOTDATA("Cuenta de CANT",Tabla9,"PROV",[1]Tablas!$A$49,"SEFIS",BB$16,"CANT",[1]Tablas!$A17),0)</f>
        <v>0</v>
      </c>
      <c r="BC46" s="15">
        <f ca="1">IFERROR(GETPIVOTDATA("Cuenta de CANT",Tabla9,"PROV",[1]Tablas!$A$49,"SEFIS",BC$16,"CANT",[1]Tablas!$A17),0)</f>
        <v>0</v>
      </c>
    </row>
    <row r="47" spans="1:55" x14ac:dyDescent="0.35">
      <c r="A47" s="14" t="s">
        <v>43</v>
      </c>
      <c r="B47" s="15">
        <f t="shared" ca="1" si="1"/>
        <v>2</v>
      </c>
      <c r="C47" s="16">
        <f ca="1">IFERROR(B47/[1]Tablas!$B18*100000,"N/D")</f>
        <v>9.2064076597311715</v>
      </c>
      <c r="D47" s="15">
        <f ca="1">IFERROR(GETPIVOTDATA("Cuenta de CANT",Tabla9,"PROV",[1]Tablas!$A$49,"SEFIS",D$16,"CANT",[1]Tablas!$A18),0)</f>
        <v>0</v>
      </c>
      <c r="E47" s="15">
        <f ca="1">IFERROR(GETPIVOTDATA("Cuenta de CANT",Tabla9,"PROV",[1]Tablas!$A$49,"SEFIS",E$16,"CANT",[1]Tablas!$A18),0)</f>
        <v>0</v>
      </c>
      <c r="F47" s="15">
        <f ca="1">IFERROR(GETPIVOTDATA("Cuenta de CANT",Tabla9,"PROV",[1]Tablas!$A$49,"SEFIS",F$16,"CANT",[1]Tablas!$A18),0)</f>
        <v>0</v>
      </c>
      <c r="G47" s="15">
        <f ca="1">IFERROR(GETPIVOTDATA("Cuenta de CANT",Tabla9,"PROV",[1]Tablas!$A$49,"SEFIS",G$16,"CANT",[1]Tablas!$A18),0)</f>
        <v>0</v>
      </c>
      <c r="H47" s="15">
        <f ca="1">IFERROR(GETPIVOTDATA("Cuenta de CANT",Tabla9,"PROV",[1]Tablas!$A$49,"SEFIS",H$16,"CANT",[1]Tablas!$A18),0)</f>
        <v>0</v>
      </c>
      <c r="I47" s="15">
        <f ca="1">IFERROR(GETPIVOTDATA("Cuenta de CANT",Tabla9,"PROV",[1]Tablas!$A$49,"SEFIS",I$16,"CANT",[1]Tablas!$A18),0)</f>
        <v>0</v>
      </c>
      <c r="J47" s="15">
        <f ca="1">IFERROR(GETPIVOTDATA("Cuenta de CANT",Tabla9,"PROV",[1]Tablas!$A$49,"SEFIS",J$16,"CANT",[1]Tablas!$A18),0)</f>
        <v>0</v>
      </c>
      <c r="K47" s="15">
        <f ca="1">IFERROR(GETPIVOTDATA("Cuenta de CANT",Tabla9,"PROV",[1]Tablas!$A$49,"SEFIS",K$16,"CANT",[1]Tablas!$A18),0)</f>
        <v>0</v>
      </c>
      <c r="L47" s="15">
        <f ca="1">IFERROR(GETPIVOTDATA("Cuenta de CANT",Tabla9,"PROV",[1]Tablas!$A$49,"SEFIS",L$16,"CANT",[1]Tablas!$A18),0)</f>
        <v>0</v>
      </c>
      <c r="M47" s="15">
        <f ca="1">IFERROR(GETPIVOTDATA("Cuenta de CANT",Tabla9,"PROV",[1]Tablas!$A$49,"SEFIS",M$16,"CANT",[1]Tablas!$A18),0)</f>
        <v>0</v>
      </c>
      <c r="N47" s="15">
        <f ca="1">IFERROR(GETPIVOTDATA("Cuenta de CANT",Tabla9,"PROV",[1]Tablas!$A$49,"SEFIS",N$16,"CANT",[1]Tablas!$A18),0)</f>
        <v>0</v>
      </c>
      <c r="O47" s="15">
        <f ca="1">IFERROR(GETPIVOTDATA("Cuenta de CANT",Tabla9,"PROV",[1]Tablas!$A$49,"SEFIS",O$16,"CANT",[1]Tablas!$A18),0)</f>
        <v>0</v>
      </c>
      <c r="P47" s="15">
        <f ca="1">IFERROR(GETPIVOTDATA("Cuenta de CANT",Tabla9,"PROV",[1]Tablas!$A$49,"SEFIS",P$16,"CANT",[1]Tablas!$A18),0)</f>
        <v>0</v>
      </c>
      <c r="Q47" s="15">
        <f ca="1">IFERROR(GETPIVOTDATA("Cuenta de CANT",Tabla9,"PROV",[1]Tablas!$A$49,"SEFIS",Q$16,"CANT",[1]Tablas!$A18),0)</f>
        <v>0</v>
      </c>
      <c r="R47" s="15">
        <f ca="1">IFERROR(GETPIVOTDATA("Cuenta de CANT",Tabla9,"PROV",[1]Tablas!$A$49,"SEFIS",R$16,"CANT",[1]Tablas!$A18),0)</f>
        <v>0</v>
      </c>
      <c r="S47" s="15">
        <f ca="1">IFERROR(GETPIVOTDATA("Cuenta de CANT",Tabla9,"PROV",[1]Tablas!$A$49,"SEFIS",S$16,"CANT",[1]Tablas!$A18),0)</f>
        <v>0</v>
      </c>
      <c r="T47" s="15">
        <f ca="1">IFERROR(GETPIVOTDATA("Cuenta de CANT",Tabla9,"PROV",[1]Tablas!$A$49,"SEFIS",T$16,"CANT",[1]Tablas!$A18),0)</f>
        <v>1</v>
      </c>
      <c r="U47" s="15">
        <f ca="1">IFERROR(GETPIVOTDATA("Cuenta de CANT",Tabla9,"PROV",[1]Tablas!$A$49,"SEFIS",U$16,"CANT",[1]Tablas!$A18),0)</f>
        <v>0</v>
      </c>
      <c r="V47" s="15">
        <f ca="1">IFERROR(GETPIVOTDATA("Cuenta de CANT",Tabla9,"PROV",[1]Tablas!$A$49,"SEFIS",V$16,"CANT",[1]Tablas!$A18),0)</f>
        <v>0</v>
      </c>
      <c r="W47" s="15">
        <f ca="1">IFERROR(GETPIVOTDATA("Cuenta de CANT",Tabla9,"PROV",[1]Tablas!$A$49,"SEFIS",W$16,"CANT",[1]Tablas!$A18),0)</f>
        <v>0</v>
      </c>
      <c r="X47" s="15">
        <f ca="1">IFERROR(GETPIVOTDATA("Cuenta de CANT",Tabla9,"PROV",[1]Tablas!$A$49,"SEFIS",X$16,"CANT",[1]Tablas!$A18),0)</f>
        <v>0</v>
      </c>
      <c r="Y47" s="15">
        <f ca="1">IFERROR(GETPIVOTDATA("Cuenta de CANT",Tabla9,"PROV",[1]Tablas!$A$49,"SEFIS",Y$16,"CANT",[1]Tablas!$A18),0)</f>
        <v>0</v>
      </c>
      <c r="Z47" s="15">
        <f ca="1">IFERROR(GETPIVOTDATA("Cuenta de CANT",Tabla9,"PROV",[1]Tablas!$A$49,"SEFIS",Z$16,"CANT",[1]Tablas!$A18),0)</f>
        <v>0</v>
      </c>
      <c r="AA47" s="15">
        <f ca="1">IFERROR(GETPIVOTDATA("Cuenta de CANT",Tabla9,"PROV",[1]Tablas!$A$49,"SEFIS",AA$16,"CANT",[1]Tablas!$A18),0)</f>
        <v>0</v>
      </c>
      <c r="AB47" s="15">
        <f ca="1">IFERROR(GETPIVOTDATA("Cuenta de CANT",Tabla9,"PROV",[1]Tablas!$A$49,"SEFIS",AB$16,"CANT",[1]Tablas!$A18),0)</f>
        <v>0</v>
      </c>
      <c r="AC47" s="15">
        <f ca="1">IFERROR(GETPIVOTDATA("Cuenta de CANT",Tabla9,"PROV",[1]Tablas!$A$49,"SEFIS",AC$16,"CANT",[1]Tablas!$A18),0)</f>
        <v>0</v>
      </c>
      <c r="AD47" s="15">
        <f ca="1">IFERROR(GETPIVOTDATA("Cuenta de CANT",Tabla9,"PROV",[1]Tablas!$A$49,"SEFIS",AD$16,"CANT",[1]Tablas!$A18),0)</f>
        <v>0</v>
      </c>
      <c r="AE47" s="15">
        <f ca="1">IFERROR(GETPIVOTDATA("Cuenta de CANT",Tabla9,"PROV",[1]Tablas!$A$49,"SEFIS",AE$16,"CANT",[1]Tablas!$A18),0)</f>
        <v>1</v>
      </c>
      <c r="AF47" s="15">
        <f ca="1">IFERROR(GETPIVOTDATA("Cuenta de CANT",Tabla9,"PROV",[1]Tablas!$A$49,"SEFIS",AF$16,"CANT",[1]Tablas!$A18),0)</f>
        <v>0</v>
      </c>
      <c r="AG47" s="15">
        <f ca="1">IFERROR(GETPIVOTDATA("Cuenta de CANT",Tabla9,"PROV",[1]Tablas!$A$49,"SEFIS",AG$16,"CANT",[1]Tablas!$A18),0)</f>
        <v>0</v>
      </c>
      <c r="AH47" s="15">
        <f ca="1">IFERROR(GETPIVOTDATA("Cuenta de CANT",Tabla9,"PROV",[1]Tablas!$A$49,"SEFIS",AH$16,"CANT",[1]Tablas!$A18),0)</f>
        <v>0</v>
      </c>
      <c r="AI47" s="15">
        <f ca="1">IFERROR(GETPIVOTDATA("Cuenta de CANT",Tabla9,"PROV",[1]Tablas!$A$49,"SEFIS",AI$16,"CANT",[1]Tablas!$A18),0)</f>
        <v>0</v>
      </c>
      <c r="AJ47" s="15">
        <f ca="1">IFERROR(GETPIVOTDATA("Cuenta de CANT",Tabla9,"PROV",[1]Tablas!$A$49,"SEFIS",AJ$16,"CANT",[1]Tablas!$A18),0)</f>
        <v>0</v>
      </c>
      <c r="AK47" s="15">
        <f ca="1">IFERROR(GETPIVOTDATA("Cuenta de CANT",Tabla9,"PROV",[1]Tablas!$A$49,"SEFIS",AK$16,"CANT",[1]Tablas!$A18),0)</f>
        <v>0</v>
      </c>
      <c r="AL47" s="15">
        <f ca="1">IFERROR(GETPIVOTDATA("Cuenta de CANT",Tabla9,"PROV",[1]Tablas!$A$49,"SEFIS",AL$16,"CANT",[1]Tablas!$A18),0)</f>
        <v>0</v>
      </c>
      <c r="AM47" s="15">
        <f ca="1">IFERROR(GETPIVOTDATA("Cuenta de CANT",Tabla9,"PROV",[1]Tablas!$A$49,"SEFIS",AM$16,"CANT",[1]Tablas!$A18),0)</f>
        <v>0</v>
      </c>
      <c r="AN47" s="15">
        <f ca="1">IFERROR(GETPIVOTDATA("Cuenta de CANT",Tabla9,"PROV",[1]Tablas!$A$49,"SEFIS",AN$16,"CANT",[1]Tablas!$A18),0)</f>
        <v>0</v>
      </c>
      <c r="AO47" s="15">
        <f ca="1">IFERROR(GETPIVOTDATA("Cuenta de CANT",Tabla9,"PROV",[1]Tablas!$A$49,"SEFIS",AO$16,"CANT",[1]Tablas!$A18),0)</f>
        <v>0</v>
      </c>
      <c r="AP47" s="15">
        <f ca="1">IFERROR(GETPIVOTDATA("Cuenta de CANT",Tabla9,"PROV",[1]Tablas!$A$49,"SEFIS",AP$16,"CANT",[1]Tablas!$A18),0)</f>
        <v>0</v>
      </c>
      <c r="AQ47" s="15">
        <f ca="1">IFERROR(GETPIVOTDATA("Cuenta de CANT",Tabla9,"PROV",[1]Tablas!$A$49,"SEFIS",AQ$16,"CANT",[1]Tablas!$A18),0)</f>
        <v>0</v>
      </c>
      <c r="AR47" s="15">
        <f ca="1">IFERROR(GETPIVOTDATA("Cuenta de CANT",Tabla9,"PROV",[1]Tablas!$A$49,"SEFIS",AR$16,"CANT",[1]Tablas!$A18),0)</f>
        <v>0</v>
      </c>
      <c r="AS47" s="15">
        <f ca="1">IFERROR(GETPIVOTDATA("Cuenta de CANT",Tabla9,"PROV",[1]Tablas!$A$49,"SEFIS",AS$16,"CANT",[1]Tablas!$A18),0)</f>
        <v>0</v>
      </c>
      <c r="AT47" s="15">
        <f ca="1">IFERROR(GETPIVOTDATA("Cuenta de CANT",Tabla9,"PROV",[1]Tablas!$A$49,"SEFIS",AT$16,"CANT",[1]Tablas!$A18),0)</f>
        <v>0</v>
      </c>
      <c r="AU47" s="15">
        <f ca="1">IFERROR(GETPIVOTDATA("Cuenta de CANT",Tabla9,"PROV",[1]Tablas!$A$49,"SEFIS",AU$16,"CANT",[1]Tablas!$A18),0)</f>
        <v>0</v>
      </c>
      <c r="AV47" s="15">
        <f ca="1">IFERROR(GETPIVOTDATA("Cuenta de CANT",Tabla9,"PROV",[1]Tablas!$A$49,"SEFIS",AV$16,"CANT",[1]Tablas!$A18),0)</f>
        <v>0</v>
      </c>
      <c r="AW47" s="15">
        <f ca="1">IFERROR(GETPIVOTDATA("Cuenta de CANT",Tabla9,"PROV",[1]Tablas!$A$49,"SEFIS",AW$16,"CANT",[1]Tablas!$A18),0)</f>
        <v>0</v>
      </c>
      <c r="AX47" s="15">
        <f ca="1">IFERROR(GETPIVOTDATA("Cuenta de CANT",Tabla9,"PROV",[1]Tablas!$A$49,"SEFIS",AX$16,"CANT",[1]Tablas!$A18),0)</f>
        <v>0</v>
      </c>
      <c r="AY47" s="15">
        <f ca="1">IFERROR(GETPIVOTDATA("Cuenta de CANT",Tabla9,"PROV",[1]Tablas!$A$49,"SEFIS",AY$16,"CANT",[1]Tablas!$A18),0)</f>
        <v>0</v>
      </c>
      <c r="AZ47" s="15">
        <f ca="1">IFERROR(GETPIVOTDATA("Cuenta de CANT",Tabla9,"PROV",[1]Tablas!$A$49,"SEFIS",AZ$16,"CANT",[1]Tablas!$A18),0)</f>
        <v>0</v>
      </c>
      <c r="BA47" s="15">
        <f ca="1">IFERROR(GETPIVOTDATA("Cuenta de CANT",Tabla9,"PROV",[1]Tablas!$A$49,"SEFIS",BA$16,"CANT",[1]Tablas!$A18),0)</f>
        <v>0</v>
      </c>
      <c r="BB47" s="15">
        <f ca="1">IFERROR(GETPIVOTDATA("Cuenta de CANT",Tabla9,"PROV",[1]Tablas!$A$49,"SEFIS",BB$16,"CANT",[1]Tablas!$A18),0)</f>
        <v>0</v>
      </c>
      <c r="BC47" s="15">
        <f ca="1">IFERROR(GETPIVOTDATA("Cuenta de CANT",Tabla9,"PROV",[1]Tablas!$A$49,"SEFIS",BC$16,"CANT",[1]Tablas!$A18),0)</f>
        <v>0</v>
      </c>
    </row>
    <row r="48" spans="1:55" x14ac:dyDescent="0.35">
      <c r="A48" s="14" t="s">
        <v>44</v>
      </c>
      <c r="B48" s="15">
        <f t="shared" ca="1" si="1"/>
        <v>5</v>
      </c>
      <c r="C48" s="16">
        <f ca="1">IFERROR(B48/[1]Tablas!$B19*100000,"N/D")</f>
        <v>9.4964957930523628</v>
      </c>
      <c r="D48" s="15">
        <f ca="1">IFERROR(GETPIVOTDATA("Cuenta de CANT",Tabla9,"PROV",[1]Tablas!$A$49,"SEFIS",D$16,"CANT",[1]Tablas!$A19),0)</f>
        <v>1</v>
      </c>
      <c r="E48" s="15">
        <f ca="1">IFERROR(GETPIVOTDATA("Cuenta de CANT",Tabla9,"PROV",[1]Tablas!$A$49,"SEFIS",E$16,"CANT",[1]Tablas!$A19),0)</f>
        <v>0</v>
      </c>
      <c r="F48" s="15">
        <f ca="1">IFERROR(GETPIVOTDATA("Cuenta de CANT",Tabla9,"PROV",[1]Tablas!$A$49,"SEFIS",F$16,"CANT",[1]Tablas!$A19),0)</f>
        <v>0</v>
      </c>
      <c r="G48" s="15">
        <f ca="1">IFERROR(GETPIVOTDATA("Cuenta de CANT",Tabla9,"PROV",[1]Tablas!$A$49,"SEFIS",G$16,"CANT",[1]Tablas!$A19),0)</f>
        <v>0</v>
      </c>
      <c r="H48" s="15">
        <f ca="1">IFERROR(GETPIVOTDATA("Cuenta de CANT",Tabla9,"PROV",[1]Tablas!$A$49,"SEFIS",H$16,"CANT",[1]Tablas!$A19),0)</f>
        <v>0</v>
      </c>
      <c r="I48" s="15">
        <f ca="1">IFERROR(GETPIVOTDATA("Cuenta de CANT",Tabla9,"PROV",[1]Tablas!$A$49,"SEFIS",I$16,"CANT",[1]Tablas!$A19),0)</f>
        <v>0</v>
      </c>
      <c r="J48" s="15">
        <f ca="1">IFERROR(GETPIVOTDATA("Cuenta de CANT",Tabla9,"PROV",[1]Tablas!$A$49,"SEFIS",J$16,"CANT",[1]Tablas!$A19),0)</f>
        <v>0</v>
      </c>
      <c r="K48" s="15">
        <f ca="1">IFERROR(GETPIVOTDATA("Cuenta de CANT",Tabla9,"PROV",[1]Tablas!$A$49,"SEFIS",K$16,"CANT",[1]Tablas!$A19),0)</f>
        <v>0</v>
      </c>
      <c r="L48" s="15">
        <f ca="1">IFERROR(GETPIVOTDATA("Cuenta de CANT",Tabla9,"PROV",[1]Tablas!$A$49,"SEFIS",L$16,"CANT",[1]Tablas!$A19),0)</f>
        <v>1</v>
      </c>
      <c r="M48" s="15">
        <f ca="1">IFERROR(GETPIVOTDATA("Cuenta de CANT",Tabla9,"PROV",[1]Tablas!$A$49,"SEFIS",M$16,"CANT",[1]Tablas!$A19),0)</f>
        <v>0</v>
      </c>
      <c r="N48" s="15">
        <f ca="1">IFERROR(GETPIVOTDATA("Cuenta de CANT",Tabla9,"PROV",[1]Tablas!$A$49,"SEFIS",N$16,"CANT",[1]Tablas!$A19),0)</f>
        <v>0</v>
      </c>
      <c r="O48" s="15">
        <f ca="1">IFERROR(GETPIVOTDATA("Cuenta de CANT",Tabla9,"PROV",[1]Tablas!$A$49,"SEFIS",O$16,"CANT",[1]Tablas!$A19),0)</f>
        <v>0</v>
      </c>
      <c r="P48" s="15">
        <f ca="1">IFERROR(GETPIVOTDATA("Cuenta de CANT",Tabla9,"PROV",[1]Tablas!$A$49,"SEFIS",P$16,"CANT",[1]Tablas!$A19),0)</f>
        <v>0</v>
      </c>
      <c r="Q48" s="15">
        <f ca="1">IFERROR(GETPIVOTDATA("Cuenta de CANT",Tabla9,"PROV",[1]Tablas!$A$49,"SEFIS",Q$16,"CANT",[1]Tablas!$A19),0)</f>
        <v>0</v>
      </c>
      <c r="R48" s="15">
        <f ca="1">IFERROR(GETPIVOTDATA("Cuenta de CANT",Tabla9,"PROV",[1]Tablas!$A$49,"SEFIS",R$16,"CANT",[1]Tablas!$A19),0)</f>
        <v>0</v>
      </c>
      <c r="S48" s="15">
        <f ca="1">IFERROR(GETPIVOTDATA("Cuenta de CANT",Tabla9,"PROV",[1]Tablas!$A$49,"SEFIS",S$16,"CANT",[1]Tablas!$A19),0)</f>
        <v>0</v>
      </c>
      <c r="T48" s="15">
        <f ca="1">IFERROR(GETPIVOTDATA("Cuenta de CANT",Tabla9,"PROV",[1]Tablas!$A$49,"SEFIS",T$16,"CANT",[1]Tablas!$A19),0)</f>
        <v>0</v>
      </c>
      <c r="U48" s="15">
        <f ca="1">IFERROR(GETPIVOTDATA("Cuenta de CANT",Tabla9,"PROV",[1]Tablas!$A$49,"SEFIS",U$16,"CANT",[1]Tablas!$A19),0)</f>
        <v>0</v>
      </c>
      <c r="V48" s="15">
        <f ca="1">IFERROR(GETPIVOTDATA("Cuenta de CANT",Tabla9,"PROV",[1]Tablas!$A$49,"SEFIS",V$16,"CANT",[1]Tablas!$A19),0)</f>
        <v>0</v>
      </c>
      <c r="W48" s="15">
        <f ca="1">IFERROR(GETPIVOTDATA("Cuenta de CANT",Tabla9,"PROV",[1]Tablas!$A$49,"SEFIS",W$16,"CANT",[1]Tablas!$A19),0)</f>
        <v>0</v>
      </c>
      <c r="X48" s="15">
        <f ca="1">IFERROR(GETPIVOTDATA("Cuenta de CANT",Tabla9,"PROV",[1]Tablas!$A$49,"SEFIS",X$16,"CANT",[1]Tablas!$A19),0)</f>
        <v>0</v>
      </c>
      <c r="Y48" s="15">
        <f ca="1">IFERROR(GETPIVOTDATA("Cuenta de CANT",Tabla9,"PROV",[1]Tablas!$A$49,"SEFIS",Y$16,"CANT",[1]Tablas!$A19),0)</f>
        <v>0</v>
      </c>
      <c r="Z48" s="15">
        <f ca="1">IFERROR(GETPIVOTDATA("Cuenta de CANT",Tabla9,"PROV",[1]Tablas!$A$49,"SEFIS",Z$16,"CANT",[1]Tablas!$A19),0)</f>
        <v>0</v>
      </c>
      <c r="AA48" s="15">
        <f ca="1">IFERROR(GETPIVOTDATA("Cuenta de CANT",Tabla9,"PROV",[1]Tablas!$A$49,"SEFIS",AA$16,"CANT",[1]Tablas!$A19),0)</f>
        <v>0</v>
      </c>
      <c r="AB48" s="15">
        <f ca="1">IFERROR(GETPIVOTDATA("Cuenta de CANT",Tabla9,"PROV",[1]Tablas!$A$49,"SEFIS",AB$16,"CANT",[1]Tablas!$A19),0)</f>
        <v>0</v>
      </c>
      <c r="AC48" s="15">
        <f ca="1">IFERROR(GETPIVOTDATA("Cuenta de CANT",Tabla9,"PROV",[1]Tablas!$A$49,"SEFIS",AC$16,"CANT",[1]Tablas!$A19),0)</f>
        <v>0</v>
      </c>
      <c r="AD48" s="15">
        <f ca="1">IFERROR(GETPIVOTDATA("Cuenta de CANT",Tabla9,"PROV",[1]Tablas!$A$49,"SEFIS",AD$16,"CANT",[1]Tablas!$A19),0)</f>
        <v>0</v>
      </c>
      <c r="AE48" s="15">
        <f ca="1">IFERROR(GETPIVOTDATA("Cuenta de CANT",Tabla9,"PROV",[1]Tablas!$A$49,"SEFIS",AE$16,"CANT",[1]Tablas!$A19),0)</f>
        <v>0</v>
      </c>
      <c r="AF48" s="15">
        <f ca="1">IFERROR(GETPIVOTDATA("Cuenta de CANT",Tabla9,"PROV",[1]Tablas!$A$49,"SEFIS",AF$16,"CANT",[1]Tablas!$A19),0)</f>
        <v>0</v>
      </c>
      <c r="AG48" s="15">
        <f ca="1">IFERROR(GETPIVOTDATA("Cuenta de CANT",Tabla9,"PROV",[1]Tablas!$A$49,"SEFIS",AG$16,"CANT",[1]Tablas!$A19),0)</f>
        <v>0</v>
      </c>
      <c r="AH48" s="15">
        <f ca="1">IFERROR(GETPIVOTDATA("Cuenta de CANT",Tabla9,"PROV",[1]Tablas!$A$49,"SEFIS",AH$16,"CANT",[1]Tablas!$A19),0)</f>
        <v>0</v>
      </c>
      <c r="AI48" s="15">
        <f ca="1">IFERROR(GETPIVOTDATA("Cuenta de CANT",Tabla9,"PROV",[1]Tablas!$A$49,"SEFIS",AI$16,"CANT",[1]Tablas!$A19),0)</f>
        <v>0</v>
      </c>
      <c r="AJ48" s="15">
        <f ca="1">IFERROR(GETPIVOTDATA("Cuenta de CANT",Tabla9,"PROV",[1]Tablas!$A$49,"SEFIS",AJ$16,"CANT",[1]Tablas!$A19),0)</f>
        <v>0</v>
      </c>
      <c r="AK48" s="15">
        <f ca="1">IFERROR(GETPIVOTDATA("Cuenta de CANT",Tabla9,"PROV",[1]Tablas!$A$49,"SEFIS",AK$16,"CANT",[1]Tablas!$A19),0)</f>
        <v>0</v>
      </c>
      <c r="AL48" s="15">
        <f ca="1">IFERROR(GETPIVOTDATA("Cuenta de CANT",Tabla9,"PROV",[1]Tablas!$A$49,"SEFIS",AL$16,"CANT",[1]Tablas!$A19),0)</f>
        <v>0</v>
      </c>
      <c r="AM48" s="15">
        <f ca="1">IFERROR(GETPIVOTDATA("Cuenta de CANT",Tabla9,"PROV",[1]Tablas!$A$49,"SEFIS",AM$16,"CANT",[1]Tablas!$A19),0)</f>
        <v>0</v>
      </c>
      <c r="AN48" s="15">
        <f ca="1">IFERROR(GETPIVOTDATA("Cuenta de CANT",Tabla9,"PROV",[1]Tablas!$A$49,"SEFIS",AN$16,"CANT",[1]Tablas!$A19),0)</f>
        <v>0</v>
      </c>
      <c r="AO48" s="15">
        <f ca="1">IFERROR(GETPIVOTDATA("Cuenta de CANT",Tabla9,"PROV",[1]Tablas!$A$49,"SEFIS",AO$16,"CANT",[1]Tablas!$A19),0)</f>
        <v>0</v>
      </c>
      <c r="AP48" s="15">
        <f ca="1">IFERROR(GETPIVOTDATA("Cuenta de CANT",Tabla9,"PROV",[1]Tablas!$A$49,"SEFIS",AP$16,"CANT",[1]Tablas!$A19),0)</f>
        <v>0</v>
      </c>
      <c r="AQ48" s="15">
        <f ca="1">IFERROR(GETPIVOTDATA("Cuenta de CANT",Tabla9,"PROV",[1]Tablas!$A$49,"SEFIS",AQ$16,"CANT",[1]Tablas!$A19),0)</f>
        <v>0</v>
      </c>
      <c r="AR48" s="15">
        <f ca="1">IFERROR(GETPIVOTDATA("Cuenta de CANT",Tabla9,"PROV",[1]Tablas!$A$49,"SEFIS",AR$16,"CANT",[1]Tablas!$A19),0)</f>
        <v>0</v>
      </c>
      <c r="AS48" s="15">
        <f ca="1">IFERROR(GETPIVOTDATA("Cuenta de CANT",Tabla9,"PROV",[1]Tablas!$A$49,"SEFIS",AS$16,"CANT",[1]Tablas!$A19),0)</f>
        <v>0</v>
      </c>
      <c r="AT48" s="15">
        <f ca="1">IFERROR(GETPIVOTDATA("Cuenta de CANT",Tabla9,"PROV",[1]Tablas!$A$49,"SEFIS",AT$16,"CANT",[1]Tablas!$A19),0)</f>
        <v>0</v>
      </c>
      <c r="AU48" s="15">
        <f ca="1">IFERROR(GETPIVOTDATA("Cuenta de CANT",Tabla9,"PROV",[1]Tablas!$A$49,"SEFIS",AU$16,"CANT",[1]Tablas!$A19),0)</f>
        <v>1</v>
      </c>
      <c r="AV48" s="15">
        <f ca="1">IFERROR(GETPIVOTDATA("Cuenta de CANT",Tabla9,"PROV",[1]Tablas!$A$49,"SEFIS",AV$16,"CANT",[1]Tablas!$A19),0)</f>
        <v>0</v>
      </c>
      <c r="AW48" s="15">
        <f ca="1">IFERROR(GETPIVOTDATA("Cuenta de CANT",Tabla9,"PROV",[1]Tablas!$A$49,"SEFIS",AW$16,"CANT",[1]Tablas!$A19),0)</f>
        <v>1</v>
      </c>
      <c r="AX48" s="15">
        <f ca="1">IFERROR(GETPIVOTDATA("Cuenta de CANT",Tabla9,"PROV",[1]Tablas!$A$49,"SEFIS",AX$16,"CANT",[1]Tablas!$A19),0)</f>
        <v>0</v>
      </c>
      <c r="AY48" s="15">
        <f ca="1">IFERROR(GETPIVOTDATA("Cuenta de CANT",Tabla9,"PROV",[1]Tablas!$A$49,"SEFIS",AY$16,"CANT",[1]Tablas!$A19),0)</f>
        <v>0</v>
      </c>
      <c r="AZ48" s="15">
        <f ca="1">IFERROR(GETPIVOTDATA("Cuenta de CANT",Tabla9,"PROV",[1]Tablas!$A$49,"SEFIS",AZ$16,"CANT",[1]Tablas!$A19),0)</f>
        <v>0</v>
      </c>
      <c r="BA48" s="15">
        <f ca="1">IFERROR(GETPIVOTDATA("Cuenta de CANT",Tabla9,"PROV",[1]Tablas!$A$49,"SEFIS",BA$16,"CANT",[1]Tablas!$A19),0)</f>
        <v>0</v>
      </c>
      <c r="BB48" s="15">
        <f ca="1">IFERROR(GETPIVOTDATA("Cuenta de CANT",Tabla9,"PROV",[1]Tablas!$A$49,"SEFIS",BB$16,"CANT",[1]Tablas!$A19),0)</f>
        <v>1</v>
      </c>
      <c r="BC48" s="15">
        <f ca="1">IFERROR(GETPIVOTDATA("Cuenta de CANT",Tabla9,"PROV",[1]Tablas!$A$49,"SEFIS",BC$16,"CANT",[1]Tablas!$A19),0)</f>
        <v>0</v>
      </c>
    </row>
    <row r="49" spans="1:55" x14ac:dyDescent="0.35">
      <c r="A49" s="14" t="s">
        <v>45</v>
      </c>
      <c r="B49" s="15">
        <f t="shared" ca="1" si="1"/>
        <v>0</v>
      </c>
      <c r="C49" s="16">
        <f ca="1">IFERROR(B49/[1]Tablas!$B20*100000,"N/D")</f>
        <v>0</v>
      </c>
      <c r="D49" s="15">
        <f ca="1">IFERROR(GETPIVOTDATA("Cuenta de CANT",Tabla9,"PROV",[1]Tablas!$A$49,"SEFIS",D$16,"CANT",[1]Tablas!$A20),0)</f>
        <v>0</v>
      </c>
      <c r="E49" s="15">
        <f ca="1">IFERROR(GETPIVOTDATA("Cuenta de CANT",Tabla9,"PROV",[1]Tablas!$A$49,"SEFIS",E$16,"CANT",[1]Tablas!$A20),0)</f>
        <v>0</v>
      </c>
      <c r="F49" s="15">
        <f ca="1">IFERROR(GETPIVOTDATA("Cuenta de CANT",Tabla9,"PROV",[1]Tablas!$A$49,"SEFIS",F$16,"CANT",[1]Tablas!$A20),0)</f>
        <v>0</v>
      </c>
      <c r="G49" s="15">
        <f ca="1">IFERROR(GETPIVOTDATA("Cuenta de CANT",Tabla9,"PROV",[1]Tablas!$A$49,"SEFIS",G$16,"CANT",[1]Tablas!$A20),0)</f>
        <v>0</v>
      </c>
      <c r="H49" s="15">
        <f ca="1">IFERROR(GETPIVOTDATA("Cuenta de CANT",Tabla9,"PROV",[1]Tablas!$A$49,"SEFIS",H$16,"CANT",[1]Tablas!$A20),0)</f>
        <v>0</v>
      </c>
      <c r="I49" s="15">
        <f ca="1">IFERROR(GETPIVOTDATA("Cuenta de CANT",Tabla9,"PROV",[1]Tablas!$A$49,"SEFIS",I$16,"CANT",[1]Tablas!$A20),0)</f>
        <v>0</v>
      </c>
      <c r="J49" s="15">
        <f ca="1">IFERROR(GETPIVOTDATA("Cuenta de CANT",Tabla9,"PROV",[1]Tablas!$A$49,"SEFIS",J$16,"CANT",[1]Tablas!$A20),0)</f>
        <v>0</v>
      </c>
      <c r="K49" s="15">
        <f ca="1">IFERROR(GETPIVOTDATA("Cuenta de CANT",Tabla9,"PROV",[1]Tablas!$A$49,"SEFIS",K$16,"CANT",[1]Tablas!$A20),0)</f>
        <v>0</v>
      </c>
      <c r="L49" s="15">
        <f ca="1">IFERROR(GETPIVOTDATA("Cuenta de CANT",Tabla9,"PROV",[1]Tablas!$A$49,"SEFIS",L$16,"CANT",[1]Tablas!$A20),0)</f>
        <v>0</v>
      </c>
      <c r="M49" s="15">
        <f ca="1">IFERROR(GETPIVOTDATA("Cuenta de CANT",Tabla9,"PROV",[1]Tablas!$A$49,"SEFIS",M$16,"CANT",[1]Tablas!$A20),0)</f>
        <v>0</v>
      </c>
      <c r="N49" s="15">
        <f ca="1">IFERROR(GETPIVOTDATA("Cuenta de CANT",Tabla9,"PROV",[1]Tablas!$A$49,"SEFIS",N$16,"CANT",[1]Tablas!$A20),0)</f>
        <v>0</v>
      </c>
      <c r="O49" s="15">
        <f ca="1">IFERROR(GETPIVOTDATA("Cuenta de CANT",Tabla9,"PROV",[1]Tablas!$A$49,"SEFIS",O$16,"CANT",[1]Tablas!$A20),0)</f>
        <v>0</v>
      </c>
      <c r="P49" s="15">
        <f ca="1">IFERROR(GETPIVOTDATA("Cuenta de CANT",Tabla9,"PROV",[1]Tablas!$A$49,"SEFIS",P$16,"CANT",[1]Tablas!$A20),0)</f>
        <v>0</v>
      </c>
      <c r="Q49" s="15">
        <f ca="1">IFERROR(GETPIVOTDATA("Cuenta de CANT",Tabla9,"PROV",[1]Tablas!$A$49,"SEFIS",Q$16,"CANT",[1]Tablas!$A20),0)</f>
        <v>0</v>
      </c>
      <c r="R49" s="15">
        <f ca="1">IFERROR(GETPIVOTDATA("Cuenta de CANT",Tabla9,"PROV",[1]Tablas!$A$49,"SEFIS",R$16,"CANT",[1]Tablas!$A20),0)</f>
        <v>0</v>
      </c>
      <c r="S49" s="15">
        <f ca="1">IFERROR(GETPIVOTDATA("Cuenta de CANT",Tabla9,"PROV",[1]Tablas!$A$49,"SEFIS",S$16,"CANT",[1]Tablas!$A20),0)</f>
        <v>0</v>
      </c>
      <c r="T49" s="15">
        <f ca="1">IFERROR(GETPIVOTDATA("Cuenta de CANT",Tabla9,"PROV",[1]Tablas!$A$49,"SEFIS",T$16,"CANT",[1]Tablas!$A20),0)</f>
        <v>0</v>
      </c>
      <c r="U49" s="15">
        <f ca="1">IFERROR(GETPIVOTDATA("Cuenta de CANT",Tabla9,"PROV",[1]Tablas!$A$49,"SEFIS",U$16,"CANT",[1]Tablas!$A20),0)</f>
        <v>0</v>
      </c>
      <c r="V49" s="15">
        <f ca="1">IFERROR(GETPIVOTDATA("Cuenta de CANT",Tabla9,"PROV",[1]Tablas!$A$49,"SEFIS",V$16,"CANT",[1]Tablas!$A20),0)</f>
        <v>0</v>
      </c>
      <c r="W49" s="15">
        <f ca="1">IFERROR(GETPIVOTDATA("Cuenta de CANT",Tabla9,"PROV",[1]Tablas!$A$49,"SEFIS",W$16,"CANT",[1]Tablas!$A20),0)</f>
        <v>0</v>
      </c>
      <c r="X49" s="15">
        <f ca="1">IFERROR(GETPIVOTDATA("Cuenta de CANT",Tabla9,"PROV",[1]Tablas!$A$49,"SEFIS",X$16,"CANT",[1]Tablas!$A20),0)</f>
        <v>0</v>
      </c>
      <c r="Y49" s="15">
        <f ca="1">IFERROR(GETPIVOTDATA("Cuenta de CANT",Tabla9,"PROV",[1]Tablas!$A$49,"SEFIS",Y$16,"CANT",[1]Tablas!$A20),0)</f>
        <v>0</v>
      </c>
      <c r="Z49" s="15">
        <f ca="1">IFERROR(GETPIVOTDATA("Cuenta de CANT",Tabla9,"PROV",[1]Tablas!$A$49,"SEFIS",Z$16,"CANT",[1]Tablas!$A20),0)</f>
        <v>0</v>
      </c>
      <c r="AA49" s="15">
        <f ca="1">IFERROR(GETPIVOTDATA("Cuenta de CANT",Tabla9,"PROV",[1]Tablas!$A$49,"SEFIS",AA$16,"CANT",[1]Tablas!$A20),0)</f>
        <v>0</v>
      </c>
      <c r="AB49" s="15">
        <f ca="1">IFERROR(GETPIVOTDATA("Cuenta de CANT",Tabla9,"PROV",[1]Tablas!$A$49,"SEFIS",AB$16,"CANT",[1]Tablas!$A20),0)</f>
        <v>0</v>
      </c>
      <c r="AC49" s="15">
        <f ca="1">IFERROR(GETPIVOTDATA("Cuenta de CANT",Tabla9,"PROV",[1]Tablas!$A$49,"SEFIS",AC$16,"CANT",[1]Tablas!$A20),0)</f>
        <v>0</v>
      </c>
      <c r="AD49" s="15">
        <f ca="1">IFERROR(GETPIVOTDATA("Cuenta de CANT",Tabla9,"PROV",[1]Tablas!$A$49,"SEFIS",AD$16,"CANT",[1]Tablas!$A20),0)</f>
        <v>0</v>
      </c>
      <c r="AE49" s="15">
        <f ca="1">IFERROR(GETPIVOTDATA("Cuenta de CANT",Tabla9,"PROV",[1]Tablas!$A$49,"SEFIS",AE$16,"CANT",[1]Tablas!$A20),0)</f>
        <v>0</v>
      </c>
      <c r="AF49" s="15">
        <f ca="1">IFERROR(GETPIVOTDATA("Cuenta de CANT",Tabla9,"PROV",[1]Tablas!$A$49,"SEFIS",AF$16,"CANT",[1]Tablas!$A20),0)</f>
        <v>0</v>
      </c>
      <c r="AG49" s="15">
        <f ca="1">IFERROR(GETPIVOTDATA("Cuenta de CANT",Tabla9,"PROV",[1]Tablas!$A$49,"SEFIS",AG$16,"CANT",[1]Tablas!$A20),0)</f>
        <v>0</v>
      </c>
      <c r="AH49" s="15">
        <f ca="1">IFERROR(GETPIVOTDATA("Cuenta de CANT",Tabla9,"PROV",[1]Tablas!$A$49,"SEFIS",AH$16,"CANT",[1]Tablas!$A20),0)</f>
        <v>0</v>
      </c>
      <c r="AI49" s="15">
        <f ca="1">IFERROR(GETPIVOTDATA("Cuenta de CANT",Tabla9,"PROV",[1]Tablas!$A$49,"SEFIS",AI$16,"CANT",[1]Tablas!$A20),0)</f>
        <v>0</v>
      </c>
      <c r="AJ49" s="15">
        <f ca="1">IFERROR(GETPIVOTDATA("Cuenta de CANT",Tabla9,"PROV",[1]Tablas!$A$49,"SEFIS",AJ$16,"CANT",[1]Tablas!$A20),0)</f>
        <v>0</v>
      </c>
      <c r="AK49" s="15">
        <f ca="1">IFERROR(GETPIVOTDATA("Cuenta de CANT",Tabla9,"PROV",[1]Tablas!$A$49,"SEFIS",AK$16,"CANT",[1]Tablas!$A20),0)</f>
        <v>0</v>
      </c>
      <c r="AL49" s="15">
        <f ca="1">IFERROR(GETPIVOTDATA("Cuenta de CANT",Tabla9,"PROV",[1]Tablas!$A$49,"SEFIS",AL$16,"CANT",[1]Tablas!$A20),0)</f>
        <v>0</v>
      </c>
      <c r="AM49" s="15">
        <f ca="1">IFERROR(GETPIVOTDATA("Cuenta de CANT",Tabla9,"PROV",[1]Tablas!$A$49,"SEFIS",AM$16,"CANT",[1]Tablas!$A20),0)</f>
        <v>0</v>
      </c>
      <c r="AN49" s="15">
        <f ca="1">IFERROR(GETPIVOTDATA("Cuenta de CANT",Tabla9,"PROV",[1]Tablas!$A$49,"SEFIS",AN$16,"CANT",[1]Tablas!$A20),0)</f>
        <v>0</v>
      </c>
      <c r="AO49" s="15">
        <f ca="1">IFERROR(GETPIVOTDATA("Cuenta de CANT",Tabla9,"PROV",[1]Tablas!$A$49,"SEFIS",AO$16,"CANT",[1]Tablas!$A20),0)</f>
        <v>0</v>
      </c>
      <c r="AP49" s="15">
        <f ca="1">IFERROR(GETPIVOTDATA("Cuenta de CANT",Tabla9,"PROV",[1]Tablas!$A$49,"SEFIS",AP$16,"CANT",[1]Tablas!$A20),0)</f>
        <v>0</v>
      </c>
      <c r="AQ49" s="15">
        <f ca="1">IFERROR(GETPIVOTDATA("Cuenta de CANT",Tabla9,"PROV",[1]Tablas!$A$49,"SEFIS",AQ$16,"CANT",[1]Tablas!$A20),0)</f>
        <v>0</v>
      </c>
      <c r="AR49" s="15">
        <f ca="1">IFERROR(GETPIVOTDATA("Cuenta de CANT",Tabla9,"PROV",[1]Tablas!$A$49,"SEFIS",AR$16,"CANT",[1]Tablas!$A20),0)</f>
        <v>0</v>
      </c>
      <c r="AS49" s="15">
        <f ca="1">IFERROR(GETPIVOTDATA("Cuenta de CANT",Tabla9,"PROV",[1]Tablas!$A$49,"SEFIS",AS$16,"CANT",[1]Tablas!$A20),0)</f>
        <v>0</v>
      </c>
      <c r="AT49" s="15">
        <f ca="1">IFERROR(GETPIVOTDATA("Cuenta de CANT",Tabla9,"PROV",[1]Tablas!$A$49,"SEFIS",AT$16,"CANT",[1]Tablas!$A20),0)</f>
        <v>0</v>
      </c>
      <c r="AU49" s="15">
        <f ca="1">IFERROR(GETPIVOTDATA("Cuenta de CANT",Tabla9,"PROV",[1]Tablas!$A$49,"SEFIS",AU$16,"CANT",[1]Tablas!$A20),0)</f>
        <v>0</v>
      </c>
      <c r="AV49" s="15">
        <f ca="1">IFERROR(GETPIVOTDATA("Cuenta de CANT",Tabla9,"PROV",[1]Tablas!$A$49,"SEFIS",AV$16,"CANT",[1]Tablas!$A20),0)</f>
        <v>0</v>
      </c>
      <c r="AW49" s="15">
        <f ca="1">IFERROR(GETPIVOTDATA("Cuenta de CANT",Tabla9,"PROV",[1]Tablas!$A$49,"SEFIS",AW$16,"CANT",[1]Tablas!$A20),0)</f>
        <v>0</v>
      </c>
      <c r="AX49" s="15">
        <f ca="1">IFERROR(GETPIVOTDATA("Cuenta de CANT",Tabla9,"PROV",[1]Tablas!$A$49,"SEFIS",AX$16,"CANT",[1]Tablas!$A20),0)</f>
        <v>0</v>
      </c>
      <c r="AY49" s="15">
        <f ca="1">IFERROR(GETPIVOTDATA("Cuenta de CANT",Tabla9,"PROV",[1]Tablas!$A$49,"SEFIS",AY$16,"CANT",[1]Tablas!$A20),0)</f>
        <v>0</v>
      </c>
      <c r="AZ49" s="15">
        <f ca="1">IFERROR(GETPIVOTDATA("Cuenta de CANT",Tabla9,"PROV",[1]Tablas!$A$49,"SEFIS",AZ$16,"CANT",[1]Tablas!$A20),0)</f>
        <v>0</v>
      </c>
      <c r="BA49" s="15">
        <f ca="1">IFERROR(GETPIVOTDATA("Cuenta de CANT",Tabla9,"PROV",[1]Tablas!$A$49,"SEFIS",BA$16,"CANT",[1]Tablas!$A20),0)</f>
        <v>0</v>
      </c>
      <c r="BB49" s="15">
        <f ca="1">IFERROR(GETPIVOTDATA("Cuenta de CANT",Tabla9,"PROV",[1]Tablas!$A$49,"SEFIS",BB$16,"CANT",[1]Tablas!$A20),0)</f>
        <v>0</v>
      </c>
      <c r="BC49" s="15">
        <f ca="1">IFERROR(GETPIVOTDATA("Cuenta de CANT",Tabla9,"PROV",[1]Tablas!$A$49,"SEFIS",BC$16,"CANT",[1]Tablas!$A20),0)</f>
        <v>0</v>
      </c>
    </row>
    <row r="50" spans="1:55" x14ac:dyDescent="0.35">
      <c r="A50" s="14" t="s">
        <v>46</v>
      </c>
      <c r="B50" s="15">
        <f t="shared" ca="1" si="1"/>
        <v>2</v>
      </c>
      <c r="C50" s="16">
        <f ca="1">IFERROR(B50/[1]Tablas!$B21*100000,"N/D")</f>
        <v>10.651896037494673</v>
      </c>
      <c r="D50" s="15">
        <f ca="1">IFERROR(GETPIVOTDATA("Cuenta de CANT",Tabla9,"PROV",[1]Tablas!$A$49,"SEFIS",D$16,"CANT",[1]Tablas!$A21),0)</f>
        <v>0</v>
      </c>
      <c r="E50" s="15">
        <f ca="1">IFERROR(GETPIVOTDATA("Cuenta de CANT",Tabla9,"PROV",[1]Tablas!$A$49,"SEFIS",E$16,"CANT",[1]Tablas!$A21),0)</f>
        <v>0</v>
      </c>
      <c r="F50" s="15">
        <f ca="1">IFERROR(GETPIVOTDATA("Cuenta de CANT",Tabla9,"PROV",[1]Tablas!$A$49,"SEFIS",F$16,"CANT",[1]Tablas!$A21),0)</f>
        <v>0</v>
      </c>
      <c r="G50" s="15">
        <f ca="1">IFERROR(GETPIVOTDATA("Cuenta de CANT",Tabla9,"PROV",[1]Tablas!$A$49,"SEFIS",G$16,"CANT",[1]Tablas!$A21),0)</f>
        <v>0</v>
      </c>
      <c r="H50" s="15">
        <f ca="1">IFERROR(GETPIVOTDATA("Cuenta de CANT",Tabla9,"PROV",[1]Tablas!$A$49,"SEFIS",H$16,"CANT",[1]Tablas!$A21),0)</f>
        <v>0</v>
      </c>
      <c r="I50" s="15">
        <f ca="1">IFERROR(GETPIVOTDATA("Cuenta de CANT",Tabla9,"PROV",[1]Tablas!$A$49,"SEFIS",I$16,"CANT",[1]Tablas!$A21),0)</f>
        <v>0</v>
      </c>
      <c r="J50" s="15">
        <f ca="1">IFERROR(GETPIVOTDATA("Cuenta de CANT",Tabla9,"PROV",[1]Tablas!$A$49,"SEFIS",J$16,"CANT",[1]Tablas!$A21),0)</f>
        <v>0</v>
      </c>
      <c r="K50" s="15">
        <f ca="1">IFERROR(GETPIVOTDATA("Cuenta de CANT",Tabla9,"PROV",[1]Tablas!$A$49,"SEFIS",K$16,"CANT",[1]Tablas!$A21),0)</f>
        <v>0</v>
      </c>
      <c r="L50" s="15">
        <f ca="1">IFERROR(GETPIVOTDATA("Cuenta de CANT",Tabla9,"PROV",[1]Tablas!$A$49,"SEFIS",L$16,"CANT",[1]Tablas!$A21),0)</f>
        <v>0</v>
      </c>
      <c r="M50" s="15">
        <f ca="1">IFERROR(GETPIVOTDATA("Cuenta de CANT",Tabla9,"PROV",[1]Tablas!$A$49,"SEFIS",M$16,"CANT",[1]Tablas!$A21),0)</f>
        <v>0</v>
      </c>
      <c r="N50" s="15">
        <f ca="1">IFERROR(GETPIVOTDATA("Cuenta de CANT",Tabla9,"PROV",[1]Tablas!$A$49,"SEFIS",N$16,"CANT",[1]Tablas!$A21),0)</f>
        <v>0</v>
      </c>
      <c r="O50" s="15">
        <f ca="1">IFERROR(GETPIVOTDATA("Cuenta de CANT",Tabla9,"PROV",[1]Tablas!$A$49,"SEFIS",O$16,"CANT",[1]Tablas!$A21),0)</f>
        <v>0</v>
      </c>
      <c r="P50" s="15">
        <f ca="1">IFERROR(GETPIVOTDATA("Cuenta de CANT",Tabla9,"PROV",[1]Tablas!$A$49,"SEFIS",P$16,"CANT",[1]Tablas!$A21),0)</f>
        <v>0</v>
      </c>
      <c r="Q50" s="15">
        <f ca="1">IFERROR(GETPIVOTDATA("Cuenta de CANT",Tabla9,"PROV",[1]Tablas!$A$49,"SEFIS",Q$16,"CANT",[1]Tablas!$A21),0)</f>
        <v>0</v>
      </c>
      <c r="R50" s="15">
        <f ca="1">IFERROR(GETPIVOTDATA("Cuenta de CANT",Tabla9,"PROV",[1]Tablas!$A$49,"SEFIS",R$16,"CANT",[1]Tablas!$A21),0)</f>
        <v>0</v>
      </c>
      <c r="S50" s="15">
        <f ca="1">IFERROR(GETPIVOTDATA("Cuenta de CANT",Tabla9,"PROV",[1]Tablas!$A$49,"SEFIS",S$16,"CANT",[1]Tablas!$A21),0)</f>
        <v>0</v>
      </c>
      <c r="T50" s="15">
        <f ca="1">IFERROR(GETPIVOTDATA("Cuenta de CANT",Tabla9,"PROV",[1]Tablas!$A$49,"SEFIS",T$16,"CANT",[1]Tablas!$A21),0)</f>
        <v>0</v>
      </c>
      <c r="U50" s="15">
        <f ca="1">IFERROR(GETPIVOTDATA("Cuenta de CANT",Tabla9,"PROV",[1]Tablas!$A$49,"SEFIS",U$16,"CANT",[1]Tablas!$A21),0)</f>
        <v>0</v>
      </c>
      <c r="V50" s="15">
        <f ca="1">IFERROR(GETPIVOTDATA("Cuenta de CANT",Tabla9,"PROV",[1]Tablas!$A$49,"SEFIS",V$16,"CANT",[1]Tablas!$A21),0)</f>
        <v>0</v>
      </c>
      <c r="W50" s="15">
        <f ca="1">IFERROR(GETPIVOTDATA("Cuenta de CANT",Tabla9,"PROV",[1]Tablas!$A$49,"SEFIS",W$16,"CANT",[1]Tablas!$A21),0)</f>
        <v>0</v>
      </c>
      <c r="X50" s="15">
        <f ca="1">IFERROR(GETPIVOTDATA("Cuenta de CANT",Tabla9,"PROV",[1]Tablas!$A$49,"SEFIS",X$16,"CANT",[1]Tablas!$A21),0)</f>
        <v>0</v>
      </c>
      <c r="Y50" s="15">
        <f ca="1">IFERROR(GETPIVOTDATA("Cuenta de CANT",Tabla9,"PROV",[1]Tablas!$A$49,"SEFIS",Y$16,"CANT",[1]Tablas!$A21),0)</f>
        <v>1</v>
      </c>
      <c r="Z50" s="15">
        <f ca="1">IFERROR(GETPIVOTDATA("Cuenta de CANT",Tabla9,"PROV",[1]Tablas!$A$49,"SEFIS",Z$16,"CANT",[1]Tablas!$A21),0)</f>
        <v>0</v>
      </c>
      <c r="AA50" s="15">
        <f ca="1">IFERROR(GETPIVOTDATA("Cuenta de CANT",Tabla9,"PROV",[1]Tablas!$A$49,"SEFIS",AA$16,"CANT",[1]Tablas!$A21),0)</f>
        <v>0</v>
      </c>
      <c r="AB50" s="15">
        <f ca="1">IFERROR(GETPIVOTDATA("Cuenta de CANT",Tabla9,"PROV",[1]Tablas!$A$49,"SEFIS",AB$16,"CANT",[1]Tablas!$A21),0)</f>
        <v>0</v>
      </c>
      <c r="AC50" s="15">
        <f ca="1">IFERROR(GETPIVOTDATA("Cuenta de CANT",Tabla9,"PROV",[1]Tablas!$A$49,"SEFIS",AC$16,"CANT",[1]Tablas!$A21),0)</f>
        <v>0</v>
      </c>
      <c r="AD50" s="15">
        <f ca="1">IFERROR(GETPIVOTDATA("Cuenta de CANT",Tabla9,"PROV",[1]Tablas!$A$49,"SEFIS",AD$16,"CANT",[1]Tablas!$A21),0)</f>
        <v>0</v>
      </c>
      <c r="AE50" s="15">
        <f ca="1">IFERROR(GETPIVOTDATA("Cuenta de CANT",Tabla9,"PROV",[1]Tablas!$A$49,"SEFIS",AE$16,"CANT",[1]Tablas!$A21),0)</f>
        <v>0</v>
      </c>
      <c r="AF50" s="15">
        <f ca="1">IFERROR(GETPIVOTDATA("Cuenta de CANT",Tabla9,"PROV",[1]Tablas!$A$49,"SEFIS",AF$16,"CANT",[1]Tablas!$A21),0)</f>
        <v>1</v>
      </c>
      <c r="AG50" s="15">
        <f ca="1">IFERROR(GETPIVOTDATA("Cuenta de CANT",Tabla9,"PROV",[1]Tablas!$A$49,"SEFIS",AG$16,"CANT",[1]Tablas!$A21),0)</f>
        <v>0</v>
      </c>
      <c r="AH50" s="15">
        <f ca="1">IFERROR(GETPIVOTDATA("Cuenta de CANT",Tabla9,"PROV",[1]Tablas!$A$49,"SEFIS",AH$16,"CANT",[1]Tablas!$A21),0)</f>
        <v>0</v>
      </c>
      <c r="AI50" s="15">
        <f ca="1">IFERROR(GETPIVOTDATA("Cuenta de CANT",Tabla9,"PROV",[1]Tablas!$A$49,"SEFIS",AI$16,"CANT",[1]Tablas!$A21),0)</f>
        <v>0</v>
      </c>
      <c r="AJ50" s="15">
        <f ca="1">IFERROR(GETPIVOTDATA("Cuenta de CANT",Tabla9,"PROV",[1]Tablas!$A$49,"SEFIS",AJ$16,"CANT",[1]Tablas!$A21),0)</f>
        <v>0</v>
      </c>
      <c r="AK50" s="15">
        <f ca="1">IFERROR(GETPIVOTDATA("Cuenta de CANT",Tabla9,"PROV",[1]Tablas!$A$49,"SEFIS",AK$16,"CANT",[1]Tablas!$A21),0)</f>
        <v>0</v>
      </c>
      <c r="AL50" s="15">
        <f ca="1">IFERROR(GETPIVOTDATA("Cuenta de CANT",Tabla9,"PROV",[1]Tablas!$A$49,"SEFIS",AL$16,"CANT",[1]Tablas!$A21),0)</f>
        <v>0</v>
      </c>
      <c r="AM50" s="15">
        <f ca="1">IFERROR(GETPIVOTDATA("Cuenta de CANT",Tabla9,"PROV",[1]Tablas!$A$49,"SEFIS",AM$16,"CANT",[1]Tablas!$A21),0)</f>
        <v>0</v>
      </c>
      <c r="AN50" s="15">
        <f ca="1">IFERROR(GETPIVOTDATA("Cuenta de CANT",Tabla9,"PROV",[1]Tablas!$A$49,"SEFIS",AN$16,"CANT",[1]Tablas!$A21),0)</f>
        <v>0</v>
      </c>
      <c r="AO50" s="15">
        <f ca="1">IFERROR(GETPIVOTDATA("Cuenta de CANT",Tabla9,"PROV",[1]Tablas!$A$49,"SEFIS",AO$16,"CANT",[1]Tablas!$A21),0)</f>
        <v>0</v>
      </c>
      <c r="AP50" s="15">
        <f ca="1">IFERROR(GETPIVOTDATA("Cuenta de CANT",Tabla9,"PROV",[1]Tablas!$A$49,"SEFIS",AP$16,"CANT",[1]Tablas!$A21),0)</f>
        <v>0</v>
      </c>
      <c r="AQ50" s="15">
        <f ca="1">IFERROR(GETPIVOTDATA("Cuenta de CANT",Tabla9,"PROV",[1]Tablas!$A$49,"SEFIS",AQ$16,"CANT",[1]Tablas!$A21),0)</f>
        <v>0</v>
      </c>
      <c r="AR50" s="15">
        <f ca="1">IFERROR(GETPIVOTDATA("Cuenta de CANT",Tabla9,"PROV",[1]Tablas!$A$49,"SEFIS",AR$16,"CANT",[1]Tablas!$A21),0)</f>
        <v>0</v>
      </c>
      <c r="AS50" s="15">
        <f ca="1">IFERROR(GETPIVOTDATA("Cuenta de CANT",Tabla9,"PROV",[1]Tablas!$A$49,"SEFIS",AS$16,"CANT",[1]Tablas!$A21),0)</f>
        <v>0</v>
      </c>
      <c r="AT50" s="15">
        <f ca="1">IFERROR(GETPIVOTDATA("Cuenta de CANT",Tabla9,"PROV",[1]Tablas!$A$49,"SEFIS",AT$16,"CANT",[1]Tablas!$A21),0)</f>
        <v>0</v>
      </c>
      <c r="AU50" s="15">
        <f ca="1">IFERROR(GETPIVOTDATA("Cuenta de CANT",Tabla9,"PROV",[1]Tablas!$A$49,"SEFIS",AU$16,"CANT",[1]Tablas!$A21),0)</f>
        <v>0</v>
      </c>
      <c r="AV50" s="15">
        <f ca="1">IFERROR(GETPIVOTDATA("Cuenta de CANT",Tabla9,"PROV",[1]Tablas!$A$49,"SEFIS",AV$16,"CANT",[1]Tablas!$A21),0)</f>
        <v>0</v>
      </c>
      <c r="AW50" s="15">
        <f ca="1">IFERROR(GETPIVOTDATA("Cuenta de CANT",Tabla9,"PROV",[1]Tablas!$A$49,"SEFIS",AW$16,"CANT",[1]Tablas!$A21),0)</f>
        <v>0</v>
      </c>
      <c r="AX50" s="15">
        <f ca="1">IFERROR(GETPIVOTDATA("Cuenta de CANT",Tabla9,"PROV",[1]Tablas!$A$49,"SEFIS",AX$16,"CANT",[1]Tablas!$A21),0)</f>
        <v>0</v>
      </c>
      <c r="AY50" s="15">
        <f ca="1">IFERROR(GETPIVOTDATA("Cuenta de CANT",Tabla9,"PROV",[1]Tablas!$A$49,"SEFIS",AY$16,"CANT",[1]Tablas!$A21),0)</f>
        <v>0</v>
      </c>
      <c r="AZ50" s="15">
        <f ca="1">IFERROR(GETPIVOTDATA("Cuenta de CANT",Tabla9,"PROV",[1]Tablas!$A$49,"SEFIS",AZ$16,"CANT",[1]Tablas!$A21),0)</f>
        <v>0</v>
      </c>
      <c r="BA50" s="15">
        <f ca="1">IFERROR(GETPIVOTDATA("Cuenta de CANT",Tabla9,"PROV",[1]Tablas!$A$49,"SEFIS",BA$16,"CANT",[1]Tablas!$A21),0)</f>
        <v>0</v>
      </c>
      <c r="BB50" s="15">
        <f ca="1">IFERROR(GETPIVOTDATA("Cuenta de CANT",Tabla9,"PROV",[1]Tablas!$A$49,"SEFIS",BB$16,"CANT",[1]Tablas!$A21),0)</f>
        <v>0</v>
      </c>
      <c r="BC50" s="15">
        <f ca="1">IFERROR(GETPIVOTDATA("Cuenta de CANT",Tabla9,"PROV",[1]Tablas!$A$49,"SEFIS",BC$16,"CANT",[1]Tablas!$A21),0)</f>
        <v>0</v>
      </c>
    </row>
    <row r="51" spans="1:55" x14ac:dyDescent="0.35">
      <c r="A51" s="14"/>
      <c r="B51" s="12"/>
      <c r="C51" s="13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</row>
    <row r="52" spans="1:55" x14ac:dyDescent="0.35">
      <c r="A52" s="1" t="s">
        <v>47</v>
      </c>
      <c r="B52" s="10">
        <f t="shared" ca="1" si="1"/>
        <v>34</v>
      </c>
      <c r="C52" s="11">
        <f ca="1">IFERROR(B52/[1]Tablas!$B23*100000,"N/D")</f>
        <v>6.3694864133234672</v>
      </c>
      <c r="D52" s="10">
        <f ca="1">SUM(D53:D60)</f>
        <v>0</v>
      </c>
      <c r="E52" s="10">
        <f t="shared" ref="E52:BC52" ca="1" si="4">SUM(E53:E60)</f>
        <v>1</v>
      </c>
      <c r="F52" s="10">
        <f t="shared" ca="1" si="4"/>
        <v>1</v>
      </c>
      <c r="G52" s="10">
        <f t="shared" ca="1" si="4"/>
        <v>1</v>
      </c>
      <c r="H52" s="10">
        <f t="shared" ca="1" si="4"/>
        <v>1</v>
      </c>
      <c r="I52" s="10">
        <f t="shared" ca="1" si="4"/>
        <v>0</v>
      </c>
      <c r="J52" s="10">
        <f t="shared" ca="1" si="4"/>
        <v>0</v>
      </c>
      <c r="K52" s="10">
        <f t="shared" ca="1" si="4"/>
        <v>0</v>
      </c>
      <c r="L52" s="10">
        <f t="shared" ca="1" si="4"/>
        <v>0</v>
      </c>
      <c r="M52" s="10">
        <f t="shared" ca="1" si="4"/>
        <v>0</v>
      </c>
      <c r="N52" s="10">
        <f t="shared" ca="1" si="4"/>
        <v>1</v>
      </c>
      <c r="O52" s="10">
        <f t="shared" ca="1" si="4"/>
        <v>0</v>
      </c>
      <c r="P52" s="10">
        <f t="shared" ca="1" si="4"/>
        <v>0</v>
      </c>
      <c r="Q52" s="10">
        <f t="shared" ca="1" si="4"/>
        <v>0</v>
      </c>
      <c r="R52" s="10">
        <f t="shared" ca="1" si="4"/>
        <v>0</v>
      </c>
      <c r="S52" s="10">
        <f t="shared" ca="1" si="4"/>
        <v>2</v>
      </c>
      <c r="T52" s="10">
        <f t="shared" ca="1" si="4"/>
        <v>0</v>
      </c>
      <c r="U52" s="10">
        <f t="shared" ca="1" si="4"/>
        <v>0</v>
      </c>
      <c r="V52" s="10">
        <f t="shared" ca="1" si="4"/>
        <v>0</v>
      </c>
      <c r="W52" s="10">
        <f t="shared" ca="1" si="4"/>
        <v>1</v>
      </c>
      <c r="X52" s="10">
        <f t="shared" ca="1" si="4"/>
        <v>1</v>
      </c>
      <c r="Y52" s="10">
        <f t="shared" ca="1" si="4"/>
        <v>1</v>
      </c>
      <c r="Z52" s="10">
        <f t="shared" ca="1" si="4"/>
        <v>2</v>
      </c>
      <c r="AA52" s="10">
        <f t="shared" ca="1" si="4"/>
        <v>1</v>
      </c>
      <c r="AB52" s="10">
        <f t="shared" ca="1" si="4"/>
        <v>0</v>
      </c>
      <c r="AC52" s="10">
        <f t="shared" ca="1" si="4"/>
        <v>0</v>
      </c>
      <c r="AD52" s="10">
        <f t="shared" ca="1" si="4"/>
        <v>0</v>
      </c>
      <c r="AE52" s="10">
        <f t="shared" ca="1" si="4"/>
        <v>0</v>
      </c>
      <c r="AF52" s="10">
        <f t="shared" ca="1" si="4"/>
        <v>0</v>
      </c>
      <c r="AG52" s="10">
        <f t="shared" ca="1" si="4"/>
        <v>2</v>
      </c>
      <c r="AH52" s="10">
        <f t="shared" ca="1" si="4"/>
        <v>0</v>
      </c>
      <c r="AI52" s="10">
        <f t="shared" ca="1" si="4"/>
        <v>0</v>
      </c>
      <c r="AJ52" s="10">
        <f t="shared" ca="1" si="4"/>
        <v>0</v>
      </c>
      <c r="AK52" s="10">
        <f t="shared" ca="1" si="4"/>
        <v>2</v>
      </c>
      <c r="AL52" s="10">
        <f t="shared" ca="1" si="4"/>
        <v>1</v>
      </c>
      <c r="AM52" s="10">
        <f t="shared" ca="1" si="4"/>
        <v>0</v>
      </c>
      <c r="AN52" s="10">
        <f t="shared" ca="1" si="4"/>
        <v>0</v>
      </c>
      <c r="AO52" s="10">
        <f t="shared" ca="1" si="4"/>
        <v>1</v>
      </c>
      <c r="AP52" s="10">
        <f t="shared" ca="1" si="4"/>
        <v>1</v>
      </c>
      <c r="AQ52" s="10">
        <f t="shared" ca="1" si="4"/>
        <v>1</v>
      </c>
      <c r="AR52" s="10">
        <f t="shared" ca="1" si="4"/>
        <v>0</v>
      </c>
      <c r="AS52" s="10">
        <f t="shared" ca="1" si="4"/>
        <v>3</v>
      </c>
      <c r="AT52" s="10">
        <f t="shared" ca="1" si="4"/>
        <v>3</v>
      </c>
      <c r="AU52" s="10">
        <f t="shared" ca="1" si="4"/>
        <v>0</v>
      </c>
      <c r="AV52" s="10">
        <f t="shared" ca="1" si="4"/>
        <v>0</v>
      </c>
      <c r="AW52" s="10">
        <f t="shared" ca="1" si="4"/>
        <v>0</v>
      </c>
      <c r="AX52" s="10">
        <f t="shared" ca="1" si="4"/>
        <v>1</v>
      </c>
      <c r="AY52" s="10">
        <f t="shared" ca="1" si="4"/>
        <v>1</v>
      </c>
      <c r="AZ52" s="10">
        <f t="shared" ca="1" si="4"/>
        <v>0</v>
      </c>
      <c r="BA52" s="10">
        <f t="shared" ca="1" si="4"/>
        <v>3</v>
      </c>
      <c r="BB52" s="10">
        <f t="shared" ca="1" si="4"/>
        <v>1</v>
      </c>
      <c r="BC52" s="10">
        <f t="shared" ca="1" si="4"/>
        <v>1</v>
      </c>
    </row>
    <row r="53" spans="1:55" x14ac:dyDescent="0.35">
      <c r="A53" s="14" t="s">
        <v>48</v>
      </c>
      <c r="B53" s="15">
        <f t="shared" ca="1" si="1"/>
        <v>3</v>
      </c>
      <c r="C53" s="16">
        <f ca="1">IFERROR(B53/[1]Tablas!$B24*100000,"N/D")</f>
        <v>1.8549778330148954</v>
      </c>
      <c r="D53" s="15">
        <f ca="1">IFERROR(GETPIVOTDATA("Cuenta de CANT",Tabla9,"PROV",[1]Tablas!$A$66,"SEFIS",D$16,"CANT",[1]Tablas!$A24),0)</f>
        <v>0</v>
      </c>
      <c r="E53" s="15">
        <f ca="1">IFERROR(GETPIVOTDATA("Cuenta de CANT",Tabla9,"PROV",[1]Tablas!$A$66,"SEFIS",E$16,"CANT",[1]Tablas!$A24),0)</f>
        <v>0</v>
      </c>
      <c r="F53" s="15">
        <f ca="1">IFERROR(GETPIVOTDATA("Cuenta de CANT",Tabla9,"PROV",[1]Tablas!$A$66,"SEFIS",F$16,"CANT",[1]Tablas!$A24),0)</f>
        <v>0</v>
      </c>
      <c r="G53" s="15">
        <f ca="1">IFERROR(GETPIVOTDATA("Cuenta de CANT",Tabla9,"PROV",[1]Tablas!$A$66,"SEFIS",G$16,"CANT",[1]Tablas!$A24),0)</f>
        <v>0</v>
      </c>
      <c r="H53" s="15">
        <f ca="1">IFERROR(GETPIVOTDATA("Cuenta de CANT",Tabla9,"PROV",[1]Tablas!$A$66,"SEFIS",H$16,"CANT",[1]Tablas!$A24),0)</f>
        <v>0</v>
      </c>
      <c r="I53" s="15">
        <f ca="1">IFERROR(GETPIVOTDATA("Cuenta de CANT",Tabla9,"PROV",[1]Tablas!$A$66,"SEFIS",I$16,"CANT",[1]Tablas!$A24),0)</f>
        <v>0</v>
      </c>
      <c r="J53" s="15">
        <f ca="1">IFERROR(GETPIVOTDATA("Cuenta de CANT",Tabla9,"PROV",[1]Tablas!$A$66,"SEFIS",J$16,"CANT",[1]Tablas!$A24),0)</f>
        <v>0</v>
      </c>
      <c r="K53" s="15">
        <f ca="1">IFERROR(GETPIVOTDATA("Cuenta de CANT",Tabla9,"PROV",[1]Tablas!$A$66,"SEFIS",K$16,"CANT",[1]Tablas!$A24),0)</f>
        <v>0</v>
      </c>
      <c r="L53" s="15">
        <f ca="1">IFERROR(GETPIVOTDATA("Cuenta de CANT",Tabla9,"PROV",[1]Tablas!$A$66,"SEFIS",L$16,"CANT",[1]Tablas!$A24),0)</f>
        <v>0</v>
      </c>
      <c r="M53" s="15">
        <f ca="1">IFERROR(GETPIVOTDATA("Cuenta de CANT",Tabla9,"PROV",[1]Tablas!$A$66,"SEFIS",M$16,"CANT",[1]Tablas!$A24),0)</f>
        <v>0</v>
      </c>
      <c r="N53" s="15">
        <f ca="1">IFERROR(GETPIVOTDATA("Cuenta de CANT",Tabla9,"PROV",[1]Tablas!$A$66,"SEFIS",N$16,"CANT",[1]Tablas!$A24),0)</f>
        <v>0</v>
      </c>
      <c r="O53" s="15">
        <f ca="1">IFERROR(GETPIVOTDATA("Cuenta de CANT",Tabla9,"PROV",[1]Tablas!$A$66,"SEFIS",O$16,"CANT",[1]Tablas!$A24),0)</f>
        <v>0</v>
      </c>
      <c r="P53" s="15">
        <f ca="1">IFERROR(GETPIVOTDATA("Cuenta de CANT",Tabla9,"PROV",[1]Tablas!$A$66,"SEFIS",P$16,"CANT",[1]Tablas!$A24),0)</f>
        <v>0</v>
      </c>
      <c r="Q53" s="15">
        <f ca="1">IFERROR(GETPIVOTDATA("Cuenta de CANT",Tabla9,"PROV",[1]Tablas!$A$66,"SEFIS",Q$16,"CANT",[1]Tablas!$A24),0)</f>
        <v>0</v>
      </c>
      <c r="R53" s="15">
        <f ca="1">IFERROR(GETPIVOTDATA("Cuenta de CANT",Tabla9,"PROV",[1]Tablas!$A$66,"SEFIS",R$16,"CANT",[1]Tablas!$A24),0)</f>
        <v>0</v>
      </c>
      <c r="S53" s="15">
        <f ca="1">IFERROR(GETPIVOTDATA("Cuenta de CANT",Tabla9,"PROV",[1]Tablas!$A$66,"SEFIS",S$16,"CANT",[1]Tablas!$A24),0)</f>
        <v>0</v>
      </c>
      <c r="T53" s="15">
        <f ca="1">IFERROR(GETPIVOTDATA("Cuenta de CANT",Tabla9,"PROV",[1]Tablas!$A$66,"SEFIS",T$16,"CANT",[1]Tablas!$A24),0)</f>
        <v>0</v>
      </c>
      <c r="U53" s="15">
        <f ca="1">IFERROR(GETPIVOTDATA("Cuenta de CANT",Tabla9,"PROV",[1]Tablas!$A$66,"SEFIS",U$16,"CANT",[1]Tablas!$A24),0)</f>
        <v>0</v>
      </c>
      <c r="V53" s="15">
        <f ca="1">IFERROR(GETPIVOTDATA("Cuenta de CANT",Tabla9,"PROV",[1]Tablas!$A$66,"SEFIS",V$16,"CANT",[1]Tablas!$A24),0)</f>
        <v>0</v>
      </c>
      <c r="W53" s="15">
        <f ca="1">IFERROR(GETPIVOTDATA("Cuenta de CANT",Tabla9,"PROV",[1]Tablas!$A$66,"SEFIS",W$16,"CANT",[1]Tablas!$A24),0)</f>
        <v>0</v>
      </c>
      <c r="X53" s="15">
        <f ca="1">IFERROR(GETPIVOTDATA("Cuenta de CANT",Tabla9,"PROV",[1]Tablas!$A$66,"SEFIS",X$16,"CANT",[1]Tablas!$A24),0)</f>
        <v>0</v>
      </c>
      <c r="Y53" s="15">
        <f ca="1">IFERROR(GETPIVOTDATA("Cuenta de CANT",Tabla9,"PROV",[1]Tablas!$A$66,"SEFIS",Y$16,"CANT",[1]Tablas!$A24),0)</f>
        <v>1</v>
      </c>
      <c r="Z53" s="15">
        <f ca="1">IFERROR(GETPIVOTDATA("Cuenta de CANT",Tabla9,"PROV",[1]Tablas!$A$66,"SEFIS",Z$16,"CANT",[1]Tablas!$A24),0)</f>
        <v>0</v>
      </c>
      <c r="AA53" s="15">
        <f ca="1">IFERROR(GETPIVOTDATA("Cuenta de CANT",Tabla9,"PROV",[1]Tablas!$A$66,"SEFIS",AA$16,"CANT",[1]Tablas!$A24),0)</f>
        <v>0</v>
      </c>
      <c r="AB53" s="15">
        <f ca="1">IFERROR(GETPIVOTDATA("Cuenta de CANT",Tabla9,"PROV",[1]Tablas!$A$66,"SEFIS",AB$16,"CANT",[1]Tablas!$A24),0)</f>
        <v>0</v>
      </c>
      <c r="AC53" s="15">
        <f ca="1">IFERROR(GETPIVOTDATA("Cuenta de CANT",Tabla9,"PROV",[1]Tablas!$A$66,"SEFIS",AC$16,"CANT",[1]Tablas!$A24),0)</f>
        <v>0</v>
      </c>
      <c r="AD53" s="15">
        <f ca="1">IFERROR(GETPIVOTDATA("Cuenta de CANT",Tabla9,"PROV",[1]Tablas!$A$66,"SEFIS",AD$16,"CANT",[1]Tablas!$A24),0)</f>
        <v>0</v>
      </c>
      <c r="AE53" s="15">
        <f ca="1">IFERROR(GETPIVOTDATA("Cuenta de CANT",Tabla9,"PROV",[1]Tablas!$A$66,"SEFIS",AE$16,"CANT",[1]Tablas!$A24),0)</f>
        <v>0</v>
      </c>
      <c r="AF53" s="15">
        <f ca="1">IFERROR(GETPIVOTDATA("Cuenta de CANT",Tabla9,"PROV",[1]Tablas!$A$66,"SEFIS",AF$16,"CANT",[1]Tablas!$A24),0)</f>
        <v>0</v>
      </c>
      <c r="AG53" s="15">
        <f ca="1">IFERROR(GETPIVOTDATA("Cuenta de CANT",Tabla9,"PROV",[1]Tablas!$A$66,"SEFIS",AG$16,"CANT",[1]Tablas!$A24),0)</f>
        <v>1</v>
      </c>
      <c r="AH53" s="15">
        <f ca="1">IFERROR(GETPIVOTDATA("Cuenta de CANT",Tabla9,"PROV",[1]Tablas!$A$66,"SEFIS",AH$16,"CANT",[1]Tablas!$A24),0)</f>
        <v>0</v>
      </c>
      <c r="AI53" s="15">
        <f ca="1">IFERROR(GETPIVOTDATA("Cuenta de CANT",Tabla9,"PROV",[1]Tablas!$A$66,"SEFIS",AI$16,"CANT",[1]Tablas!$A24),0)</f>
        <v>0</v>
      </c>
      <c r="AJ53" s="15">
        <f ca="1">IFERROR(GETPIVOTDATA("Cuenta de CANT",Tabla9,"PROV",[1]Tablas!$A$66,"SEFIS",AJ$16,"CANT",[1]Tablas!$A24),0)</f>
        <v>0</v>
      </c>
      <c r="AK53" s="15">
        <f ca="1">IFERROR(GETPIVOTDATA("Cuenta de CANT",Tabla9,"PROV",[1]Tablas!$A$66,"SEFIS",AK$16,"CANT",[1]Tablas!$A24),0)</f>
        <v>0</v>
      </c>
      <c r="AL53" s="15">
        <f ca="1">IFERROR(GETPIVOTDATA("Cuenta de CANT",Tabla9,"PROV",[1]Tablas!$A$66,"SEFIS",AL$16,"CANT",[1]Tablas!$A24),0)</f>
        <v>0</v>
      </c>
      <c r="AM53" s="15">
        <f ca="1">IFERROR(GETPIVOTDATA("Cuenta de CANT",Tabla9,"PROV",[1]Tablas!$A$66,"SEFIS",AM$16,"CANT",[1]Tablas!$A24),0)</f>
        <v>0</v>
      </c>
      <c r="AN53" s="15">
        <f ca="1">IFERROR(GETPIVOTDATA("Cuenta de CANT",Tabla9,"PROV",[1]Tablas!$A$66,"SEFIS",AN$16,"CANT",[1]Tablas!$A24),0)</f>
        <v>0</v>
      </c>
      <c r="AO53" s="15">
        <f ca="1">IFERROR(GETPIVOTDATA("Cuenta de CANT",Tabla9,"PROV",[1]Tablas!$A$66,"SEFIS",AO$16,"CANT",[1]Tablas!$A24),0)</f>
        <v>0</v>
      </c>
      <c r="AP53" s="15">
        <f ca="1">IFERROR(GETPIVOTDATA("Cuenta de CANT",Tabla9,"PROV",[1]Tablas!$A$66,"SEFIS",AP$16,"CANT",[1]Tablas!$A24),0)</f>
        <v>0</v>
      </c>
      <c r="AQ53" s="15">
        <f ca="1">IFERROR(GETPIVOTDATA("Cuenta de CANT",Tabla9,"PROV",[1]Tablas!$A$66,"SEFIS",AQ$16,"CANT",[1]Tablas!$A24),0)</f>
        <v>1</v>
      </c>
      <c r="AR53" s="15">
        <f ca="1">IFERROR(GETPIVOTDATA("Cuenta de CANT",Tabla9,"PROV",[1]Tablas!$A$66,"SEFIS",AR$16,"CANT",[1]Tablas!$A24),0)</f>
        <v>0</v>
      </c>
      <c r="AS53" s="15">
        <f ca="1">IFERROR(GETPIVOTDATA("Cuenta de CANT",Tabla9,"PROV",[1]Tablas!$A$66,"SEFIS",AS$16,"CANT",[1]Tablas!$A24),0)</f>
        <v>0</v>
      </c>
      <c r="AT53" s="15">
        <f ca="1">IFERROR(GETPIVOTDATA("Cuenta de CANT",Tabla9,"PROV",[1]Tablas!$A$66,"SEFIS",AT$16,"CANT",[1]Tablas!$A24),0)</f>
        <v>0</v>
      </c>
      <c r="AU53" s="15">
        <f ca="1">IFERROR(GETPIVOTDATA("Cuenta de CANT",Tabla9,"PROV",[1]Tablas!$A$66,"SEFIS",AU$16,"CANT",[1]Tablas!$A24),0)</f>
        <v>0</v>
      </c>
      <c r="AV53" s="15">
        <f ca="1">IFERROR(GETPIVOTDATA("Cuenta de CANT",Tabla9,"PROV",[1]Tablas!$A$66,"SEFIS",AV$16,"CANT",[1]Tablas!$A24),0)</f>
        <v>0</v>
      </c>
      <c r="AW53" s="15">
        <f ca="1">IFERROR(GETPIVOTDATA("Cuenta de CANT",Tabla9,"PROV",[1]Tablas!$A$66,"SEFIS",AW$16,"CANT",[1]Tablas!$A24),0)</f>
        <v>0</v>
      </c>
      <c r="AX53" s="15">
        <f ca="1">IFERROR(GETPIVOTDATA("Cuenta de CANT",Tabla9,"PROV",[1]Tablas!$A$66,"SEFIS",AX$16,"CANT",[1]Tablas!$A24),0)</f>
        <v>0</v>
      </c>
      <c r="AY53" s="15">
        <f ca="1">IFERROR(GETPIVOTDATA("Cuenta de CANT",Tabla9,"PROV",[1]Tablas!$A$66,"SEFIS",AY$16,"CANT",[1]Tablas!$A24),0)</f>
        <v>0</v>
      </c>
      <c r="AZ53" s="15">
        <f ca="1">IFERROR(GETPIVOTDATA("Cuenta de CANT",Tabla9,"PROV",[1]Tablas!$A$66,"SEFIS",AZ$16,"CANT",[1]Tablas!$A24),0)</f>
        <v>0</v>
      </c>
      <c r="BA53" s="15">
        <f ca="1">IFERROR(GETPIVOTDATA("Cuenta de CANT",Tabla9,"PROV",[1]Tablas!$A$66,"SEFIS",BA$16,"CANT",[1]Tablas!$A24),0)</f>
        <v>0</v>
      </c>
      <c r="BB53" s="15">
        <f ca="1">IFERROR(GETPIVOTDATA("Cuenta de CANT",Tabla9,"PROV",[1]Tablas!$A$66,"SEFIS",BB$16,"CANT",[1]Tablas!$A24),0)</f>
        <v>0</v>
      </c>
      <c r="BC53" s="15">
        <f ca="1">IFERROR(GETPIVOTDATA("Cuenta de CANT",Tabla9,"PROV",[1]Tablas!$A$66,"SEFIS",BC$16,"CANT",[1]Tablas!$A24),0)</f>
        <v>0</v>
      </c>
    </row>
    <row r="54" spans="1:55" x14ac:dyDescent="0.35">
      <c r="A54" s="14" t="s">
        <v>49</v>
      </c>
      <c r="B54" s="15">
        <f t="shared" ca="1" si="1"/>
        <v>2</v>
      </c>
      <c r="C54" s="16">
        <f ca="1">IFERROR(B54/[1]Tablas!$B25*100000,"N/D")</f>
        <v>3.2254422887738476</v>
      </c>
      <c r="D54" s="15">
        <f ca="1">IFERROR(GETPIVOTDATA("Cuenta de CANT",Tabla9,"PROV",[1]Tablas!$A$66,"SEFIS",D$16,"CANT",[1]Tablas!$A25),0)</f>
        <v>0</v>
      </c>
      <c r="E54" s="15">
        <f ca="1">IFERROR(GETPIVOTDATA("Cuenta de CANT",Tabla9,"PROV",[1]Tablas!$A$66,"SEFIS",E$16,"CANT",[1]Tablas!$A25),0)</f>
        <v>0</v>
      </c>
      <c r="F54" s="15">
        <f ca="1">IFERROR(GETPIVOTDATA("Cuenta de CANT",Tabla9,"PROV",[1]Tablas!$A$66,"SEFIS",F$16,"CANT",[1]Tablas!$A25),0)</f>
        <v>0</v>
      </c>
      <c r="G54" s="15">
        <f ca="1">IFERROR(GETPIVOTDATA("Cuenta de CANT",Tabla9,"PROV",[1]Tablas!$A$66,"SEFIS",G$16,"CANT",[1]Tablas!$A25),0)</f>
        <v>0</v>
      </c>
      <c r="H54" s="15">
        <f ca="1">IFERROR(GETPIVOTDATA("Cuenta de CANT",Tabla9,"PROV",[1]Tablas!$A$66,"SEFIS",H$16,"CANT",[1]Tablas!$A25),0)</f>
        <v>0</v>
      </c>
      <c r="I54" s="15">
        <f ca="1">IFERROR(GETPIVOTDATA("Cuenta de CANT",Tabla9,"PROV",[1]Tablas!$A$66,"SEFIS",I$16,"CANT",[1]Tablas!$A25),0)</f>
        <v>0</v>
      </c>
      <c r="J54" s="15">
        <f ca="1">IFERROR(GETPIVOTDATA("Cuenta de CANT",Tabla9,"PROV",[1]Tablas!$A$66,"SEFIS",J$16,"CANT",[1]Tablas!$A25),0)</f>
        <v>0</v>
      </c>
      <c r="K54" s="15">
        <f ca="1">IFERROR(GETPIVOTDATA("Cuenta de CANT",Tabla9,"PROV",[1]Tablas!$A$66,"SEFIS",K$16,"CANT",[1]Tablas!$A25),0)</f>
        <v>0</v>
      </c>
      <c r="L54" s="15">
        <f ca="1">IFERROR(GETPIVOTDATA("Cuenta de CANT",Tabla9,"PROV",[1]Tablas!$A$66,"SEFIS",L$16,"CANT",[1]Tablas!$A25),0)</f>
        <v>0</v>
      </c>
      <c r="M54" s="15">
        <f ca="1">IFERROR(GETPIVOTDATA("Cuenta de CANT",Tabla9,"PROV",[1]Tablas!$A$66,"SEFIS",M$16,"CANT",[1]Tablas!$A25),0)</f>
        <v>0</v>
      </c>
      <c r="N54" s="15">
        <f ca="1">IFERROR(GETPIVOTDATA("Cuenta de CANT",Tabla9,"PROV",[1]Tablas!$A$66,"SEFIS",N$16,"CANT",[1]Tablas!$A25),0)</f>
        <v>0</v>
      </c>
      <c r="O54" s="15">
        <f ca="1">IFERROR(GETPIVOTDATA("Cuenta de CANT",Tabla9,"PROV",[1]Tablas!$A$66,"SEFIS",O$16,"CANT",[1]Tablas!$A25),0)</f>
        <v>0</v>
      </c>
      <c r="P54" s="15">
        <f ca="1">IFERROR(GETPIVOTDATA("Cuenta de CANT",Tabla9,"PROV",[1]Tablas!$A$66,"SEFIS",P$16,"CANT",[1]Tablas!$A25),0)</f>
        <v>0</v>
      </c>
      <c r="Q54" s="15">
        <f ca="1">IFERROR(GETPIVOTDATA("Cuenta de CANT",Tabla9,"PROV",[1]Tablas!$A$66,"SEFIS",Q$16,"CANT",[1]Tablas!$A25),0)</f>
        <v>0</v>
      </c>
      <c r="R54" s="15">
        <f ca="1">IFERROR(GETPIVOTDATA("Cuenta de CANT",Tabla9,"PROV",[1]Tablas!$A$66,"SEFIS",R$16,"CANT",[1]Tablas!$A25),0)</f>
        <v>0</v>
      </c>
      <c r="S54" s="15">
        <f ca="1">IFERROR(GETPIVOTDATA("Cuenta de CANT",Tabla9,"PROV",[1]Tablas!$A$66,"SEFIS",S$16,"CANT",[1]Tablas!$A25),0)</f>
        <v>0</v>
      </c>
      <c r="T54" s="15">
        <f ca="1">IFERROR(GETPIVOTDATA("Cuenta de CANT",Tabla9,"PROV",[1]Tablas!$A$66,"SEFIS",T$16,"CANT",[1]Tablas!$A25),0)</f>
        <v>0</v>
      </c>
      <c r="U54" s="15">
        <f ca="1">IFERROR(GETPIVOTDATA("Cuenta de CANT",Tabla9,"PROV",[1]Tablas!$A$66,"SEFIS",U$16,"CANT",[1]Tablas!$A25),0)</f>
        <v>0</v>
      </c>
      <c r="V54" s="15">
        <f ca="1">IFERROR(GETPIVOTDATA("Cuenta de CANT",Tabla9,"PROV",[1]Tablas!$A$66,"SEFIS",V$16,"CANT",[1]Tablas!$A25),0)</f>
        <v>0</v>
      </c>
      <c r="W54" s="15">
        <f ca="1">IFERROR(GETPIVOTDATA("Cuenta de CANT",Tabla9,"PROV",[1]Tablas!$A$66,"SEFIS",W$16,"CANT",[1]Tablas!$A25),0)</f>
        <v>0</v>
      </c>
      <c r="X54" s="15">
        <f ca="1">IFERROR(GETPIVOTDATA("Cuenta de CANT",Tabla9,"PROV",[1]Tablas!$A$66,"SEFIS",X$16,"CANT",[1]Tablas!$A25),0)</f>
        <v>0</v>
      </c>
      <c r="Y54" s="15">
        <f ca="1">IFERROR(GETPIVOTDATA("Cuenta de CANT",Tabla9,"PROV",[1]Tablas!$A$66,"SEFIS",Y$16,"CANT",[1]Tablas!$A25),0)</f>
        <v>0</v>
      </c>
      <c r="Z54" s="15">
        <f ca="1">IFERROR(GETPIVOTDATA("Cuenta de CANT",Tabla9,"PROV",[1]Tablas!$A$66,"SEFIS",Z$16,"CANT",[1]Tablas!$A25),0)</f>
        <v>0</v>
      </c>
      <c r="AA54" s="15">
        <f ca="1">IFERROR(GETPIVOTDATA("Cuenta de CANT",Tabla9,"PROV",[1]Tablas!$A$66,"SEFIS",AA$16,"CANT",[1]Tablas!$A25),0)</f>
        <v>0</v>
      </c>
      <c r="AB54" s="15">
        <f ca="1">IFERROR(GETPIVOTDATA("Cuenta de CANT",Tabla9,"PROV",[1]Tablas!$A$66,"SEFIS",AB$16,"CANT",[1]Tablas!$A25),0)</f>
        <v>0</v>
      </c>
      <c r="AC54" s="15">
        <f ca="1">IFERROR(GETPIVOTDATA("Cuenta de CANT",Tabla9,"PROV",[1]Tablas!$A$66,"SEFIS",AC$16,"CANT",[1]Tablas!$A25),0)</f>
        <v>0</v>
      </c>
      <c r="AD54" s="15">
        <f ca="1">IFERROR(GETPIVOTDATA("Cuenta de CANT",Tabla9,"PROV",[1]Tablas!$A$66,"SEFIS",AD$16,"CANT",[1]Tablas!$A25),0)</f>
        <v>0</v>
      </c>
      <c r="AE54" s="15">
        <f ca="1">IFERROR(GETPIVOTDATA("Cuenta de CANT",Tabla9,"PROV",[1]Tablas!$A$66,"SEFIS",AE$16,"CANT",[1]Tablas!$A25),0)</f>
        <v>0</v>
      </c>
      <c r="AF54" s="15">
        <f ca="1">IFERROR(GETPIVOTDATA("Cuenta de CANT",Tabla9,"PROV",[1]Tablas!$A$66,"SEFIS",AF$16,"CANT",[1]Tablas!$A25),0)</f>
        <v>0</v>
      </c>
      <c r="AG54" s="15">
        <f ca="1">IFERROR(GETPIVOTDATA("Cuenta de CANT",Tabla9,"PROV",[1]Tablas!$A$66,"SEFIS",AG$16,"CANT",[1]Tablas!$A25),0)</f>
        <v>0</v>
      </c>
      <c r="AH54" s="15">
        <f ca="1">IFERROR(GETPIVOTDATA("Cuenta de CANT",Tabla9,"PROV",[1]Tablas!$A$66,"SEFIS",AH$16,"CANT",[1]Tablas!$A25),0)</f>
        <v>0</v>
      </c>
      <c r="AI54" s="15">
        <f ca="1">IFERROR(GETPIVOTDATA("Cuenta de CANT",Tabla9,"PROV",[1]Tablas!$A$66,"SEFIS",AI$16,"CANT",[1]Tablas!$A25),0)</f>
        <v>0</v>
      </c>
      <c r="AJ54" s="15">
        <f ca="1">IFERROR(GETPIVOTDATA("Cuenta de CANT",Tabla9,"PROV",[1]Tablas!$A$66,"SEFIS",AJ$16,"CANT",[1]Tablas!$A25),0)</f>
        <v>0</v>
      </c>
      <c r="AK54" s="15">
        <f ca="1">IFERROR(GETPIVOTDATA("Cuenta de CANT",Tabla9,"PROV",[1]Tablas!$A$66,"SEFIS",AK$16,"CANT",[1]Tablas!$A25),0)</f>
        <v>0</v>
      </c>
      <c r="AL54" s="15">
        <f ca="1">IFERROR(GETPIVOTDATA("Cuenta de CANT",Tabla9,"PROV",[1]Tablas!$A$66,"SEFIS",AL$16,"CANT",[1]Tablas!$A25),0)</f>
        <v>0</v>
      </c>
      <c r="AM54" s="15">
        <f ca="1">IFERROR(GETPIVOTDATA("Cuenta de CANT",Tabla9,"PROV",[1]Tablas!$A$66,"SEFIS",AM$16,"CANT",[1]Tablas!$A25),0)</f>
        <v>0</v>
      </c>
      <c r="AN54" s="15">
        <f ca="1">IFERROR(GETPIVOTDATA("Cuenta de CANT",Tabla9,"PROV",[1]Tablas!$A$66,"SEFIS",AN$16,"CANT",[1]Tablas!$A25),0)</f>
        <v>0</v>
      </c>
      <c r="AO54" s="15">
        <f ca="1">IFERROR(GETPIVOTDATA("Cuenta de CANT",Tabla9,"PROV",[1]Tablas!$A$66,"SEFIS",AO$16,"CANT",[1]Tablas!$A25),0)</f>
        <v>0</v>
      </c>
      <c r="AP54" s="15">
        <f ca="1">IFERROR(GETPIVOTDATA("Cuenta de CANT",Tabla9,"PROV",[1]Tablas!$A$66,"SEFIS",AP$16,"CANT",[1]Tablas!$A25),0)</f>
        <v>0</v>
      </c>
      <c r="AQ54" s="15">
        <f ca="1">IFERROR(GETPIVOTDATA("Cuenta de CANT",Tabla9,"PROV",[1]Tablas!$A$66,"SEFIS",AQ$16,"CANT",[1]Tablas!$A25),0)</f>
        <v>0</v>
      </c>
      <c r="AR54" s="15">
        <f ca="1">IFERROR(GETPIVOTDATA("Cuenta de CANT",Tabla9,"PROV",[1]Tablas!$A$66,"SEFIS",AR$16,"CANT",[1]Tablas!$A25),0)</f>
        <v>0</v>
      </c>
      <c r="AS54" s="15">
        <f ca="1">IFERROR(GETPIVOTDATA("Cuenta de CANT",Tabla9,"PROV",[1]Tablas!$A$66,"SEFIS",AS$16,"CANT",[1]Tablas!$A25),0)</f>
        <v>1</v>
      </c>
      <c r="AT54" s="15">
        <f ca="1">IFERROR(GETPIVOTDATA("Cuenta de CANT",Tabla9,"PROV",[1]Tablas!$A$66,"SEFIS",AT$16,"CANT",[1]Tablas!$A25),0)</f>
        <v>1</v>
      </c>
      <c r="AU54" s="15">
        <f ca="1">IFERROR(GETPIVOTDATA("Cuenta de CANT",Tabla9,"PROV",[1]Tablas!$A$66,"SEFIS",AU$16,"CANT",[1]Tablas!$A25),0)</f>
        <v>0</v>
      </c>
      <c r="AV54" s="15">
        <f ca="1">IFERROR(GETPIVOTDATA("Cuenta de CANT",Tabla9,"PROV",[1]Tablas!$A$66,"SEFIS",AV$16,"CANT",[1]Tablas!$A25),0)</f>
        <v>0</v>
      </c>
      <c r="AW54" s="15">
        <f ca="1">IFERROR(GETPIVOTDATA("Cuenta de CANT",Tabla9,"PROV",[1]Tablas!$A$66,"SEFIS",AW$16,"CANT",[1]Tablas!$A25),0)</f>
        <v>0</v>
      </c>
      <c r="AX54" s="15">
        <f ca="1">IFERROR(GETPIVOTDATA("Cuenta de CANT",Tabla9,"PROV",[1]Tablas!$A$66,"SEFIS",AX$16,"CANT",[1]Tablas!$A25),0)</f>
        <v>0</v>
      </c>
      <c r="AY54" s="15">
        <f ca="1">IFERROR(GETPIVOTDATA("Cuenta de CANT",Tabla9,"PROV",[1]Tablas!$A$66,"SEFIS",AY$16,"CANT",[1]Tablas!$A25),0)</f>
        <v>0</v>
      </c>
      <c r="AZ54" s="15">
        <f ca="1">IFERROR(GETPIVOTDATA("Cuenta de CANT",Tabla9,"PROV",[1]Tablas!$A$66,"SEFIS",AZ$16,"CANT",[1]Tablas!$A25),0)</f>
        <v>0</v>
      </c>
      <c r="BA54" s="15">
        <f ca="1">IFERROR(GETPIVOTDATA("Cuenta de CANT",Tabla9,"PROV",[1]Tablas!$A$66,"SEFIS",BA$16,"CANT",[1]Tablas!$A25),0)</f>
        <v>0</v>
      </c>
      <c r="BB54" s="15">
        <f ca="1">IFERROR(GETPIVOTDATA("Cuenta de CANT",Tabla9,"PROV",[1]Tablas!$A$66,"SEFIS",BB$16,"CANT",[1]Tablas!$A25),0)</f>
        <v>0</v>
      </c>
      <c r="BC54" s="15">
        <f ca="1">IFERROR(GETPIVOTDATA("Cuenta de CANT",Tabla9,"PROV",[1]Tablas!$A$66,"SEFIS",BC$16,"CANT",[1]Tablas!$A25),0)</f>
        <v>0</v>
      </c>
    </row>
    <row r="55" spans="1:55" x14ac:dyDescent="0.35">
      <c r="A55" s="14" t="s">
        <v>50</v>
      </c>
      <c r="B55" s="15">
        <f t="shared" ca="1" si="1"/>
        <v>5</v>
      </c>
      <c r="C55" s="16">
        <f ca="1">IFERROR(B55/[1]Tablas!$B26*100000,"N/D")</f>
        <v>4.5374521298800303</v>
      </c>
      <c r="D55" s="15">
        <f ca="1">IFERROR(GETPIVOTDATA("Cuenta de CANT",Tabla9,"PROV",[1]Tablas!$A$66,"SEFIS",D$16,"CANT",[1]Tablas!$A26),0)</f>
        <v>0</v>
      </c>
      <c r="E55" s="15">
        <f ca="1">IFERROR(GETPIVOTDATA("Cuenta de CANT",Tabla9,"PROV",[1]Tablas!$A$66,"SEFIS",E$16,"CANT",[1]Tablas!$A26),0)</f>
        <v>0</v>
      </c>
      <c r="F55" s="15">
        <f ca="1">IFERROR(GETPIVOTDATA("Cuenta de CANT",Tabla9,"PROV",[1]Tablas!$A$66,"SEFIS",F$16,"CANT",[1]Tablas!$A26),0)</f>
        <v>0</v>
      </c>
      <c r="G55" s="15">
        <f ca="1">IFERROR(GETPIVOTDATA("Cuenta de CANT",Tabla9,"PROV",[1]Tablas!$A$66,"SEFIS",G$16,"CANT",[1]Tablas!$A26),0)</f>
        <v>0</v>
      </c>
      <c r="H55" s="15">
        <f ca="1">IFERROR(GETPIVOTDATA("Cuenta de CANT",Tabla9,"PROV",[1]Tablas!$A$66,"SEFIS",H$16,"CANT",[1]Tablas!$A26),0)</f>
        <v>0</v>
      </c>
      <c r="I55" s="15">
        <f ca="1">IFERROR(GETPIVOTDATA("Cuenta de CANT",Tabla9,"PROV",[1]Tablas!$A$66,"SEFIS",I$16,"CANT",[1]Tablas!$A26),0)</f>
        <v>0</v>
      </c>
      <c r="J55" s="15">
        <f ca="1">IFERROR(GETPIVOTDATA("Cuenta de CANT",Tabla9,"PROV",[1]Tablas!$A$66,"SEFIS",J$16,"CANT",[1]Tablas!$A26),0)</f>
        <v>0</v>
      </c>
      <c r="K55" s="15">
        <f ca="1">IFERROR(GETPIVOTDATA("Cuenta de CANT",Tabla9,"PROV",[1]Tablas!$A$66,"SEFIS",K$16,"CANT",[1]Tablas!$A26),0)</f>
        <v>0</v>
      </c>
      <c r="L55" s="15">
        <f ca="1">IFERROR(GETPIVOTDATA("Cuenta de CANT",Tabla9,"PROV",[1]Tablas!$A$66,"SEFIS",L$16,"CANT",[1]Tablas!$A26),0)</f>
        <v>0</v>
      </c>
      <c r="M55" s="15">
        <f ca="1">IFERROR(GETPIVOTDATA("Cuenta de CANT",Tabla9,"PROV",[1]Tablas!$A$66,"SEFIS",M$16,"CANT",[1]Tablas!$A26),0)</f>
        <v>0</v>
      </c>
      <c r="N55" s="15">
        <f ca="1">IFERROR(GETPIVOTDATA("Cuenta de CANT",Tabla9,"PROV",[1]Tablas!$A$66,"SEFIS",N$16,"CANT",[1]Tablas!$A26),0)</f>
        <v>0</v>
      </c>
      <c r="O55" s="15">
        <f ca="1">IFERROR(GETPIVOTDATA("Cuenta de CANT",Tabla9,"PROV",[1]Tablas!$A$66,"SEFIS",O$16,"CANT",[1]Tablas!$A26),0)</f>
        <v>0</v>
      </c>
      <c r="P55" s="15">
        <f ca="1">IFERROR(GETPIVOTDATA("Cuenta de CANT",Tabla9,"PROV",[1]Tablas!$A$66,"SEFIS",P$16,"CANT",[1]Tablas!$A26),0)</f>
        <v>0</v>
      </c>
      <c r="Q55" s="15">
        <f ca="1">IFERROR(GETPIVOTDATA("Cuenta de CANT",Tabla9,"PROV",[1]Tablas!$A$66,"SEFIS",Q$16,"CANT",[1]Tablas!$A26),0)</f>
        <v>0</v>
      </c>
      <c r="R55" s="15">
        <f ca="1">IFERROR(GETPIVOTDATA("Cuenta de CANT",Tabla9,"PROV",[1]Tablas!$A$66,"SEFIS",R$16,"CANT",[1]Tablas!$A26),0)</f>
        <v>0</v>
      </c>
      <c r="S55" s="15">
        <f ca="1">IFERROR(GETPIVOTDATA("Cuenta de CANT",Tabla9,"PROV",[1]Tablas!$A$66,"SEFIS",S$16,"CANT",[1]Tablas!$A26),0)</f>
        <v>0</v>
      </c>
      <c r="T55" s="15">
        <f ca="1">IFERROR(GETPIVOTDATA("Cuenta de CANT",Tabla9,"PROV",[1]Tablas!$A$66,"SEFIS",T$16,"CANT",[1]Tablas!$A26),0)</f>
        <v>0</v>
      </c>
      <c r="U55" s="15">
        <f ca="1">IFERROR(GETPIVOTDATA("Cuenta de CANT",Tabla9,"PROV",[1]Tablas!$A$66,"SEFIS",U$16,"CANT",[1]Tablas!$A26),0)</f>
        <v>0</v>
      </c>
      <c r="V55" s="15">
        <f ca="1">IFERROR(GETPIVOTDATA("Cuenta de CANT",Tabla9,"PROV",[1]Tablas!$A$66,"SEFIS",V$16,"CANT",[1]Tablas!$A26),0)</f>
        <v>0</v>
      </c>
      <c r="W55" s="15">
        <f ca="1">IFERROR(GETPIVOTDATA("Cuenta de CANT",Tabla9,"PROV",[1]Tablas!$A$66,"SEFIS",W$16,"CANT",[1]Tablas!$A26),0)</f>
        <v>0</v>
      </c>
      <c r="X55" s="15">
        <f ca="1">IFERROR(GETPIVOTDATA("Cuenta de CANT",Tabla9,"PROV",[1]Tablas!$A$66,"SEFIS",X$16,"CANT",[1]Tablas!$A26),0)</f>
        <v>0</v>
      </c>
      <c r="Y55" s="15">
        <f ca="1">IFERROR(GETPIVOTDATA("Cuenta de CANT",Tabla9,"PROV",[1]Tablas!$A$66,"SEFIS",Y$16,"CANT",[1]Tablas!$A26),0)</f>
        <v>0</v>
      </c>
      <c r="Z55" s="15">
        <f ca="1">IFERROR(GETPIVOTDATA("Cuenta de CANT",Tabla9,"PROV",[1]Tablas!$A$66,"SEFIS",Z$16,"CANT",[1]Tablas!$A26),0)</f>
        <v>0</v>
      </c>
      <c r="AA55" s="15">
        <f ca="1">IFERROR(GETPIVOTDATA("Cuenta de CANT",Tabla9,"PROV",[1]Tablas!$A$66,"SEFIS",AA$16,"CANT",[1]Tablas!$A26),0)</f>
        <v>0</v>
      </c>
      <c r="AB55" s="15">
        <f ca="1">IFERROR(GETPIVOTDATA("Cuenta de CANT",Tabla9,"PROV",[1]Tablas!$A$66,"SEFIS",AB$16,"CANT",[1]Tablas!$A26),0)</f>
        <v>0</v>
      </c>
      <c r="AC55" s="15">
        <f ca="1">IFERROR(GETPIVOTDATA("Cuenta de CANT",Tabla9,"PROV",[1]Tablas!$A$66,"SEFIS",AC$16,"CANT",[1]Tablas!$A26),0)</f>
        <v>0</v>
      </c>
      <c r="AD55" s="15">
        <f ca="1">IFERROR(GETPIVOTDATA("Cuenta de CANT",Tabla9,"PROV",[1]Tablas!$A$66,"SEFIS",AD$16,"CANT",[1]Tablas!$A26),0)</f>
        <v>0</v>
      </c>
      <c r="AE55" s="15">
        <f ca="1">IFERROR(GETPIVOTDATA("Cuenta de CANT",Tabla9,"PROV",[1]Tablas!$A$66,"SEFIS",AE$16,"CANT",[1]Tablas!$A26),0)</f>
        <v>0</v>
      </c>
      <c r="AF55" s="15">
        <f ca="1">IFERROR(GETPIVOTDATA("Cuenta de CANT",Tabla9,"PROV",[1]Tablas!$A$66,"SEFIS",AF$16,"CANT",[1]Tablas!$A26),0)</f>
        <v>0</v>
      </c>
      <c r="AG55" s="15">
        <f ca="1">IFERROR(GETPIVOTDATA("Cuenta de CANT",Tabla9,"PROV",[1]Tablas!$A$66,"SEFIS",AG$16,"CANT",[1]Tablas!$A26),0)</f>
        <v>0</v>
      </c>
      <c r="AH55" s="15">
        <f ca="1">IFERROR(GETPIVOTDATA("Cuenta de CANT",Tabla9,"PROV",[1]Tablas!$A$66,"SEFIS",AH$16,"CANT",[1]Tablas!$A26),0)</f>
        <v>0</v>
      </c>
      <c r="AI55" s="15">
        <f ca="1">IFERROR(GETPIVOTDATA("Cuenta de CANT",Tabla9,"PROV",[1]Tablas!$A$66,"SEFIS",AI$16,"CANT",[1]Tablas!$A26),0)</f>
        <v>0</v>
      </c>
      <c r="AJ55" s="15">
        <f ca="1">IFERROR(GETPIVOTDATA("Cuenta de CANT",Tabla9,"PROV",[1]Tablas!$A$66,"SEFIS",AJ$16,"CANT",[1]Tablas!$A26),0)</f>
        <v>0</v>
      </c>
      <c r="AK55" s="15">
        <f ca="1">IFERROR(GETPIVOTDATA("Cuenta de CANT",Tabla9,"PROV",[1]Tablas!$A$66,"SEFIS",AK$16,"CANT",[1]Tablas!$A26),0)</f>
        <v>1</v>
      </c>
      <c r="AL55" s="15">
        <f ca="1">IFERROR(GETPIVOTDATA("Cuenta de CANT",Tabla9,"PROV",[1]Tablas!$A$66,"SEFIS",AL$16,"CANT",[1]Tablas!$A26),0)</f>
        <v>0</v>
      </c>
      <c r="AM55" s="15">
        <f ca="1">IFERROR(GETPIVOTDATA("Cuenta de CANT",Tabla9,"PROV",[1]Tablas!$A$66,"SEFIS",AM$16,"CANT",[1]Tablas!$A26),0)</f>
        <v>0</v>
      </c>
      <c r="AN55" s="15">
        <f ca="1">IFERROR(GETPIVOTDATA("Cuenta de CANT",Tabla9,"PROV",[1]Tablas!$A$66,"SEFIS",AN$16,"CANT",[1]Tablas!$A26),0)</f>
        <v>0</v>
      </c>
      <c r="AO55" s="15">
        <f ca="1">IFERROR(GETPIVOTDATA("Cuenta de CANT",Tabla9,"PROV",[1]Tablas!$A$66,"SEFIS",AO$16,"CANT",[1]Tablas!$A26),0)</f>
        <v>0</v>
      </c>
      <c r="AP55" s="15">
        <f ca="1">IFERROR(GETPIVOTDATA("Cuenta de CANT",Tabla9,"PROV",[1]Tablas!$A$66,"SEFIS",AP$16,"CANT",[1]Tablas!$A26),0)</f>
        <v>1</v>
      </c>
      <c r="AQ55" s="15">
        <f ca="1">IFERROR(GETPIVOTDATA("Cuenta de CANT",Tabla9,"PROV",[1]Tablas!$A$66,"SEFIS",AQ$16,"CANT",[1]Tablas!$A26),0)</f>
        <v>0</v>
      </c>
      <c r="AR55" s="15">
        <f ca="1">IFERROR(GETPIVOTDATA("Cuenta de CANT",Tabla9,"PROV",[1]Tablas!$A$66,"SEFIS",AR$16,"CANT",[1]Tablas!$A26),0)</f>
        <v>0</v>
      </c>
      <c r="AS55" s="15">
        <f ca="1">IFERROR(GETPIVOTDATA("Cuenta de CANT",Tabla9,"PROV",[1]Tablas!$A$66,"SEFIS",AS$16,"CANT",[1]Tablas!$A26),0)</f>
        <v>1</v>
      </c>
      <c r="AT55" s="15">
        <f ca="1">IFERROR(GETPIVOTDATA("Cuenta de CANT",Tabla9,"PROV",[1]Tablas!$A$66,"SEFIS",AT$16,"CANT",[1]Tablas!$A26),0)</f>
        <v>1</v>
      </c>
      <c r="AU55" s="15">
        <f ca="1">IFERROR(GETPIVOTDATA("Cuenta de CANT",Tabla9,"PROV",[1]Tablas!$A$66,"SEFIS",AU$16,"CANT",[1]Tablas!$A26),0)</f>
        <v>0</v>
      </c>
      <c r="AV55" s="15">
        <f ca="1">IFERROR(GETPIVOTDATA("Cuenta de CANT",Tabla9,"PROV",[1]Tablas!$A$66,"SEFIS",AV$16,"CANT",[1]Tablas!$A26),0)</f>
        <v>0</v>
      </c>
      <c r="AW55" s="15">
        <f ca="1">IFERROR(GETPIVOTDATA("Cuenta de CANT",Tabla9,"PROV",[1]Tablas!$A$66,"SEFIS",AW$16,"CANT",[1]Tablas!$A26),0)</f>
        <v>0</v>
      </c>
      <c r="AX55" s="15">
        <f ca="1">IFERROR(GETPIVOTDATA("Cuenta de CANT",Tabla9,"PROV",[1]Tablas!$A$66,"SEFIS",AX$16,"CANT",[1]Tablas!$A26),0)</f>
        <v>1</v>
      </c>
      <c r="AY55" s="15">
        <f ca="1">IFERROR(GETPIVOTDATA("Cuenta de CANT",Tabla9,"PROV",[1]Tablas!$A$66,"SEFIS",AY$16,"CANT",[1]Tablas!$A26),0)</f>
        <v>0</v>
      </c>
      <c r="AZ55" s="15">
        <f ca="1">IFERROR(GETPIVOTDATA("Cuenta de CANT",Tabla9,"PROV",[1]Tablas!$A$66,"SEFIS",AZ$16,"CANT",[1]Tablas!$A26),0)</f>
        <v>0</v>
      </c>
      <c r="BA55" s="15">
        <f ca="1">IFERROR(GETPIVOTDATA("Cuenta de CANT",Tabla9,"PROV",[1]Tablas!$A$66,"SEFIS",BA$16,"CANT",[1]Tablas!$A26),0)</f>
        <v>0</v>
      </c>
      <c r="BB55" s="15">
        <f ca="1">IFERROR(GETPIVOTDATA("Cuenta de CANT",Tabla9,"PROV",[1]Tablas!$A$66,"SEFIS",BB$16,"CANT",[1]Tablas!$A26),0)</f>
        <v>0</v>
      </c>
      <c r="BC55" s="15">
        <f ca="1">IFERROR(GETPIVOTDATA("Cuenta de CANT",Tabla9,"PROV",[1]Tablas!$A$66,"SEFIS",BC$16,"CANT",[1]Tablas!$A26),0)</f>
        <v>0</v>
      </c>
    </row>
    <row r="56" spans="1:55" x14ac:dyDescent="0.35">
      <c r="A56" s="14" t="s">
        <v>51</v>
      </c>
      <c r="B56" s="15">
        <f t="shared" ca="1" si="1"/>
        <v>11</v>
      </c>
      <c r="C56" s="16">
        <f ca="1">IFERROR(B56/[1]Tablas!$B27*100000,"N/D")</f>
        <v>67.6714856967087</v>
      </c>
      <c r="D56" s="15">
        <f ca="1">IFERROR(GETPIVOTDATA("Cuenta de CANT",Tabla9,"PROV",[1]Tablas!$A$66,"SEFIS",D$16,"CANT",[1]Tablas!$A27),0)</f>
        <v>0</v>
      </c>
      <c r="E56" s="15">
        <f ca="1">IFERROR(GETPIVOTDATA("Cuenta de CANT",Tabla9,"PROV",[1]Tablas!$A$66,"SEFIS",E$16,"CANT",[1]Tablas!$A27),0)</f>
        <v>0</v>
      </c>
      <c r="F56" s="15">
        <f ca="1">IFERROR(GETPIVOTDATA("Cuenta de CANT",Tabla9,"PROV",[1]Tablas!$A$66,"SEFIS",F$16,"CANT",[1]Tablas!$A27),0)</f>
        <v>0</v>
      </c>
      <c r="G56" s="15">
        <f ca="1">IFERROR(GETPIVOTDATA("Cuenta de CANT",Tabla9,"PROV",[1]Tablas!$A$66,"SEFIS",G$16,"CANT",[1]Tablas!$A27),0)</f>
        <v>0</v>
      </c>
      <c r="H56" s="15">
        <f ca="1">IFERROR(GETPIVOTDATA("Cuenta de CANT",Tabla9,"PROV",[1]Tablas!$A$66,"SEFIS",H$16,"CANT",[1]Tablas!$A27),0)</f>
        <v>1</v>
      </c>
      <c r="I56" s="15">
        <f ca="1">IFERROR(GETPIVOTDATA("Cuenta de CANT",Tabla9,"PROV",[1]Tablas!$A$66,"SEFIS",I$16,"CANT",[1]Tablas!$A27),0)</f>
        <v>0</v>
      </c>
      <c r="J56" s="15">
        <f ca="1">IFERROR(GETPIVOTDATA("Cuenta de CANT",Tabla9,"PROV",[1]Tablas!$A$66,"SEFIS",J$16,"CANT",[1]Tablas!$A27),0)</f>
        <v>0</v>
      </c>
      <c r="K56" s="15">
        <f ca="1">IFERROR(GETPIVOTDATA("Cuenta de CANT",Tabla9,"PROV",[1]Tablas!$A$66,"SEFIS",K$16,"CANT",[1]Tablas!$A27),0)</f>
        <v>0</v>
      </c>
      <c r="L56" s="15">
        <f ca="1">IFERROR(GETPIVOTDATA("Cuenta de CANT",Tabla9,"PROV",[1]Tablas!$A$66,"SEFIS",L$16,"CANT",[1]Tablas!$A27),0)</f>
        <v>0</v>
      </c>
      <c r="M56" s="15">
        <f ca="1">IFERROR(GETPIVOTDATA("Cuenta de CANT",Tabla9,"PROV",[1]Tablas!$A$66,"SEFIS",M$16,"CANT",[1]Tablas!$A27),0)</f>
        <v>0</v>
      </c>
      <c r="N56" s="15">
        <f ca="1">IFERROR(GETPIVOTDATA("Cuenta de CANT",Tabla9,"PROV",[1]Tablas!$A$66,"SEFIS",N$16,"CANT",[1]Tablas!$A27),0)</f>
        <v>0</v>
      </c>
      <c r="O56" s="15">
        <f ca="1">IFERROR(GETPIVOTDATA("Cuenta de CANT",Tabla9,"PROV",[1]Tablas!$A$66,"SEFIS",O$16,"CANT",[1]Tablas!$A27),0)</f>
        <v>0</v>
      </c>
      <c r="P56" s="15">
        <f ca="1">IFERROR(GETPIVOTDATA("Cuenta de CANT",Tabla9,"PROV",[1]Tablas!$A$66,"SEFIS",P$16,"CANT",[1]Tablas!$A27),0)</f>
        <v>0</v>
      </c>
      <c r="Q56" s="15">
        <f ca="1">IFERROR(GETPIVOTDATA("Cuenta de CANT",Tabla9,"PROV",[1]Tablas!$A$66,"SEFIS",Q$16,"CANT",[1]Tablas!$A27),0)</f>
        <v>0</v>
      </c>
      <c r="R56" s="15">
        <f ca="1">IFERROR(GETPIVOTDATA("Cuenta de CANT",Tabla9,"PROV",[1]Tablas!$A$66,"SEFIS",R$16,"CANT",[1]Tablas!$A27),0)</f>
        <v>0</v>
      </c>
      <c r="S56" s="15">
        <f ca="1">IFERROR(GETPIVOTDATA("Cuenta de CANT",Tabla9,"PROV",[1]Tablas!$A$66,"SEFIS",S$16,"CANT",[1]Tablas!$A27),0)</f>
        <v>2</v>
      </c>
      <c r="T56" s="15">
        <f ca="1">IFERROR(GETPIVOTDATA("Cuenta de CANT",Tabla9,"PROV",[1]Tablas!$A$66,"SEFIS",T$16,"CANT",[1]Tablas!$A27),0)</f>
        <v>0</v>
      </c>
      <c r="U56" s="15">
        <f ca="1">IFERROR(GETPIVOTDATA("Cuenta de CANT",Tabla9,"PROV",[1]Tablas!$A$66,"SEFIS",U$16,"CANT",[1]Tablas!$A27),0)</f>
        <v>0</v>
      </c>
      <c r="V56" s="15">
        <f ca="1">IFERROR(GETPIVOTDATA("Cuenta de CANT",Tabla9,"PROV",[1]Tablas!$A$66,"SEFIS",V$16,"CANT",[1]Tablas!$A27),0)</f>
        <v>0</v>
      </c>
      <c r="W56" s="15">
        <f ca="1">IFERROR(GETPIVOTDATA("Cuenta de CANT",Tabla9,"PROV",[1]Tablas!$A$66,"SEFIS",W$16,"CANT",[1]Tablas!$A27),0)</f>
        <v>1</v>
      </c>
      <c r="X56" s="15">
        <f ca="1">IFERROR(GETPIVOTDATA("Cuenta de CANT",Tabla9,"PROV",[1]Tablas!$A$66,"SEFIS",X$16,"CANT",[1]Tablas!$A27),0)</f>
        <v>1</v>
      </c>
      <c r="Y56" s="15">
        <f ca="1">IFERROR(GETPIVOTDATA("Cuenta de CANT",Tabla9,"PROV",[1]Tablas!$A$66,"SEFIS",Y$16,"CANT",[1]Tablas!$A27),0)</f>
        <v>0</v>
      </c>
      <c r="Z56" s="15">
        <f ca="1">IFERROR(GETPIVOTDATA("Cuenta de CANT",Tabla9,"PROV",[1]Tablas!$A$66,"SEFIS",Z$16,"CANT",[1]Tablas!$A27),0)</f>
        <v>2</v>
      </c>
      <c r="AA56" s="15">
        <f ca="1">IFERROR(GETPIVOTDATA("Cuenta de CANT",Tabla9,"PROV",[1]Tablas!$A$66,"SEFIS",AA$16,"CANT",[1]Tablas!$A27),0)</f>
        <v>1</v>
      </c>
      <c r="AB56" s="15">
        <f ca="1">IFERROR(GETPIVOTDATA("Cuenta de CANT",Tabla9,"PROV",[1]Tablas!$A$66,"SEFIS",AB$16,"CANT",[1]Tablas!$A27),0)</f>
        <v>0</v>
      </c>
      <c r="AC56" s="15">
        <f ca="1">IFERROR(GETPIVOTDATA("Cuenta de CANT",Tabla9,"PROV",[1]Tablas!$A$66,"SEFIS",AC$16,"CANT",[1]Tablas!$A27),0)</f>
        <v>0</v>
      </c>
      <c r="AD56" s="15">
        <f ca="1">IFERROR(GETPIVOTDATA("Cuenta de CANT",Tabla9,"PROV",[1]Tablas!$A$66,"SEFIS",AD$16,"CANT",[1]Tablas!$A27),0)</f>
        <v>0</v>
      </c>
      <c r="AE56" s="15">
        <f ca="1">IFERROR(GETPIVOTDATA("Cuenta de CANT",Tabla9,"PROV",[1]Tablas!$A$66,"SEFIS",AE$16,"CANT",[1]Tablas!$A27),0)</f>
        <v>0</v>
      </c>
      <c r="AF56" s="15">
        <f ca="1">IFERROR(GETPIVOTDATA("Cuenta de CANT",Tabla9,"PROV",[1]Tablas!$A$66,"SEFIS",AF$16,"CANT",[1]Tablas!$A27),0)</f>
        <v>0</v>
      </c>
      <c r="AG56" s="15">
        <f ca="1">IFERROR(GETPIVOTDATA("Cuenta de CANT",Tabla9,"PROV",[1]Tablas!$A$66,"SEFIS",AG$16,"CANT",[1]Tablas!$A27),0)</f>
        <v>0</v>
      </c>
      <c r="AH56" s="15">
        <f ca="1">IFERROR(GETPIVOTDATA("Cuenta de CANT",Tabla9,"PROV",[1]Tablas!$A$66,"SEFIS",AH$16,"CANT",[1]Tablas!$A27),0)</f>
        <v>0</v>
      </c>
      <c r="AI56" s="15">
        <f ca="1">IFERROR(GETPIVOTDATA("Cuenta de CANT",Tabla9,"PROV",[1]Tablas!$A$66,"SEFIS",AI$16,"CANT",[1]Tablas!$A27),0)</f>
        <v>0</v>
      </c>
      <c r="AJ56" s="15">
        <f ca="1">IFERROR(GETPIVOTDATA("Cuenta de CANT",Tabla9,"PROV",[1]Tablas!$A$66,"SEFIS",AJ$16,"CANT",[1]Tablas!$A27),0)</f>
        <v>0</v>
      </c>
      <c r="AK56" s="15">
        <f ca="1">IFERROR(GETPIVOTDATA("Cuenta de CANT",Tabla9,"PROV",[1]Tablas!$A$66,"SEFIS",AK$16,"CANT",[1]Tablas!$A27),0)</f>
        <v>1</v>
      </c>
      <c r="AL56" s="15">
        <f ca="1">IFERROR(GETPIVOTDATA("Cuenta de CANT",Tabla9,"PROV",[1]Tablas!$A$66,"SEFIS",AL$16,"CANT",[1]Tablas!$A27),0)</f>
        <v>1</v>
      </c>
      <c r="AM56" s="15">
        <f ca="1">IFERROR(GETPIVOTDATA("Cuenta de CANT",Tabla9,"PROV",[1]Tablas!$A$66,"SEFIS",AM$16,"CANT",[1]Tablas!$A27),0)</f>
        <v>0</v>
      </c>
      <c r="AN56" s="15">
        <f ca="1">IFERROR(GETPIVOTDATA("Cuenta de CANT",Tabla9,"PROV",[1]Tablas!$A$66,"SEFIS",AN$16,"CANT",[1]Tablas!$A27),0)</f>
        <v>0</v>
      </c>
      <c r="AO56" s="15">
        <f ca="1">IFERROR(GETPIVOTDATA("Cuenta de CANT",Tabla9,"PROV",[1]Tablas!$A$66,"SEFIS",AO$16,"CANT",[1]Tablas!$A27),0)</f>
        <v>0</v>
      </c>
      <c r="AP56" s="15">
        <f ca="1">IFERROR(GETPIVOTDATA("Cuenta de CANT",Tabla9,"PROV",[1]Tablas!$A$66,"SEFIS",AP$16,"CANT",[1]Tablas!$A27),0)</f>
        <v>0</v>
      </c>
      <c r="AQ56" s="15">
        <f ca="1">IFERROR(GETPIVOTDATA("Cuenta de CANT",Tabla9,"PROV",[1]Tablas!$A$66,"SEFIS",AQ$16,"CANT",[1]Tablas!$A27),0)</f>
        <v>0</v>
      </c>
      <c r="AR56" s="15">
        <f ca="1">IFERROR(GETPIVOTDATA("Cuenta de CANT",Tabla9,"PROV",[1]Tablas!$A$66,"SEFIS",AR$16,"CANT",[1]Tablas!$A27),0)</f>
        <v>0</v>
      </c>
      <c r="AS56" s="15">
        <f ca="1">IFERROR(GETPIVOTDATA("Cuenta de CANT",Tabla9,"PROV",[1]Tablas!$A$66,"SEFIS",AS$16,"CANT",[1]Tablas!$A27),0)</f>
        <v>1</v>
      </c>
      <c r="AT56" s="15">
        <f ca="1">IFERROR(GETPIVOTDATA("Cuenta de CANT",Tabla9,"PROV",[1]Tablas!$A$66,"SEFIS",AT$16,"CANT",[1]Tablas!$A27),0)</f>
        <v>0</v>
      </c>
      <c r="AU56" s="15">
        <f ca="1">IFERROR(GETPIVOTDATA("Cuenta de CANT",Tabla9,"PROV",[1]Tablas!$A$66,"SEFIS",AU$16,"CANT",[1]Tablas!$A27),0)</f>
        <v>0</v>
      </c>
      <c r="AV56" s="15">
        <f ca="1">IFERROR(GETPIVOTDATA("Cuenta de CANT",Tabla9,"PROV",[1]Tablas!$A$66,"SEFIS",AV$16,"CANT",[1]Tablas!$A27),0)</f>
        <v>0</v>
      </c>
      <c r="AW56" s="15">
        <f ca="1">IFERROR(GETPIVOTDATA("Cuenta de CANT",Tabla9,"PROV",[1]Tablas!$A$66,"SEFIS",AW$16,"CANT",[1]Tablas!$A27),0)</f>
        <v>0</v>
      </c>
      <c r="AX56" s="15">
        <f ca="1">IFERROR(GETPIVOTDATA("Cuenta de CANT",Tabla9,"PROV",[1]Tablas!$A$66,"SEFIS",AX$16,"CANT",[1]Tablas!$A27),0)</f>
        <v>0</v>
      </c>
      <c r="AY56" s="15">
        <f ca="1">IFERROR(GETPIVOTDATA("Cuenta de CANT",Tabla9,"PROV",[1]Tablas!$A$66,"SEFIS",AY$16,"CANT",[1]Tablas!$A27),0)</f>
        <v>0</v>
      </c>
      <c r="AZ56" s="15">
        <f ca="1">IFERROR(GETPIVOTDATA("Cuenta de CANT",Tabla9,"PROV",[1]Tablas!$A$66,"SEFIS",AZ$16,"CANT",[1]Tablas!$A27),0)</f>
        <v>0</v>
      </c>
      <c r="BA56" s="15">
        <f ca="1">IFERROR(GETPIVOTDATA("Cuenta de CANT",Tabla9,"PROV",[1]Tablas!$A$66,"SEFIS",BA$16,"CANT",[1]Tablas!$A27),0)</f>
        <v>0</v>
      </c>
      <c r="BB56" s="15">
        <f ca="1">IFERROR(GETPIVOTDATA("Cuenta de CANT",Tabla9,"PROV",[1]Tablas!$A$66,"SEFIS",BB$16,"CANT",[1]Tablas!$A27),0)</f>
        <v>0</v>
      </c>
      <c r="BC56" s="15">
        <f ca="1">IFERROR(GETPIVOTDATA("Cuenta de CANT",Tabla9,"PROV",[1]Tablas!$A$66,"SEFIS",BC$16,"CANT",[1]Tablas!$A27),0)</f>
        <v>0</v>
      </c>
    </row>
    <row r="57" spans="1:55" x14ac:dyDescent="0.35">
      <c r="A57" s="14" t="s">
        <v>52</v>
      </c>
      <c r="B57" s="15">
        <f t="shared" ca="1" si="1"/>
        <v>11</v>
      </c>
      <c r="C57" s="16">
        <f ca="1">IFERROR(B57/[1]Tablas!$B28*100000,"N/D")</f>
        <v>14.942403825255379</v>
      </c>
      <c r="D57" s="15">
        <f ca="1">IFERROR(GETPIVOTDATA("Cuenta de CANT",Tabla9,"PROV",[1]Tablas!$A$66,"SEFIS",D$16,"CANT",[1]Tablas!$A28),0)</f>
        <v>0</v>
      </c>
      <c r="E57" s="15">
        <f ca="1">IFERROR(GETPIVOTDATA("Cuenta de CANT",Tabla9,"PROV",[1]Tablas!$A$66,"SEFIS",E$16,"CANT",[1]Tablas!$A28),0)</f>
        <v>1</v>
      </c>
      <c r="F57" s="15">
        <f ca="1">IFERROR(GETPIVOTDATA("Cuenta de CANT",Tabla9,"PROV",[1]Tablas!$A$66,"SEFIS",F$16,"CANT",[1]Tablas!$A28),0)</f>
        <v>1</v>
      </c>
      <c r="G57" s="15">
        <f ca="1">IFERROR(GETPIVOTDATA("Cuenta de CANT",Tabla9,"PROV",[1]Tablas!$A$66,"SEFIS",G$16,"CANT",[1]Tablas!$A28),0)</f>
        <v>1</v>
      </c>
      <c r="H57" s="15">
        <f ca="1">IFERROR(GETPIVOTDATA("Cuenta de CANT",Tabla9,"PROV",[1]Tablas!$A$66,"SEFIS",H$16,"CANT",[1]Tablas!$A28),0)</f>
        <v>0</v>
      </c>
      <c r="I57" s="15">
        <f ca="1">IFERROR(GETPIVOTDATA("Cuenta de CANT",Tabla9,"PROV",[1]Tablas!$A$66,"SEFIS",I$16,"CANT",[1]Tablas!$A28),0)</f>
        <v>0</v>
      </c>
      <c r="J57" s="15">
        <f ca="1">IFERROR(GETPIVOTDATA("Cuenta de CANT",Tabla9,"PROV",[1]Tablas!$A$66,"SEFIS",J$16,"CANT",[1]Tablas!$A28),0)</f>
        <v>0</v>
      </c>
      <c r="K57" s="15">
        <f ca="1">IFERROR(GETPIVOTDATA("Cuenta de CANT",Tabla9,"PROV",[1]Tablas!$A$66,"SEFIS",K$16,"CANT",[1]Tablas!$A28),0)</f>
        <v>0</v>
      </c>
      <c r="L57" s="15">
        <f ca="1">IFERROR(GETPIVOTDATA("Cuenta de CANT",Tabla9,"PROV",[1]Tablas!$A$66,"SEFIS",L$16,"CANT",[1]Tablas!$A28),0)</f>
        <v>0</v>
      </c>
      <c r="M57" s="15">
        <f ca="1">IFERROR(GETPIVOTDATA("Cuenta de CANT",Tabla9,"PROV",[1]Tablas!$A$66,"SEFIS",M$16,"CANT",[1]Tablas!$A28),0)</f>
        <v>0</v>
      </c>
      <c r="N57" s="15">
        <f ca="1">IFERROR(GETPIVOTDATA("Cuenta de CANT",Tabla9,"PROV",[1]Tablas!$A$66,"SEFIS",N$16,"CANT",[1]Tablas!$A28),0)</f>
        <v>1</v>
      </c>
      <c r="O57" s="15">
        <f ca="1">IFERROR(GETPIVOTDATA("Cuenta de CANT",Tabla9,"PROV",[1]Tablas!$A$66,"SEFIS",O$16,"CANT",[1]Tablas!$A28),0)</f>
        <v>0</v>
      </c>
      <c r="P57" s="15">
        <f ca="1">IFERROR(GETPIVOTDATA("Cuenta de CANT",Tabla9,"PROV",[1]Tablas!$A$66,"SEFIS",P$16,"CANT",[1]Tablas!$A28),0)</f>
        <v>0</v>
      </c>
      <c r="Q57" s="15">
        <f ca="1">IFERROR(GETPIVOTDATA("Cuenta de CANT",Tabla9,"PROV",[1]Tablas!$A$66,"SEFIS",Q$16,"CANT",[1]Tablas!$A28),0)</f>
        <v>0</v>
      </c>
      <c r="R57" s="15">
        <f ca="1">IFERROR(GETPIVOTDATA("Cuenta de CANT",Tabla9,"PROV",[1]Tablas!$A$66,"SEFIS",R$16,"CANT",[1]Tablas!$A28),0)</f>
        <v>0</v>
      </c>
      <c r="S57" s="15">
        <f ca="1">IFERROR(GETPIVOTDATA("Cuenta de CANT",Tabla9,"PROV",[1]Tablas!$A$66,"SEFIS",S$16,"CANT",[1]Tablas!$A28),0)</f>
        <v>0</v>
      </c>
      <c r="T57" s="15">
        <f ca="1">IFERROR(GETPIVOTDATA("Cuenta de CANT",Tabla9,"PROV",[1]Tablas!$A$66,"SEFIS",T$16,"CANT",[1]Tablas!$A28),0)</f>
        <v>0</v>
      </c>
      <c r="U57" s="15">
        <f ca="1">IFERROR(GETPIVOTDATA("Cuenta de CANT",Tabla9,"PROV",[1]Tablas!$A$66,"SEFIS",U$16,"CANT",[1]Tablas!$A28),0)</f>
        <v>0</v>
      </c>
      <c r="V57" s="15">
        <f ca="1">IFERROR(GETPIVOTDATA("Cuenta de CANT",Tabla9,"PROV",[1]Tablas!$A$66,"SEFIS",V$16,"CANT",[1]Tablas!$A28),0)</f>
        <v>0</v>
      </c>
      <c r="W57" s="15">
        <f ca="1">IFERROR(GETPIVOTDATA("Cuenta de CANT",Tabla9,"PROV",[1]Tablas!$A$66,"SEFIS",W$16,"CANT",[1]Tablas!$A28),0)</f>
        <v>0</v>
      </c>
      <c r="X57" s="15">
        <f ca="1">IFERROR(GETPIVOTDATA("Cuenta de CANT",Tabla9,"PROV",[1]Tablas!$A$66,"SEFIS",X$16,"CANT",[1]Tablas!$A28),0)</f>
        <v>0</v>
      </c>
      <c r="Y57" s="15">
        <f ca="1">IFERROR(GETPIVOTDATA("Cuenta de CANT",Tabla9,"PROV",[1]Tablas!$A$66,"SEFIS",Y$16,"CANT",[1]Tablas!$A28),0)</f>
        <v>0</v>
      </c>
      <c r="Z57" s="15">
        <f ca="1">IFERROR(GETPIVOTDATA("Cuenta de CANT",Tabla9,"PROV",[1]Tablas!$A$66,"SEFIS",Z$16,"CANT",[1]Tablas!$A28),0)</f>
        <v>0</v>
      </c>
      <c r="AA57" s="15">
        <f ca="1">IFERROR(GETPIVOTDATA("Cuenta de CANT",Tabla9,"PROV",[1]Tablas!$A$66,"SEFIS",AA$16,"CANT",[1]Tablas!$A28),0)</f>
        <v>0</v>
      </c>
      <c r="AB57" s="15">
        <f ca="1">IFERROR(GETPIVOTDATA("Cuenta de CANT",Tabla9,"PROV",[1]Tablas!$A$66,"SEFIS",AB$16,"CANT",[1]Tablas!$A28),0)</f>
        <v>0</v>
      </c>
      <c r="AC57" s="15">
        <f ca="1">IFERROR(GETPIVOTDATA("Cuenta de CANT",Tabla9,"PROV",[1]Tablas!$A$66,"SEFIS",AC$16,"CANT",[1]Tablas!$A28),0)</f>
        <v>0</v>
      </c>
      <c r="AD57" s="15">
        <f ca="1">IFERROR(GETPIVOTDATA("Cuenta de CANT",Tabla9,"PROV",[1]Tablas!$A$66,"SEFIS",AD$16,"CANT",[1]Tablas!$A28),0)</f>
        <v>0</v>
      </c>
      <c r="AE57" s="15">
        <f ca="1">IFERROR(GETPIVOTDATA("Cuenta de CANT",Tabla9,"PROV",[1]Tablas!$A$66,"SEFIS",AE$16,"CANT",[1]Tablas!$A28),0)</f>
        <v>0</v>
      </c>
      <c r="AF57" s="15">
        <f ca="1">IFERROR(GETPIVOTDATA("Cuenta de CANT",Tabla9,"PROV",[1]Tablas!$A$66,"SEFIS",AF$16,"CANT",[1]Tablas!$A28),0)</f>
        <v>0</v>
      </c>
      <c r="AG57" s="15">
        <f ca="1">IFERROR(GETPIVOTDATA("Cuenta de CANT",Tabla9,"PROV",[1]Tablas!$A$66,"SEFIS",AG$16,"CANT",[1]Tablas!$A28),0)</f>
        <v>1</v>
      </c>
      <c r="AH57" s="15">
        <f ca="1">IFERROR(GETPIVOTDATA("Cuenta de CANT",Tabla9,"PROV",[1]Tablas!$A$66,"SEFIS",AH$16,"CANT",[1]Tablas!$A28),0)</f>
        <v>0</v>
      </c>
      <c r="AI57" s="15">
        <f ca="1">IFERROR(GETPIVOTDATA("Cuenta de CANT",Tabla9,"PROV",[1]Tablas!$A$66,"SEFIS",AI$16,"CANT",[1]Tablas!$A28),0)</f>
        <v>0</v>
      </c>
      <c r="AJ57" s="15">
        <f ca="1">IFERROR(GETPIVOTDATA("Cuenta de CANT",Tabla9,"PROV",[1]Tablas!$A$66,"SEFIS",AJ$16,"CANT",[1]Tablas!$A28),0)</f>
        <v>0</v>
      </c>
      <c r="AK57" s="15">
        <f ca="1">IFERROR(GETPIVOTDATA("Cuenta de CANT",Tabla9,"PROV",[1]Tablas!$A$66,"SEFIS",AK$16,"CANT",[1]Tablas!$A28),0)</f>
        <v>0</v>
      </c>
      <c r="AL57" s="15">
        <f ca="1">IFERROR(GETPIVOTDATA("Cuenta de CANT",Tabla9,"PROV",[1]Tablas!$A$66,"SEFIS",AL$16,"CANT",[1]Tablas!$A28),0)</f>
        <v>0</v>
      </c>
      <c r="AM57" s="15">
        <f ca="1">IFERROR(GETPIVOTDATA("Cuenta de CANT",Tabla9,"PROV",[1]Tablas!$A$66,"SEFIS",AM$16,"CANT",[1]Tablas!$A28),0)</f>
        <v>0</v>
      </c>
      <c r="AN57" s="15">
        <f ca="1">IFERROR(GETPIVOTDATA("Cuenta de CANT",Tabla9,"PROV",[1]Tablas!$A$66,"SEFIS",AN$16,"CANT",[1]Tablas!$A28),0)</f>
        <v>0</v>
      </c>
      <c r="AO57" s="15">
        <f ca="1">IFERROR(GETPIVOTDATA("Cuenta de CANT",Tabla9,"PROV",[1]Tablas!$A$66,"SEFIS",AO$16,"CANT",[1]Tablas!$A28),0)</f>
        <v>1</v>
      </c>
      <c r="AP57" s="15">
        <f ca="1">IFERROR(GETPIVOTDATA("Cuenta de CANT",Tabla9,"PROV",[1]Tablas!$A$66,"SEFIS",AP$16,"CANT",[1]Tablas!$A28),0)</f>
        <v>0</v>
      </c>
      <c r="AQ57" s="15">
        <f ca="1">IFERROR(GETPIVOTDATA("Cuenta de CANT",Tabla9,"PROV",[1]Tablas!$A$66,"SEFIS",AQ$16,"CANT",[1]Tablas!$A28),0)</f>
        <v>0</v>
      </c>
      <c r="AR57" s="15">
        <f ca="1">IFERROR(GETPIVOTDATA("Cuenta de CANT",Tabla9,"PROV",[1]Tablas!$A$66,"SEFIS",AR$16,"CANT",[1]Tablas!$A28),0)</f>
        <v>0</v>
      </c>
      <c r="AS57" s="15">
        <f ca="1">IFERROR(GETPIVOTDATA("Cuenta de CANT",Tabla9,"PROV",[1]Tablas!$A$66,"SEFIS",AS$16,"CANT",[1]Tablas!$A28),0)</f>
        <v>0</v>
      </c>
      <c r="AT57" s="15">
        <f ca="1">IFERROR(GETPIVOTDATA("Cuenta de CANT",Tabla9,"PROV",[1]Tablas!$A$66,"SEFIS",AT$16,"CANT",[1]Tablas!$A28),0)</f>
        <v>1</v>
      </c>
      <c r="AU57" s="15">
        <f ca="1">IFERROR(GETPIVOTDATA("Cuenta de CANT",Tabla9,"PROV",[1]Tablas!$A$66,"SEFIS",AU$16,"CANT",[1]Tablas!$A28),0)</f>
        <v>0</v>
      </c>
      <c r="AV57" s="15">
        <f ca="1">IFERROR(GETPIVOTDATA("Cuenta de CANT",Tabla9,"PROV",[1]Tablas!$A$66,"SEFIS",AV$16,"CANT",[1]Tablas!$A28),0)</f>
        <v>0</v>
      </c>
      <c r="AW57" s="15">
        <f ca="1">IFERROR(GETPIVOTDATA("Cuenta de CANT",Tabla9,"PROV",[1]Tablas!$A$66,"SEFIS",AW$16,"CANT",[1]Tablas!$A28),0)</f>
        <v>0</v>
      </c>
      <c r="AX57" s="15">
        <f ca="1">IFERROR(GETPIVOTDATA("Cuenta de CANT",Tabla9,"PROV",[1]Tablas!$A$66,"SEFIS",AX$16,"CANT",[1]Tablas!$A28),0)</f>
        <v>0</v>
      </c>
      <c r="AY57" s="15">
        <f ca="1">IFERROR(GETPIVOTDATA("Cuenta de CANT",Tabla9,"PROV",[1]Tablas!$A$66,"SEFIS",AY$16,"CANT",[1]Tablas!$A28),0)</f>
        <v>1</v>
      </c>
      <c r="AZ57" s="15">
        <f ca="1">IFERROR(GETPIVOTDATA("Cuenta de CANT",Tabla9,"PROV",[1]Tablas!$A$66,"SEFIS",AZ$16,"CANT",[1]Tablas!$A28),0)</f>
        <v>0</v>
      </c>
      <c r="BA57" s="15">
        <f ca="1">IFERROR(GETPIVOTDATA("Cuenta de CANT",Tabla9,"PROV",[1]Tablas!$A$66,"SEFIS",BA$16,"CANT",[1]Tablas!$A28),0)</f>
        <v>1</v>
      </c>
      <c r="BB57" s="15">
        <f ca="1">IFERROR(GETPIVOTDATA("Cuenta de CANT",Tabla9,"PROV",[1]Tablas!$A$66,"SEFIS",BB$16,"CANT",[1]Tablas!$A28),0)</f>
        <v>1</v>
      </c>
      <c r="BC57" s="15">
        <f ca="1">IFERROR(GETPIVOTDATA("Cuenta de CANT",Tabla9,"PROV",[1]Tablas!$A$66,"SEFIS",BC$16,"CANT",[1]Tablas!$A28),0)</f>
        <v>1</v>
      </c>
    </row>
    <row r="58" spans="1:55" x14ac:dyDescent="0.35">
      <c r="A58" s="14" t="s">
        <v>53</v>
      </c>
      <c r="B58" s="15">
        <f t="shared" ca="1" si="1"/>
        <v>2</v>
      </c>
      <c r="C58" s="16">
        <f ca="1">IFERROR(B58/[1]Tablas!$B29*100000,"N/D")</f>
        <v>13.141467901964649</v>
      </c>
      <c r="D58" s="15">
        <f ca="1">IFERROR(GETPIVOTDATA("Cuenta de CANT",Tabla9,"PROV",[1]Tablas!$A$66,"SEFIS",D$16,"CANT",[1]Tablas!$A29),0)</f>
        <v>0</v>
      </c>
      <c r="E58" s="15">
        <f ca="1">IFERROR(GETPIVOTDATA("Cuenta de CANT",Tabla9,"PROV",[1]Tablas!$A$66,"SEFIS",E$16,"CANT",[1]Tablas!$A29),0)</f>
        <v>0</v>
      </c>
      <c r="F58" s="15">
        <f ca="1">IFERROR(GETPIVOTDATA("Cuenta de CANT",Tabla9,"PROV",[1]Tablas!$A$66,"SEFIS",F$16,"CANT",[1]Tablas!$A29),0)</f>
        <v>0</v>
      </c>
      <c r="G58" s="15">
        <f ca="1">IFERROR(GETPIVOTDATA("Cuenta de CANT",Tabla9,"PROV",[1]Tablas!$A$66,"SEFIS",G$16,"CANT",[1]Tablas!$A29),0)</f>
        <v>0</v>
      </c>
      <c r="H58" s="15">
        <f ca="1">IFERROR(GETPIVOTDATA("Cuenta de CANT",Tabla9,"PROV",[1]Tablas!$A$66,"SEFIS",H$16,"CANT",[1]Tablas!$A29),0)</f>
        <v>0</v>
      </c>
      <c r="I58" s="15">
        <f ca="1">IFERROR(GETPIVOTDATA("Cuenta de CANT",Tabla9,"PROV",[1]Tablas!$A$66,"SEFIS",I$16,"CANT",[1]Tablas!$A29),0)</f>
        <v>0</v>
      </c>
      <c r="J58" s="15">
        <f ca="1">IFERROR(GETPIVOTDATA("Cuenta de CANT",Tabla9,"PROV",[1]Tablas!$A$66,"SEFIS",J$16,"CANT",[1]Tablas!$A29),0)</f>
        <v>0</v>
      </c>
      <c r="K58" s="15">
        <f ca="1">IFERROR(GETPIVOTDATA("Cuenta de CANT",Tabla9,"PROV",[1]Tablas!$A$66,"SEFIS",K$16,"CANT",[1]Tablas!$A29),0)</f>
        <v>0</v>
      </c>
      <c r="L58" s="15">
        <f ca="1">IFERROR(GETPIVOTDATA("Cuenta de CANT",Tabla9,"PROV",[1]Tablas!$A$66,"SEFIS",L$16,"CANT",[1]Tablas!$A29),0)</f>
        <v>0</v>
      </c>
      <c r="M58" s="15">
        <f ca="1">IFERROR(GETPIVOTDATA("Cuenta de CANT",Tabla9,"PROV",[1]Tablas!$A$66,"SEFIS",M$16,"CANT",[1]Tablas!$A29),0)</f>
        <v>0</v>
      </c>
      <c r="N58" s="15">
        <f ca="1">IFERROR(GETPIVOTDATA("Cuenta de CANT",Tabla9,"PROV",[1]Tablas!$A$66,"SEFIS",N$16,"CANT",[1]Tablas!$A29),0)</f>
        <v>0</v>
      </c>
      <c r="O58" s="15">
        <f ca="1">IFERROR(GETPIVOTDATA("Cuenta de CANT",Tabla9,"PROV",[1]Tablas!$A$66,"SEFIS",O$16,"CANT",[1]Tablas!$A29),0)</f>
        <v>0</v>
      </c>
      <c r="P58" s="15">
        <f ca="1">IFERROR(GETPIVOTDATA("Cuenta de CANT",Tabla9,"PROV",[1]Tablas!$A$66,"SEFIS",P$16,"CANT",[1]Tablas!$A29),0)</f>
        <v>0</v>
      </c>
      <c r="Q58" s="15">
        <f ca="1">IFERROR(GETPIVOTDATA("Cuenta de CANT",Tabla9,"PROV",[1]Tablas!$A$66,"SEFIS",Q$16,"CANT",[1]Tablas!$A29),0)</f>
        <v>0</v>
      </c>
      <c r="R58" s="15">
        <f ca="1">IFERROR(GETPIVOTDATA("Cuenta de CANT",Tabla9,"PROV",[1]Tablas!$A$66,"SEFIS",R$16,"CANT",[1]Tablas!$A29),0)</f>
        <v>0</v>
      </c>
      <c r="S58" s="15">
        <f ca="1">IFERROR(GETPIVOTDATA("Cuenta de CANT",Tabla9,"PROV",[1]Tablas!$A$66,"SEFIS",S$16,"CANT",[1]Tablas!$A29),0)</f>
        <v>0</v>
      </c>
      <c r="T58" s="15">
        <f ca="1">IFERROR(GETPIVOTDATA("Cuenta de CANT",Tabla9,"PROV",[1]Tablas!$A$66,"SEFIS",T$16,"CANT",[1]Tablas!$A29),0)</f>
        <v>0</v>
      </c>
      <c r="U58" s="15">
        <f ca="1">IFERROR(GETPIVOTDATA("Cuenta de CANT",Tabla9,"PROV",[1]Tablas!$A$66,"SEFIS",U$16,"CANT",[1]Tablas!$A29),0)</f>
        <v>0</v>
      </c>
      <c r="V58" s="15">
        <f ca="1">IFERROR(GETPIVOTDATA("Cuenta de CANT",Tabla9,"PROV",[1]Tablas!$A$66,"SEFIS",V$16,"CANT",[1]Tablas!$A29),0)</f>
        <v>0</v>
      </c>
      <c r="W58" s="15">
        <f ca="1">IFERROR(GETPIVOTDATA("Cuenta de CANT",Tabla9,"PROV",[1]Tablas!$A$66,"SEFIS",W$16,"CANT",[1]Tablas!$A29),0)</f>
        <v>0</v>
      </c>
      <c r="X58" s="15">
        <f ca="1">IFERROR(GETPIVOTDATA("Cuenta de CANT",Tabla9,"PROV",[1]Tablas!$A$66,"SEFIS",X$16,"CANT",[1]Tablas!$A29),0)</f>
        <v>0</v>
      </c>
      <c r="Y58" s="15">
        <f ca="1">IFERROR(GETPIVOTDATA("Cuenta de CANT",Tabla9,"PROV",[1]Tablas!$A$66,"SEFIS",Y$16,"CANT",[1]Tablas!$A29),0)</f>
        <v>0</v>
      </c>
      <c r="Z58" s="15">
        <f ca="1">IFERROR(GETPIVOTDATA("Cuenta de CANT",Tabla9,"PROV",[1]Tablas!$A$66,"SEFIS",Z$16,"CANT",[1]Tablas!$A29),0)</f>
        <v>0</v>
      </c>
      <c r="AA58" s="15">
        <f ca="1">IFERROR(GETPIVOTDATA("Cuenta de CANT",Tabla9,"PROV",[1]Tablas!$A$66,"SEFIS",AA$16,"CANT",[1]Tablas!$A29),0)</f>
        <v>0</v>
      </c>
      <c r="AB58" s="15">
        <f ca="1">IFERROR(GETPIVOTDATA("Cuenta de CANT",Tabla9,"PROV",[1]Tablas!$A$66,"SEFIS",AB$16,"CANT",[1]Tablas!$A29),0)</f>
        <v>0</v>
      </c>
      <c r="AC58" s="15">
        <f ca="1">IFERROR(GETPIVOTDATA("Cuenta de CANT",Tabla9,"PROV",[1]Tablas!$A$66,"SEFIS",AC$16,"CANT",[1]Tablas!$A29),0)</f>
        <v>0</v>
      </c>
      <c r="AD58" s="15">
        <f ca="1">IFERROR(GETPIVOTDATA("Cuenta de CANT",Tabla9,"PROV",[1]Tablas!$A$66,"SEFIS",AD$16,"CANT",[1]Tablas!$A29),0)</f>
        <v>0</v>
      </c>
      <c r="AE58" s="15">
        <f ca="1">IFERROR(GETPIVOTDATA("Cuenta de CANT",Tabla9,"PROV",[1]Tablas!$A$66,"SEFIS",AE$16,"CANT",[1]Tablas!$A29),0)</f>
        <v>0</v>
      </c>
      <c r="AF58" s="15">
        <f ca="1">IFERROR(GETPIVOTDATA("Cuenta de CANT",Tabla9,"PROV",[1]Tablas!$A$66,"SEFIS",AF$16,"CANT",[1]Tablas!$A29),0)</f>
        <v>0</v>
      </c>
      <c r="AG58" s="15">
        <f ca="1">IFERROR(GETPIVOTDATA("Cuenta de CANT",Tabla9,"PROV",[1]Tablas!$A$66,"SEFIS",AG$16,"CANT",[1]Tablas!$A29),0)</f>
        <v>0</v>
      </c>
      <c r="AH58" s="15">
        <f ca="1">IFERROR(GETPIVOTDATA("Cuenta de CANT",Tabla9,"PROV",[1]Tablas!$A$66,"SEFIS",AH$16,"CANT",[1]Tablas!$A29),0)</f>
        <v>0</v>
      </c>
      <c r="AI58" s="15">
        <f ca="1">IFERROR(GETPIVOTDATA("Cuenta de CANT",Tabla9,"PROV",[1]Tablas!$A$66,"SEFIS",AI$16,"CANT",[1]Tablas!$A29),0)</f>
        <v>0</v>
      </c>
      <c r="AJ58" s="15">
        <f ca="1">IFERROR(GETPIVOTDATA("Cuenta de CANT",Tabla9,"PROV",[1]Tablas!$A$66,"SEFIS",AJ$16,"CANT",[1]Tablas!$A29),0)</f>
        <v>0</v>
      </c>
      <c r="AK58" s="15">
        <f ca="1">IFERROR(GETPIVOTDATA("Cuenta de CANT",Tabla9,"PROV",[1]Tablas!$A$66,"SEFIS",AK$16,"CANT",[1]Tablas!$A29),0)</f>
        <v>0</v>
      </c>
      <c r="AL58" s="15">
        <f ca="1">IFERROR(GETPIVOTDATA("Cuenta de CANT",Tabla9,"PROV",[1]Tablas!$A$66,"SEFIS",AL$16,"CANT",[1]Tablas!$A29),0)</f>
        <v>0</v>
      </c>
      <c r="AM58" s="15">
        <f ca="1">IFERROR(GETPIVOTDATA("Cuenta de CANT",Tabla9,"PROV",[1]Tablas!$A$66,"SEFIS",AM$16,"CANT",[1]Tablas!$A29),0)</f>
        <v>0</v>
      </c>
      <c r="AN58" s="15">
        <f ca="1">IFERROR(GETPIVOTDATA("Cuenta de CANT",Tabla9,"PROV",[1]Tablas!$A$66,"SEFIS",AN$16,"CANT",[1]Tablas!$A29),0)</f>
        <v>0</v>
      </c>
      <c r="AO58" s="15">
        <f ca="1">IFERROR(GETPIVOTDATA("Cuenta de CANT",Tabla9,"PROV",[1]Tablas!$A$66,"SEFIS",AO$16,"CANT",[1]Tablas!$A29),0)</f>
        <v>0</v>
      </c>
      <c r="AP58" s="15">
        <f ca="1">IFERROR(GETPIVOTDATA("Cuenta de CANT",Tabla9,"PROV",[1]Tablas!$A$66,"SEFIS",AP$16,"CANT",[1]Tablas!$A29),0)</f>
        <v>0</v>
      </c>
      <c r="AQ58" s="15">
        <f ca="1">IFERROR(GETPIVOTDATA("Cuenta de CANT",Tabla9,"PROV",[1]Tablas!$A$66,"SEFIS",AQ$16,"CANT",[1]Tablas!$A29),0)</f>
        <v>0</v>
      </c>
      <c r="AR58" s="15">
        <f ca="1">IFERROR(GETPIVOTDATA("Cuenta de CANT",Tabla9,"PROV",[1]Tablas!$A$66,"SEFIS",AR$16,"CANT",[1]Tablas!$A29),0)</f>
        <v>0</v>
      </c>
      <c r="AS58" s="15">
        <f ca="1">IFERROR(GETPIVOTDATA("Cuenta de CANT",Tabla9,"PROV",[1]Tablas!$A$66,"SEFIS",AS$16,"CANT",[1]Tablas!$A29),0)</f>
        <v>0</v>
      </c>
      <c r="AT58" s="15">
        <f ca="1">IFERROR(GETPIVOTDATA("Cuenta de CANT",Tabla9,"PROV",[1]Tablas!$A$66,"SEFIS",AT$16,"CANT",[1]Tablas!$A29),0)</f>
        <v>0</v>
      </c>
      <c r="AU58" s="15">
        <f ca="1">IFERROR(GETPIVOTDATA("Cuenta de CANT",Tabla9,"PROV",[1]Tablas!$A$66,"SEFIS",AU$16,"CANT",[1]Tablas!$A29),0)</f>
        <v>0</v>
      </c>
      <c r="AV58" s="15">
        <f ca="1">IFERROR(GETPIVOTDATA("Cuenta de CANT",Tabla9,"PROV",[1]Tablas!$A$66,"SEFIS",AV$16,"CANT",[1]Tablas!$A29),0)</f>
        <v>0</v>
      </c>
      <c r="AW58" s="15">
        <f ca="1">IFERROR(GETPIVOTDATA("Cuenta de CANT",Tabla9,"PROV",[1]Tablas!$A$66,"SEFIS",AW$16,"CANT",[1]Tablas!$A29),0)</f>
        <v>0</v>
      </c>
      <c r="AX58" s="15">
        <f ca="1">IFERROR(GETPIVOTDATA("Cuenta de CANT",Tabla9,"PROV",[1]Tablas!$A$66,"SEFIS",AX$16,"CANT",[1]Tablas!$A29),0)</f>
        <v>0</v>
      </c>
      <c r="AY58" s="15">
        <f ca="1">IFERROR(GETPIVOTDATA("Cuenta de CANT",Tabla9,"PROV",[1]Tablas!$A$66,"SEFIS",AY$16,"CANT",[1]Tablas!$A29),0)</f>
        <v>0</v>
      </c>
      <c r="AZ58" s="15">
        <f ca="1">IFERROR(GETPIVOTDATA("Cuenta de CANT",Tabla9,"PROV",[1]Tablas!$A$66,"SEFIS",AZ$16,"CANT",[1]Tablas!$A29),0)</f>
        <v>0</v>
      </c>
      <c r="BA58" s="15">
        <f ca="1">IFERROR(GETPIVOTDATA("Cuenta de CANT",Tabla9,"PROV",[1]Tablas!$A$66,"SEFIS",BA$16,"CANT",[1]Tablas!$A29),0)</f>
        <v>2</v>
      </c>
      <c r="BB58" s="15">
        <f ca="1">IFERROR(GETPIVOTDATA("Cuenta de CANT",Tabla9,"PROV",[1]Tablas!$A$66,"SEFIS",BB$16,"CANT",[1]Tablas!$A29),0)</f>
        <v>0</v>
      </c>
      <c r="BC58" s="15">
        <f ca="1">IFERROR(GETPIVOTDATA("Cuenta de CANT",Tabla9,"PROV",[1]Tablas!$A$66,"SEFIS",BC$16,"CANT",[1]Tablas!$A29),0)</f>
        <v>0</v>
      </c>
    </row>
    <row r="59" spans="1:55" x14ac:dyDescent="0.35">
      <c r="A59" s="14" t="s">
        <v>54</v>
      </c>
      <c r="B59" s="15">
        <f t="shared" ca="1" si="1"/>
        <v>0</v>
      </c>
      <c r="C59" s="16">
        <f ca="1">IFERROR(B59/[1]Tablas!$B30*100000,"N/D")</f>
        <v>0</v>
      </c>
      <c r="D59" s="15">
        <f ca="1">IFERROR(GETPIVOTDATA("Cuenta de CANT",Tabla9,"PROV",[1]Tablas!$A$66,"SEFIS",D$16,"CANT",[1]Tablas!$A30),0)</f>
        <v>0</v>
      </c>
      <c r="E59" s="15">
        <f ca="1">IFERROR(GETPIVOTDATA("Cuenta de CANT",Tabla9,"PROV",[1]Tablas!$A$66,"SEFIS",E$16,"CANT",[1]Tablas!$A30),0)</f>
        <v>0</v>
      </c>
      <c r="F59" s="15">
        <f ca="1">IFERROR(GETPIVOTDATA("Cuenta de CANT",Tabla9,"PROV",[1]Tablas!$A$66,"SEFIS",F$16,"CANT",[1]Tablas!$A30),0)</f>
        <v>0</v>
      </c>
      <c r="G59" s="15">
        <f ca="1">IFERROR(GETPIVOTDATA("Cuenta de CANT",Tabla9,"PROV",[1]Tablas!$A$66,"SEFIS",G$16,"CANT",[1]Tablas!$A30),0)</f>
        <v>0</v>
      </c>
      <c r="H59" s="15">
        <f ca="1">IFERROR(GETPIVOTDATA("Cuenta de CANT",Tabla9,"PROV",[1]Tablas!$A$66,"SEFIS",H$16,"CANT",[1]Tablas!$A30),0)</f>
        <v>0</v>
      </c>
      <c r="I59" s="15">
        <f ca="1">IFERROR(GETPIVOTDATA("Cuenta de CANT",Tabla9,"PROV",[1]Tablas!$A$66,"SEFIS",I$16,"CANT",[1]Tablas!$A30),0)</f>
        <v>0</v>
      </c>
      <c r="J59" s="15">
        <f ca="1">IFERROR(GETPIVOTDATA("Cuenta de CANT",Tabla9,"PROV",[1]Tablas!$A$66,"SEFIS",J$16,"CANT",[1]Tablas!$A30),0)</f>
        <v>0</v>
      </c>
      <c r="K59" s="15">
        <f ca="1">IFERROR(GETPIVOTDATA("Cuenta de CANT",Tabla9,"PROV",[1]Tablas!$A$66,"SEFIS",K$16,"CANT",[1]Tablas!$A30),0)</f>
        <v>0</v>
      </c>
      <c r="L59" s="15">
        <f ca="1">IFERROR(GETPIVOTDATA("Cuenta de CANT",Tabla9,"PROV",[1]Tablas!$A$66,"SEFIS",L$16,"CANT",[1]Tablas!$A30),0)</f>
        <v>0</v>
      </c>
      <c r="M59" s="15">
        <f ca="1">IFERROR(GETPIVOTDATA("Cuenta de CANT",Tabla9,"PROV",[1]Tablas!$A$66,"SEFIS",M$16,"CANT",[1]Tablas!$A30),0)</f>
        <v>0</v>
      </c>
      <c r="N59" s="15">
        <f ca="1">IFERROR(GETPIVOTDATA("Cuenta de CANT",Tabla9,"PROV",[1]Tablas!$A$66,"SEFIS",N$16,"CANT",[1]Tablas!$A30),0)</f>
        <v>0</v>
      </c>
      <c r="O59" s="15">
        <f ca="1">IFERROR(GETPIVOTDATA("Cuenta de CANT",Tabla9,"PROV",[1]Tablas!$A$66,"SEFIS",O$16,"CANT",[1]Tablas!$A30),0)</f>
        <v>0</v>
      </c>
      <c r="P59" s="15">
        <f ca="1">IFERROR(GETPIVOTDATA("Cuenta de CANT",Tabla9,"PROV",[1]Tablas!$A$66,"SEFIS",P$16,"CANT",[1]Tablas!$A30),0)</f>
        <v>0</v>
      </c>
      <c r="Q59" s="15">
        <f ca="1">IFERROR(GETPIVOTDATA("Cuenta de CANT",Tabla9,"PROV",[1]Tablas!$A$66,"SEFIS",Q$16,"CANT",[1]Tablas!$A30),0)</f>
        <v>0</v>
      </c>
      <c r="R59" s="15">
        <f ca="1">IFERROR(GETPIVOTDATA("Cuenta de CANT",Tabla9,"PROV",[1]Tablas!$A$66,"SEFIS",R$16,"CANT",[1]Tablas!$A30),0)</f>
        <v>0</v>
      </c>
      <c r="S59" s="15">
        <f ca="1">IFERROR(GETPIVOTDATA("Cuenta de CANT",Tabla9,"PROV",[1]Tablas!$A$66,"SEFIS",S$16,"CANT",[1]Tablas!$A30),0)</f>
        <v>0</v>
      </c>
      <c r="T59" s="15">
        <f ca="1">IFERROR(GETPIVOTDATA("Cuenta de CANT",Tabla9,"PROV",[1]Tablas!$A$66,"SEFIS",T$16,"CANT",[1]Tablas!$A30),0)</f>
        <v>0</v>
      </c>
      <c r="U59" s="15">
        <f ca="1">IFERROR(GETPIVOTDATA("Cuenta de CANT",Tabla9,"PROV",[1]Tablas!$A$66,"SEFIS",U$16,"CANT",[1]Tablas!$A30),0)</f>
        <v>0</v>
      </c>
      <c r="V59" s="15">
        <f ca="1">IFERROR(GETPIVOTDATA("Cuenta de CANT",Tabla9,"PROV",[1]Tablas!$A$66,"SEFIS",V$16,"CANT",[1]Tablas!$A30),0)</f>
        <v>0</v>
      </c>
      <c r="W59" s="15">
        <f ca="1">IFERROR(GETPIVOTDATA("Cuenta de CANT",Tabla9,"PROV",[1]Tablas!$A$66,"SEFIS",W$16,"CANT",[1]Tablas!$A30),0)</f>
        <v>0</v>
      </c>
      <c r="X59" s="15">
        <f ca="1">IFERROR(GETPIVOTDATA("Cuenta de CANT",Tabla9,"PROV",[1]Tablas!$A$66,"SEFIS",X$16,"CANT",[1]Tablas!$A30),0)</f>
        <v>0</v>
      </c>
      <c r="Y59" s="15">
        <f ca="1">IFERROR(GETPIVOTDATA("Cuenta de CANT",Tabla9,"PROV",[1]Tablas!$A$66,"SEFIS",Y$16,"CANT",[1]Tablas!$A30),0)</f>
        <v>0</v>
      </c>
      <c r="Z59" s="15">
        <f ca="1">IFERROR(GETPIVOTDATA("Cuenta de CANT",Tabla9,"PROV",[1]Tablas!$A$66,"SEFIS",Z$16,"CANT",[1]Tablas!$A30),0)</f>
        <v>0</v>
      </c>
      <c r="AA59" s="15">
        <f ca="1">IFERROR(GETPIVOTDATA("Cuenta de CANT",Tabla9,"PROV",[1]Tablas!$A$66,"SEFIS",AA$16,"CANT",[1]Tablas!$A30),0)</f>
        <v>0</v>
      </c>
      <c r="AB59" s="15">
        <f ca="1">IFERROR(GETPIVOTDATA("Cuenta de CANT",Tabla9,"PROV",[1]Tablas!$A$66,"SEFIS",AB$16,"CANT",[1]Tablas!$A30),0)</f>
        <v>0</v>
      </c>
      <c r="AC59" s="15">
        <f ca="1">IFERROR(GETPIVOTDATA("Cuenta de CANT",Tabla9,"PROV",[1]Tablas!$A$66,"SEFIS",AC$16,"CANT",[1]Tablas!$A30),0)</f>
        <v>0</v>
      </c>
      <c r="AD59" s="15">
        <f ca="1">IFERROR(GETPIVOTDATA("Cuenta de CANT",Tabla9,"PROV",[1]Tablas!$A$66,"SEFIS",AD$16,"CANT",[1]Tablas!$A30),0)</f>
        <v>0</v>
      </c>
      <c r="AE59" s="15">
        <f ca="1">IFERROR(GETPIVOTDATA("Cuenta de CANT",Tabla9,"PROV",[1]Tablas!$A$66,"SEFIS",AE$16,"CANT",[1]Tablas!$A30),0)</f>
        <v>0</v>
      </c>
      <c r="AF59" s="15">
        <f ca="1">IFERROR(GETPIVOTDATA("Cuenta de CANT",Tabla9,"PROV",[1]Tablas!$A$66,"SEFIS",AF$16,"CANT",[1]Tablas!$A30),0)</f>
        <v>0</v>
      </c>
      <c r="AG59" s="15">
        <f ca="1">IFERROR(GETPIVOTDATA("Cuenta de CANT",Tabla9,"PROV",[1]Tablas!$A$66,"SEFIS",AG$16,"CANT",[1]Tablas!$A30),0)</f>
        <v>0</v>
      </c>
      <c r="AH59" s="15">
        <f ca="1">IFERROR(GETPIVOTDATA("Cuenta de CANT",Tabla9,"PROV",[1]Tablas!$A$66,"SEFIS",AH$16,"CANT",[1]Tablas!$A30),0)</f>
        <v>0</v>
      </c>
      <c r="AI59" s="15">
        <f ca="1">IFERROR(GETPIVOTDATA("Cuenta de CANT",Tabla9,"PROV",[1]Tablas!$A$66,"SEFIS",AI$16,"CANT",[1]Tablas!$A30),0)</f>
        <v>0</v>
      </c>
      <c r="AJ59" s="15">
        <f ca="1">IFERROR(GETPIVOTDATA("Cuenta de CANT",Tabla9,"PROV",[1]Tablas!$A$66,"SEFIS",AJ$16,"CANT",[1]Tablas!$A30),0)</f>
        <v>0</v>
      </c>
      <c r="AK59" s="15">
        <f ca="1">IFERROR(GETPIVOTDATA("Cuenta de CANT",Tabla9,"PROV",[1]Tablas!$A$66,"SEFIS",AK$16,"CANT",[1]Tablas!$A30),0)</f>
        <v>0</v>
      </c>
      <c r="AL59" s="15">
        <f ca="1">IFERROR(GETPIVOTDATA("Cuenta de CANT",Tabla9,"PROV",[1]Tablas!$A$66,"SEFIS",AL$16,"CANT",[1]Tablas!$A30),0)</f>
        <v>0</v>
      </c>
      <c r="AM59" s="15">
        <f ca="1">IFERROR(GETPIVOTDATA("Cuenta de CANT",Tabla9,"PROV",[1]Tablas!$A$66,"SEFIS",AM$16,"CANT",[1]Tablas!$A30),0)</f>
        <v>0</v>
      </c>
      <c r="AN59" s="15">
        <f ca="1">IFERROR(GETPIVOTDATA("Cuenta de CANT",Tabla9,"PROV",[1]Tablas!$A$66,"SEFIS",AN$16,"CANT",[1]Tablas!$A30),0)</f>
        <v>0</v>
      </c>
      <c r="AO59" s="15">
        <f ca="1">IFERROR(GETPIVOTDATA("Cuenta de CANT",Tabla9,"PROV",[1]Tablas!$A$66,"SEFIS",AO$16,"CANT",[1]Tablas!$A30),0)</f>
        <v>0</v>
      </c>
      <c r="AP59" s="15">
        <f ca="1">IFERROR(GETPIVOTDATA("Cuenta de CANT",Tabla9,"PROV",[1]Tablas!$A$66,"SEFIS",AP$16,"CANT",[1]Tablas!$A30),0)</f>
        <v>0</v>
      </c>
      <c r="AQ59" s="15">
        <f ca="1">IFERROR(GETPIVOTDATA("Cuenta de CANT",Tabla9,"PROV",[1]Tablas!$A$66,"SEFIS",AQ$16,"CANT",[1]Tablas!$A30),0)</f>
        <v>0</v>
      </c>
      <c r="AR59" s="15">
        <f ca="1">IFERROR(GETPIVOTDATA("Cuenta de CANT",Tabla9,"PROV",[1]Tablas!$A$66,"SEFIS",AR$16,"CANT",[1]Tablas!$A30),0)</f>
        <v>0</v>
      </c>
      <c r="AS59" s="15">
        <f ca="1">IFERROR(GETPIVOTDATA("Cuenta de CANT",Tabla9,"PROV",[1]Tablas!$A$66,"SEFIS",AS$16,"CANT",[1]Tablas!$A30),0)</f>
        <v>0</v>
      </c>
      <c r="AT59" s="15">
        <f ca="1">IFERROR(GETPIVOTDATA("Cuenta de CANT",Tabla9,"PROV",[1]Tablas!$A$66,"SEFIS",AT$16,"CANT",[1]Tablas!$A30),0)</f>
        <v>0</v>
      </c>
      <c r="AU59" s="15">
        <f ca="1">IFERROR(GETPIVOTDATA("Cuenta de CANT",Tabla9,"PROV",[1]Tablas!$A$66,"SEFIS",AU$16,"CANT",[1]Tablas!$A30),0)</f>
        <v>0</v>
      </c>
      <c r="AV59" s="15">
        <f ca="1">IFERROR(GETPIVOTDATA("Cuenta de CANT",Tabla9,"PROV",[1]Tablas!$A$66,"SEFIS",AV$16,"CANT",[1]Tablas!$A30),0)</f>
        <v>0</v>
      </c>
      <c r="AW59" s="15">
        <f ca="1">IFERROR(GETPIVOTDATA("Cuenta de CANT",Tabla9,"PROV",[1]Tablas!$A$66,"SEFIS",AW$16,"CANT",[1]Tablas!$A30),0)</f>
        <v>0</v>
      </c>
      <c r="AX59" s="15">
        <f ca="1">IFERROR(GETPIVOTDATA("Cuenta de CANT",Tabla9,"PROV",[1]Tablas!$A$66,"SEFIS",AX$16,"CANT",[1]Tablas!$A30),0)</f>
        <v>0</v>
      </c>
      <c r="AY59" s="15">
        <f ca="1">IFERROR(GETPIVOTDATA("Cuenta de CANT",Tabla9,"PROV",[1]Tablas!$A$66,"SEFIS",AY$16,"CANT",[1]Tablas!$A30),0)</f>
        <v>0</v>
      </c>
      <c r="AZ59" s="15">
        <f ca="1">IFERROR(GETPIVOTDATA("Cuenta de CANT",Tabla9,"PROV",[1]Tablas!$A$66,"SEFIS",AZ$16,"CANT",[1]Tablas!$A30),0)</f>
        <v>0</v>
      </c>
      <c r="BA59" s="15">
        <f ca="1">IFERROR(GETPIVOTDATA("Cuenta de CANT",Tabla9,"PROV",[1]Tablas!$A$66,"SEFIS",BA$16,"CANT",[1]Tablas!$A30),0)</f>
        <v>0</v>
      </c>
      <c r="BB59" s="15">
        <f ca="1">IFERROR(GETPIVOTDATA("Cuenta de CANT",Tabla9,"PROV",[1]Tablas!$A$66,"SEFIS",BB$16,"CANT",[1]Tablas!$A30),0)</f>
        <v>0</v>
      </c>
      <c r="BC59" s="15">
        <f ca="1">IFERROR(GETPIVOTDATA("Cuenta de CANT",Tabla9,"PROV",[1]Tablas!$A$66,"SEFIS",BC$16,"CANT",[1]Tablas!$A30),0)</f>
        <v>0</v>
      </c>
    </row>
    <row r="60" spans="1:55" x14ac:dyDescent="0.35">
      <c r="A60" s="14" t="s">
        <v>55</v>
      </c>
      <c r="B60" s="15">
        <f t="shared" ca="1" si="1"/>
        <v>0</v>
      </c>
      <c r="C60" s="16">
        <f ca="1">IFERROR(B60/[1]Tablas!$B31*100000,"N/D")</f>
        <v>0</v>
      </c>
      <c r="D60" s="15">
        <f ca="1">IFERROR(GETPIVOTDATA("Cuenta de CANT",Tabla9,"PROV",[1]Tablas!$A$66,"SEFIS",D$16,"CANT",[1]Tablas!$A31),0)</f>
        <v>0</v>
      </c>
      <c r="E60" s="15">
        <f ca="1">IFERROR(GETPIVOTDATA("Cuenta de CANT",Tabla9,"PROV",[1]Tablas!$A$66,"SEFIS",E$16,"CANT",[1]Tablas!$A31),0)</f>
        <v>0</v>
      </c>
      <c r="F60" s="15">
        <f ca="1">IFERROR(GETPIVOTDATA("Cuenta de CANT",Tabla9,"PROV",[1]Tablas!$A$66,"SEFIS",F$16,"CANT",[1]Tablas!$A31),0)</f>
        <v>0</v>
      </c>
      <c r="G60" s="15">
        <f ca="1">IFERROR(GETPIVOTDATA("Cuenta de CANT",Tabla9,"PROV",[1]Tablas!$A$66,"SEFIS",G$16,"CANT",[1]Tablas!$A31),0)</f>
        <v>0</v>
      </c>
      <c r="H60" s="15">
        <f ca="1">IFERROR(GETPIVOTDATA("Cuenta de CANT",Tabla9,"PROV",[1]Tablas!$A$66,"SEFIS",H$16,"CANT",[1]Tablas!$A31),0)</f>
        <v>0</v>
      </c>
      <c r="I60" s="15">
        <f ca="1">IFERROR(GETPIVOTDATA("Cuenta de CANT",Tabla9,"PROV",[1]Tablas!$A$66,"SEFIS",I$16,"CANT",[1]Tablas!$A31),0)</f>
        <v>0</v>
      </c>
      <c r="J60" s="15">
        <f ca="1">IFERROR(GETPIVOTDATA("Cuenta de CANT",Tabla9,"PROV",[1]Tablas!$A$66,"SEFIS",J$16,"CANT",[1]Tablas!$A31),0)</f>
        <v>0</v>
      </c>
      <c r="K60" s="15">
        <f ca="1">IFERROR(GETPIVOTDATA("Cuenta de CANT",Tabla9,"PROV",[1]Tablas!$A$66,"SEFIS",K$16,"CANT",[1]Tablas!$A31),0)</f>
        <v>0</v>
      </c>
      <c r="L60" s="15">
        <f ca="1">IFERROR(GETPIVOTDATA("Cuenta de CANT",Tabla9,"PROV",[1]Tablas!$A$66,"SEFIS",L$16,"CANT",[1]Tablas!$A31),0)</f>
        <v>0</v>
      </c>
      <c r="M60" s="15">
        <f ca="1">IFERROR(GETPIVOTDATA("Cuenta de CANT",Tabla9,"PROV",[1]Tablas!$A$66,"SEFIS",M$16,"CANT",[1]Tablas!$A31),0)</f>
        <v>0</v>
      </c>
      <c r="N60" s="15">
        <f ca="1">IFERROR(GETPIVOTDATA("Cuenta de CANT",Tabla9,"PROV",[1]Tablas!$A$66,"SEFIS",N$16,"CANT",[1]Tablas!$A31),0)</f>
        <v>0</v>
      </c>
      <c r="O60" s="15">
        <f ca="1">IFERROR(GETPIVOTDATA("Cuenta de CANT",Tabla9,"PROV",[1]Tablas!$A$66,"SEFIS",O$16,"CANT",[1]Tablas!$A31),0)</f>
        <v>0</v>
      </c>
      <c r="P60" s="15">
        <f ca="1">IFERROR(GETPIVOTDATA("Cuenta de CANT",Tabla9,"PROV",[1]Tablas!$A$66,"SEFIS",P$16,"CANT",[1]Tablas!$A31),0)</f>
        <v>0</v>
      </c>
      <c r="Q60" s="15">
        <f ca="1">IFERROR(GETPIVOTDATA("Cuenta de CANT",Tabla9,"PROV",[1]Tablas!$A$66,"SEFIS",Q$16,"CANT",[1]Tablas!$A31),0)</f>
        <v>0</v>
      </c>
      <c r="R60" s="15">
        <f ca="1">IFERROR(GETPIVOTDATA("Cuenta de CANT",Tabla9,"PROV",[1]Tablas!$A$66,"SEFIS",R$16,"CANT",[1]Tablas!$A31),0)</f>
        <v>0</v>
      </c>
      <c r="S60" s="15">
        <f ca="1">IFERROR(GETPIVOTDATA("Cuenta de CANT",Tabla9,"PROV",[1]Tablas!$A$66,"SEFIS",S$16,"CANT",[1]Tablas!$A31),0)</f>
        <v>0</v>
      </c>
      <c r="T60" s="15">
        <f ca="1">IFERROR(GETPIVOTDATA("Cuenta de CANT",Tabla9,"PROV",[1]Tablas!$A$66,"SEFIS",T$16,"CANT",[1]Tablas!$A31),0)</f>
        <v>0</v>
      </c>
      <c r="U60" s="15">
        <f ca="1">IFERROR(GETPIVOTDATA("Cuenta de CANT",Tabla9,"PROV",[1]Tablas!$A$66,"SEFIS",U$16,"CANT",[1]Tablas!$A31),0)</f>
        <v>0</v>
      </c>
      <c r="V60" s="15">
        <f ca="1">IFERROR(GETPIVOTDATA("Cuenta de CANT",Tabla9,"PROV",[1]Tablas!$A$66,"SEFIS",V$16,"CANT",[1]Tablas!$A31),0)</f>
        <v>0</v>
      </c>
      <c r="W60" s="15">
        <f ca="1">IFERROR(GETPIVOTDATA("Cuenta de CANT",Tabla9,"PROV",[1]Tablas!$A$66,"SEFIS",W$16,"CANT",[1]Tablas!$A31),0)</f>
        <v>0</v>
      </c>
      <c r="X60" s="15">
        <f ca="1">IFERROR(GETPIVOTDATA("Cuenta de CANT",Tabla9,"PROV",[1]Tablas!$A$66,"SEFIS",X$16,"CANT",[1]Tablas!$A31),0)</f>
        <v>0</v>
      </c>
      <c r="Y60" s="15">
        <f ca="1">IFERROR(GETPIVOTDATA("Cuenta de CANT",Tabla9,"PROV",[1]Tablas!$A$66,"SEFIS",Y$16,"CANT",[1]Tablas!$A31),0)</f>
        <v>0</v>
      </c>
      <c r="Z60" s="15">
        <f ca="1">IFERROR(GETPIVOTDATA("Cuenta de CANT",Tabla9,"PROV",[1]Tablas!$A$66,"SEFIS",Z$16,"CANT",[1]Tablas!$A31),0)</f>
        <v>0</v>
      </c>
      <c r="AA60" s="15">
        <f ca="1">IFERROR(GETPIVOTDATA("Cuenta de CANT",Tabla9,"PROV",[1]Tablas!$A$66,"SEFIS",AA$16,"CANT",[1]Tablas!$A31),0)</f>
        <v>0</v>
      </c>
      <c r="AB60" s="15">
        <f ca="1">IFERROR(GETPIVOTDATA("Cuenta de CANT",Tabla9,"PROV",[1]Tablas!$A$66,"SEFIS",AB$16,"CANT",[1]Tablas!$A31),0)</f>
        <v>0</v>
      </c>
      <c r="AC60" s="15">
        <f ca="1">IFERROR(GETPIVOTDATA("Cuenta de CANT",Tabla9,"PROV",[1]Tablas!$A$66,"SEFIS",AC$16,"CANT",[1]Tablas!$A31),0)</f>
        <v>0</v>
      </c>
      <c r="AD60" s="15">
        <f ca="1">IFERROR(GETPIVOTDATA("Cuenta de CANT",Tabla9,"PROV",[1]Tablas!$A$66,"SEFIS",AD$16,"CANT",[1]Tablas!$A31),0)</f>
        <v>0</v>
      </c>
      <c r="AE60" s="15">
        <f ca="1">IFERROR(GETPIVOTDATA("Cuenta de CANT",Tabla9,"PROV",[1]Tablas!$A$66,"SEFIS",AE$16,"CANT",[1]Tablas!$A31),0)</f>
        <v>0</v>
      </c>
      <c r="AF60" s="15">
        <f ca="1">IFERROR(GETPIVOTDATA("Cuenta de CANT",Tabla9,"PROV",[1]Tablas!$A$66,"SEFIS",AF$16,"CANT",[1]Tablas!$A31),0)</f>
        <v>0</v>
      </c>
      <c r="AG60" s="15">
        <f ca="1">IFERROR(GETPIVOTDATA("Cuenta de CANT",Tabla9,"PROV",[1]Tablas!$A$66,"SEFIS",AG$16,"CANT",[1]Tablas!$A31),0)</f>
        <v>0</v>
      </c>
      <c r="AH60" s="15">
        <f ca="1">IFERROR(GETPIVOTDATA("Cuenta de CANT",Tabla9,"PROV",[1]Tablas!$A$66,"SEFIS",AH$16,"CANT",[1]Tablas!$A31),0)</f>
        <v>0</v>
      </c>
      <c r="AI60" s="15">
        <f ca="1">IFERROR(GETPIVOTDATA("Cuenta de CANT",Tabla9,"PROV",[1]Tablas!$A$66,"SEFIS",AI$16,"CANT",[1]Tablas!$A31),0)</f>
        <v>0</v>
      </c>
      <c r="AJ60" s="15">
        <f ca="1">IFERROR(GETPIVOTDATA("Cuenta de CANT",Tabla9,"PROV",[1]Tablas!$A$66,"SEFIS",AJ$16,"CANT",[1]Tablas!$A31),0)</f>
        <v>0</v>
      </c>
      <c r="AK60" s="15">
        <f ca="1">IFERROR(GETPIVOTDATA("Cuenta de CANT",Tabla9,"PROV",[1]Tablas!$A$66,"SEFIS",AK$16,"CANT",[1]Tablas!$A31),0)</f>
        <v>0</v>
      </c>
      <c r="AL60" s="15">
        <f ca="1">IFERROR(GETPIVOTDATA("Cuenta de CANT",Tabla9,"PROV",[1]Tablas!$A$66,"SEFIS",AL$16,"CANT",[1]Tablas!$A31),0)</f>
        <v>0</v>
      </c>
      <c r="AM60" s="15">
        <f ca="1">IFERROR(GETPIVOTDATA("Cuenta de CANT",Tabla9,"PROV",[1]Tablas!$A$66,"SEFIS",AM$16,"CANT",[1]Tablas!$A31),0)</f>
        <v>0</v>
      </c>
      <c r="AN60" s="15">
        <f ca="1">IFERROR(GETPIVOTDATA("Cuenta de CANT",Tabla9,"PROV",[1]Tablas!$A$66,"SEFIS",AN$16,"CANT",[1]Tablas!$A31),0)</f>
        <v>0</v>
      </c>
      <c r="AO60" s="15">
        <f ca="1">IFERROR(GETPIVOTDATA("Cuenta de CANT",Tabla9,"PROV",[1]Tablas!$A$66,"SEFIS",AO$16,"CANT",[1]Tablas!$A31),0)</f>
        <v>0</v>
      </c>
      <c r="AP60" s="15">
        <f ca="1">IFERROR(GETPIVOTDATA("Cuenta de CANT",Tabla9,"PROV",[1]Tablas!$A$66,"SEFIS",AP$16,"CANT",[1]Tablas!$A31),0)</f>
        <v>0</v>
      </c>
      <c r="AQ60" s="15">
        <f ca="1">IFERROR(GETPIVOTDATA("Cuenta de CANT",Tabla9,"PROV",[1]Tablas!$A$66,"SEFIS",AQ$16,"CANT",[1]Tablas!$A31),0)</f>
        <v>0</v>
      </c>
      <c r="AR60" s="15">
        <f ca="1">IFERROR(GETPIVOTDATA("Cuenta de CANT",Tabla9,"PROV",[1]Tablas!$A$66,"SEFIS",AR$16,"CANT",[1]Tablas!$A31),0)</f>
        <v>0</v>
      </c>
      <c r="AS60" s="15">
        <f ca="1">IFERROR(GETPIVOTDATA("Cuenta de CANT",Tabla9,"PROV",[1]Tablas!$A$66,"SEFIS",AS$16,"CANT",[1]Tablas!$A31),0)</f>
        <v>0</v>
      </c>
      <c r="AT60" s="15">
        <f ca="1">IFERROR(GETPIVOTDATA("Cuenta de CANT",Tabla9,"PROV",[1]Tablas!$A$66,"SEFIS",AT$16,"CANT",[1]Tablas!$A31),0)</f>
        <v>0</v>
      </c>
      <c r="AU60" s="15">
        <f ca="1">IFERROR(GETPIVOTDATA("Cuenta de CANT",Tabla9,"PROV",[1]Tablas!$A$66,"SEFIS",AU$16,"CANT",[1]Tablas!$A31),0)</f>
        <v>0</v>
      </c>
      <c r="AV60" s="15">
        <f ca="1">IFERROR(GETPIVOTDATA("Cuenta de CANT",Tabla9,"PROV",[1]Tablas!$A$66,"SEFIS",AV$16,"CANT",[1]Tablas!$A31),0)</f>
        <v>0</v>
      </c>
      <c r="AW60" s="15">
        <f ca="1">IFERROR(GETPIVOTDATA("Cuenta de CANT",Tabla9,"PROV",[1]Tablas!$A$66,"SEFIS",AW$16,"CANT",[1]Tablas!$A31),0)</f>
        <v>0</v>
      </c>
      <c r="AX60" s="15">
        <f ca="1">IFERROR(GETPIVOTDATA("Cuenta de CANT",Tabla9,"PROV",[1]Tablas!$A$66,"SEFIS",AX$16,"CANT",[1]Tablas!$A31),0)</f>
        <v>0</v>
      </c>
      <c r="AY60" s="15">
        <f ca="1">IFERROR(GETPIVOTDATA("Cuenta de CANT",Tabla9,"PROV",[1]Tablas!$A$66,"SEFIS",AY$16,"CANT",[1]Tablas!$A31),0)</f>
        <v>0</v>
      </c>
      <c r="AZ60" s="15">
        <f ca="1">IFERROR(GETPIVOTDATA("Cuenta de CANT",Tabla9,"PROV",[1]Tablas!$A$66,"SEFIS",AZ$16,"CANT",[1]Tablas!$A31),0)</f>
        <v>0</v>
      </c>
      <c r="BA60" s="15">
        <f ca="1">IFERROR(GETPIVOTDATA("Cuenta de CANT",Tabla9,"PROV",[1]Tablas!$A$66,"SEFIS",BA$16,"CANT",[1]Tablas!$A31),0)</f>
        <v>0</v>
      </c>
      <c r="BB60" s="15">
        <f ca="1">IFERROR(GETPIVOTDATA("Cuenta de CANT",Tabla9,"PROV",[1]Tablas!$A$66,"SEFIS",BB$16,"CANT",[1]Tablas!$A31),0)</f>
        <v>0</v>
      </c>
      <c r="BC60" s="15">
        <f ca="1">IFERROR(GETPIVOTDATA("Cuenta de CANT",Tabla9,"PROV",[1]Tablas!$A$66,"SEFIS",BC$16,"CANT",[1]Tablas!$A31),0)</f>
        <v>0</v>
      </c>
    </row>
    <row r="61" spans="1:55" x14ac:dyDescent="0.35">
      <c r="A61" s="14"/>
      <c r="B61" s="12"/>
      <c r="C61" s="13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</row>
    <row r="62" spans="1:55" x14ac:dyDescent="0.35">
      <c r="A62" s="1" t="s">
        <v>56</v>
      </c>
      <c r="B62" s="10">
        <f t="shared" ca="1" si="1"/>
        <v>718</v>
      </c>
      <c r="C62" s="11">
        <f ca="1">IFERROR(B62/[1]Tablas!$B33*100000,"N/D")</f>
        <v>140.18728083534438</v>
      </c>
      <c r="D62" s="10">
        <f ca="1">SUM(D63:D72)</f>
        <v>6</v>
      </c>
      <c r="E62" s="10">
        <f t="shared" ref="E62:BC62" ca="1" si="5">SUM(E63:E72)</f>
        <v>9</v>
      </c>
      <c r="F62" s="10">
        <f t="shared" ca="1" si="5"/>
        <v>8</v>
      </c>
      <c r="G62" s="10">
        <f t="shared" ca="1" si="5"/>
        <v>8</v>
      </c>
      <c r="H62" s="10">
        <f t="shared" ca="1" si="5"/>
        <v>12</v>
      </c>
      <c r="I62" s="10">
        <f t="shared" ca="1" si="5"/>
        <v>7</v>
      </c>
      <c r="J62" s="10">
        <f t="shared" ca="1" si="5"/>
        <v>6</v>
      </c>
      <c r="K62" s="10">
        <f t="shared" ca="1" si="5"/>
        <v>7</v>
      </c>
      <c r="L62" s="10">
        <f t="shared" ca="1" si="5"/>
        <v>8</v>
      </c>
      <c r="M62" s="10">
        <f t="shared" ca="1" si="5"/>
        <v>1</v>
      </c>
      <c r="N62" s="10">
        <f t="shared" ca="1" si="5"/>
        <v>5</v>
      </c>
      <c r="O62" s="10">
        <f t="shared" ca="1" si="5"/>
        <v>7</v>
      </c>
      <c r="P62" s="10">
        <f t="shared" ca="1" si="5"/>
        <v>4</v>
      </c>
      <c r="Q62" s="10">
        <f t="shared" ca="1" si="5"/>
        <v>13</v>
      </c>
      <c r="R62" s="10">
        <f t="shared" ca="1" si="5"/>
        <v>20</v>
      </c>
      <c r="S62" s="10">
        <f t="shared" ca="1" si="5"/>
        <v>17</v>
      </c>
      <c r="T62" s="10">
        <f t="shared" ca="1" si="5"/>
        <v>9</v>
      </c>
      <c r="U62" s="10">
        <f t="shared" ca="1" si="5"/>
        <v>15</v>
      </c>
      <c r="V62" s="10">
        <f t="shared" ca="1" si="5"/>
        <v>6</v>
      </c>
      <c r="W62" s="10">
        <f t="shared" ca="1" si="5"/>
        <v>9</v>
      </c>
      <c r="X62" s="10">
        <f t="shared" ca="1" si="5"/>
        <v>19</v>
      </c>
      <c r="Y62" s="10">
        <f t="shared" ca="1" si="5"/>
        <v>10</v>
      </c>
      <c r="Z62" s="10">
        <f t="shared" ca="1" si="5"/>
        <v>10</v>
      </c>
      <c r="AA62" s="10">
        <f t="shared" ca="1" si="5"/>
        <v>36</v>
      </c>
      <c r="AB62" s="10">
        <f t="shared" ca="1" si="5"/>
        <v>26</v>
      </c>
      <c r="AC62" s="10">
        <f t="shared" ca="1" si="5"/>
        <v>37</v>
      </c>
      <c r="AD62" s="10">
        <f t="shared" ca="1" si="5"/>
        <v>21</v>
      </c>
      <c r="AE62" s="10">
        <f t="shared" ca="1" si="5"/>
        <v>19</v>
      </c>
      <c r="AF62" s="10">
        <f t="shared" ca="1" si="5"/>
        <v>50</v>
      </c>
      <c r="AG62" s="10">
        <f t="shared" ca="1" si="5"/>
        <v>36</v>
      </c>
      <c r="AH62" s="10">
        <f t="shared" ca="1" si="5"/>
        <v>42</v>
      </c>
      <c r="AI62" s="10">
        <f t="shared" ca="1" si="5"/>
        <v>30</v>
      </c>
      <c r="AJ62" s="10">
        <f t="shared" ca="1" si="5"/>
        <v>29</v>
      </c>
      <c r="AK62" s="10">
        <f t="shared" ca="1" si="5"/>
        <v>19</v>
      </c>
      <c r="AL62" s="10">
        <f t="shared" ca="1" si="5"/>
        <v>16</v>
      </c>
      <c r="AM62" s="10">
        <f t="shared" ca="1" si="5"/>
        <v>15</v>
      </c>
      <c r="AN62" s="10">
        <f t="shared" ca="1" si="5"/>
        <v>9</v>
      </c>
      <c r="AO62" s="10">
        <f t="shared" ca="1" si="5"/>
        <v>5</v>
      </c>
      <c r="AP62" s="10">
        <f t="shared" ca="1" si="5"/>
        <v>4</v>
      </c>
      <c r="AQ62" s="10">
        <f t="shared" ca="1" si="5"/>
        <v>4</v>
      </c>
      <c r="AR62" s="10">
        <f t="shared" ca="1" si="5"/>
        <v>9</v>
      </c>
      <c r="AS62" s="10">
        <f t="shared" ca="1" si="5"/>
        <v>18</v>
      </c>
      <c r="AT62" s="10">
        <f t="shared" ca="1" si="5"/>
        <v>18</v>
      </c>
      <c r="AU62" s="10">
        <f t="shared" ca="1" si="5"/>
        <v>11</v>
      </c>
      <c r="AV62" s="10">
        <f t="shared" ca="1" si="5"/>
        <v>10</v>
      </c>
      <c r="AW62" s="10">
        <f t="shared" ca="1" si="5"/>
        <v>5</v>
      </c>
      <c r="AX62" s="10">
        <f t="shared" ca="1" si="5"/>
        <v>9</v>
      </c>
      <c r="AY62" s="10">
        <f t="shared" ca="1" si="5"/>
        <v>5</v>
      </c>
      <c r="AZ62" s="10">
        <f t="shared" ca="1" si="5"/>
        <v>4</v>
      </c>
      <c r="BA62" s="10">
        <f t="shared" ca="1" si="5"/>
        <v>6</v>
      </c>
      <c r="BB62" s="10">
        <f t="shared" ca="1" si="5"/>
        <v>6</v>
      </c>
      <c r="BC62" s="10">
        <f t="shared" ca="1" si="5"/>
        <v>3</v>
      </c>
    </row>
    <row r="63" spans="1:55" x14ac:dyDescent="0.35">
      <c r="A63" s="14" t="s">
        <v>57</v>
      </c>
      <c r="B63" s="15">
        <f t="shared" ca="1" si="1"/>
        <v>18</v>
      </c>
      <c r="C63" s="16">
        <f ca="1">IFERROR(B63/[1]Tablas!$B34*100000,"N/D")</f>
        <v>12.845123491590012</v>
      </c>
      <c r="D63" s="15">
        <f ca="1">IFERROR(GETPIVOTDATA("Cuenta de CANT",Tabla9,"PROV",[1]Tablas!$A$76,"SEFIS",D$16,"CANT",[1]Tablas!$A34),0)</f>
        <v>0</v>
      </c>
      <c r="E63" s="15">
        <f ca="1">IFERROR(GETPIVOTDATA("Cuenta de CANT",Tabla9,"PROV",[1]Tablas!$A$76,"SEFIS",E$16,"CANT",[1]Tablas!$A34),0)</f>
        <v>1</v>
      </c>
      <c r="F63" s="15">
        <f ca="1">IFERROR(GETPIVOTDATA("Cuenta de CANT",Tabla9,"PROV",[1]Tablas!$A$76,"SEFIS",F$16,"CANT",[1]Tablas!$A34),0)</f>
        <v>0</v>
      </c>
      <c r="G63" s="15">
        <f ca="1">IFERROR(GETPIVOTDATA("Cuenta de CANT",Tabla9,"PROV",[1]Tablas!$A$76,"SEFIS",G$16,"CANT",[1]Tablas!$A34),0)</f>
        <v>1</v>
      </c>
      <c r="H63" s="15">
        <f ca="1">IFERROR(GETPIVOTDATA("Cuenta de CANT",Tabla9,"PROV",[1]Tablas!$A$76,"SEFIS",H$16,"CANT",[1]Tablas!$A34),0)</f>
        <v>0</v>
      </c>
      <c r="I63" s="15">
        <f ca="1">IFERROR(GETPIVOTDATA("Cuenta de CANT",Tabla9,"PROV",[1]Tablas!$A$76,"SEFIS",I$16,"CANT",[1]Tablas!$A34),0)</f>
        <v>0</v>
      </c>
      <c r="J63" s="15">
        <f ca="1">IFERROR(GETPIVOTDATA("Cuenta de CANT",Tabla9,"PROV",[1]Tablas!$A$76,"SEFIS",J$16,"CANT",[1]Tablas!$A34),0)</f>
        <v>0</v>
      </c>
      <c r="K63" s="15">
        <f ca="1">IFERROR(GETPIVOTDATA("Cuenta de CANT",Tabla9,"PROV",[1]Tablas!$A$76,"SEFIS",K$16,"CANT",[1]Tablas!$A34),0)</f>
        <v>0</v>
      </c>
      <c r="L63" s="15">
        <f ca="1">IFERROR(GETPIVOTDATA("Cuenta de CANT",Tabla9,"PROV",[1]Tablas!$A$76,"SEFIS",L$16,"CANT",[1]Tablas!$A34),0)</f>
        <v>0</v>
      </c>
      <c r="M63" s="15">
        <f ca="1">IFERROR(GETPIVOTDATA("Cuenta de CANT",Tabla9,"PROV",[1]Tablas!$A$76,"SEFIS",M$16,"CANT",[1]Tablas!$A34),0)</f>
        <v>0</v>
      </c>
      <c r="N63" s="15">
        <f ca="1">IFERROR(GETPIVOTDATA("Cuenta de CANT",Tabla9,"PROV",[1]Tablas!$A$76,"SEFIS",N$16,"CANT",[1]Tablas!$A34),0)</f>
        <v>0</v>
      </c>
      <c r="O63" s="15">
        <f ca="1">IFERROR(GETPIVOTDATA("Cuenta de CANT",Tabla9,"PROV",[1]Tablas!$A$76,"SEFIS",O$16,"CANT",[1]Tablas!$A34),0)</f>
        <v>0</v>
      </c>
      <c r="P63" s="15">
        <f ca="1">IFERROR(GETPIVOTDATA("Cuenta de CANT",Tabla9,"PROV",[1]Tablas!$A$76,"SEFIS",P$16,"CANT",[1]Tablas!$A34),0)</f>
        <v>0</v>
      </c>
      <c r="Q63" s="15">
        <f ca="1">IFERROR(GETPIVOTDATA("Cuenta de CANT",Tabla9,"PROV",[1]Tablas!$A$76,"SEFIS",Q$16,"CANT",[1]Tablas!$A34),0)</f>
        <v>0</v>
      </c>
      <c r="R63" s="15">
        <f ca="1">IFERROR(GETPIVOTDATA("Cuenta de CANT",Tabla9,"PROV",[1]Tablas!$A$76,"SEFIS",R$16,"CANT",[1]Tablas!$A34),0)</f>
        <v>0</v>
      </c>
      <c r="S63" s="15">
        <f ca="1">IFERROR(GETPIVOTDATA("Cuenta de CANT",Tabla9,"PROV",[1]Tablas!$A$76,"SEFIS",S$16,"CANT",[1]Tablas!$A34),0)</f>
        <v>0</v>
      </c>
      <c r="T63" s="15">
        <f ca="1">IFERROR(GETPIVOTDATA("Cuenta de CANT",Tabla9,"PROV",[1]Tablas!$A$76,"SEFIS",T$16,"CANT",[1]Tablas!$A34),0)</f>
        <v>0</v>
      </c>
      <c r="U63" s="15">
        <f ca="1">IFERROR(GETPIVOTDATA("Cuenta de CANT",Tabla9,"PROV",[1]Tablas!$A$76,"SEFIS",U$16,"CANT",[1]Tablas!$A34),0)</f>
        <v>0</v>
      </c>
      <c r="V63" s="15">
        <f ca="1">IFERROR(GETPIVOTDATA("Cuenta de CANT",Tabla9,"PROV",[1]Tablas!$A$76,"SEFIS",V$16,"CANT",[1]Tablas!$A34),0)</f>
        <v>0</v>
      </c>
      <c r="W63" s="15">
        <f ca="1">IFERROR(GETPIVOTDATA("Cuenta de CANT",Tabla9,"PROV",[1]Tablas!$A$76,"SEFIS",W$16,"CANT",[1]Tablas!$A34),0)</f>
        <v>0</v>
      </c>
      <c r="X63" s="15">
        <f ca="1">IFERROR(GETPIVOTDATA("Cuenta de CANT",Tabla9,"PROV",[1]Tablas!$A$76,"SEFIS",X$16,"CANT",[1]Tablas!$A34),0)</f>
        <v>1</v>
      </c>
      <c r="Y63" s="15">
        <f ca="1">IFERROR(GETPIVOTDATA("Cuenta de CANT",Tabla9,"PROV",[1]Tablas!$A$76,"SEFIS",Y$16,"CANT",[1]Tablas!$A34),0)</f>
        <v>0</v>
      </c>
      <c r="Z63" s="15">
        <f ca="1">IFERROR(GETPIVOTDATA("Cuenta de CANT",Tabla9,"PROV",[1]Tablas!$A$76,"SEFIS",Z$16,"CANT",[1]Tablas!$A34),0)</f>
        <v>0</v>
      </c>
      <c r="AA63" s="15">
        <f ca="1">IFERROR(GETPIVOTDATA("Cuenta de CANT",Tabla9,"PROV",[1]Tablas!$A$76,"SEFIS",AA$16,"CANT",[1]Tablas!$A34),0)</f>
        <v>1</v>
      </c>
      <c r="AB63" s="15">
        <f ca="1">IFERROR(GETPIVOTDATA("Cuenta de CANT",Tabla9,"PROV",[1]Tablas!$A$76,"SEFIS",AB$16,"CANT",[1]Tablas!$A34),0)</f>
        <v>0</v>
      </c>
      <c r="AC63" s="15">
        <f ca="1">IFERROR(GETPIVOTDATA("Cuenta de CANT",Tabla9,"PROV",[1]Tablas!$A$76,"SEFIS",AC$16,"CANT",[1]Tablas!$A34),0)</f>
        <v>0</v>
      </c>
      <c r="AD63" s="15">
        <f ca="1">IFERROR(GETPIVOTDATA("Cuenta de CANT",Tabla9,"PROV",[1]Tablas!$A$76,"SEFIS",AD$16,"CANT",[1]Tablas!$A34),0)</f>
        <v>3</v>
      </c>
      <c r="AE63" s="15">
        <f ca="1">IFERROR(GETPIVOTDATA("Cuenta de CANT",Tabla9,"PROV",[1]Tablas!$A$76,"SEFIS",AE$16,"CANT",[1]Tablas!$A34),0)</f>
        <v>0</v>
      </c>
      <c r="AF63" s="15">
        <f ca="1">IFERROR(GETPIVOTDATA("Cuenta de CANT",Tabla9,"PROV",[1]Tablas!$A$76,"SEFIS",AF$16,"CANT",[1]Tablas!$A34),0)</f>
        <v>0</v>
      </c>
      <c r="AG63" s="15">
        <f ca="1">IFERROR(GETPIVOTDATA("Cuenta de CANT",Tabla9,"PROV",[1]Tablas!$A$76,"SEFIS",AG$16,"CANT",[1]Tablas!$A34),0)</f>
        <v>4</v>
      </c>
      <c r="AH63" s="15">
        <f ca="1">IFERROR(GETPIVOTDATA("Cuenta de CANT",Tabla9,"PROV",[1]Tablas!$A$76,"SEFIS",AH$16,"CANT",[1]Tablas!$A34),0)</f>
        <v>1</v>
      </c>
      <c r="AI63" s="15">
        <f ca="1">IFERROR(GETPIVOTDATA("Cuenta de CANT",Tabla9,"PROV",[1]Tablas!$A$76,"SEFIS",AI$16,"CANT",[1]Tablas!$A34),0)</f>
        <v>0</v>
      </c>
      <c r="AJ63" s="15">
        <f ca="1">IFERROR(GETPIVOTDATA("Cuenta de CANT",Tabla9,"PROV",[1]Tablas!$A$76,"SEFIS",AJ$16,"CANT",[1]Tablas!$A34),0)</f>
        <v>1</v>
      </c>
      <c r="AK63" s="15">
        <f ca="1">IFERROR(GETPIVOTDATA("Cuenta de CANT",Tabla9,"PROV",[1]Tablas!$A$76,"SEFIS",AK$16,"CANT",[1]Tablas!$A34),0)</f>
        <v>0</v>
      </c>
      <c r="AL63" s="15">
        <f ca="1">IFERROR(GETPIVOTDATA("Cuenta de CANT",Tabla9,"PROV",[1]Tablas!$A$76,"SEFIS",AL$16,"CANT",[1]Tablas!$A34),0)</f>
        <v>0</v>
      </c>
      <c r="AM63" s="15">
        <f ca="1">IFERROR(GETPIVOTDATA("Cuenta de CANT",Tabla9,"PROV",[1]Tablas!$A$76,"SEFIS",AM$16,"CANT",[1]Tablas!$A34),0)</f>
        <v>1</v>
      </c>
      <c r="AN63" s="15">
        <f ca="1">IFERROR(GETPIVOTDATA("Cuenta de CANT",Tabla9,"PROV",[1]Tablas!$A$76,"SEFIS",AN$16,"CANT",[1]Tablas!$A34),0)</f>
        <v>0</v>
      </c>
      <c r="AO63" s="15">
        <f ca="1">IFERROR(GETPIVOTDATA("Cuenta de CANT",Tabla9,"PROV",[1]Tablas!$A$76,"SEFIS",AO$16,"CANT",[1]Tablas!$A34),0)</f>
        <v>1</v>
      </c>
      <c r="AP63" s="15">
        <f ca="1">IFERROR(GETPIVOTDATA("Cuenta de CANT",Tabla9,"PROV",[1]Tablas!$A$76,"SEFIS",AP$16,"CANT",[1]Tablas!$A34),0)</f>
        <v>1</v>
      </c>
      <c r="AQ63" s="15">
        <f ca="1">IFERROR(GETPIVOTDATA("Cuenta de CANT",Tabla9,"PROV",[1]Tablas!$A$76,"SEFIS",AQ$16,"CANT",[1]Tablas!$A34),0)</f>
        <v>0</v>
      </c>
      <c r="AR63" s="15">
        <f ca="1">IFERROR(GETPIVOTDATA("Cuenta de CANT",Tabla9,"PROV",[1]Tablas!$A$76,"SEFIS",AR$16,"CANT",[1]Tablas!$A34),0)</f>
        <v>1</v>
      </c>
      <c r="AS63" s="15">
        <f ca="1">IFERROR(GETPIVOTDATA("Cuenta de CANT",Tabla9,"PROV",[1]Tablas!$A$76,"SEFIS",AS$16,"CANT",[1]Tablas!$A34),0)</f>
        <v>0</v>
      </c>
      <c r="AT63" s="15">
        <f ca="1">IFERROR(GETPIVOTDATA("Cuenta de CANT",Tabla9,"PROV",[1]Tablas!$A$76,"SEFIS",AT$16,"CANT",[1]Tablas!$A34),0)</f>
        <v>1</v>
      </c>
      <c r="AU63" s="15">
        <f ca="1">IFERROR(GETPIVOTDATA("Cuenta de CANT",Tabla9,"PROV",[1]Tablas!$A$76,"SEFIS",AU$16,"CANT",[1]Tablas!$A34),0)</f>
        <v>0</v>
      </c>
      <c r="AV63" s="15">
        <f ca="1">IFERROR(GETPIVOTDATA("Cuenta de CANT",Tabla9,"PROV",[1]Tablas!$A$76,"SEFIS",AV$16,"CANT",[1]Tablas!$A34),0)</f>
        <v>0</v>
      </c>
      <c r="AW63" s="15">
        <f ca="1">IFERROR(GETPIVOTDATA("Cuenta de CANT",Tabla9,"PROV",[1]Tablas!$A$76,"SEFIS",AW$16,"CANT",[1]Tablas!$A34),0)</f>
        <v>0</v>
      </c>
      <c r="AX63" s="15">
        <f ca="1">IFERROR(GETPIVOTDATA("Cuenta de CANT",Tabla9,"PROV",[1]Tablas!$A$76,"SEFIS",AX$16,"CANT",[1]Tablas!$A34),0)</f>
        <v>0</v>
      </c>
      <c r="AY63" s="15">
        <f ca="1">IFERROR(GETPIVOTDATA("Cuenta de CANT",Tabla9,"PROV",[1]Tablas!$A$76,"SEFIS",AY$16,"CANT",[1]Tablas!$A34),0)</f>
        <v>0</v>
      </c>
      <c r="AZ63" s="15">
        <f ca="1">IFERROR(GETPIVOTDATA("Cuenta de CANT",Tabla9,"PROV",[1]Tablas!$A$76,"SEFIS",AZ$16,"CANT",[1]Tablas!$A34),0)</f>
        <v>0</v>
      </c>
      <c r="BA63" s="15">
        <f ca="1">IFERROR(GETPIVOTDATA("Cuenta de CANT",Tabla9,"PROV",[1]Tablas!$A$76,"SEFIS",BA$16,"CANT",[1]Tablas!$A34),0)</f>
        <v>0</v>
      </c>
      <c r="BB63" s="15">
        <f ca="1">IFERROR(GETPIVOTDATA("Cuenta de CANT",Tabla9,"PROV",[1]Tablas!$A$76,"SEFIS",BB$16,"CANT",[1]Tablas!$A34),0)</f>
        <v>0</v>
      </c>
      <c r="BC63" s="15">
        <f ca="1">IFERROR(GETPIVOTDATA("Cuenta de CANT",Tabla9,"PROV",[1]Tablas!$A$76,"SEFIS",BC$16,"CANT",[1]Tablas!$A34),0)</f>
        <v>0</v>
      </c>
    </row>
    <row r="64" spans="1:55" x14ac:dyDescent="0.35">
      <c r="A64" s="14" t="s">
        <v>58</v>
      </c>
      <c r="B64" s="15">
        <f t="shared" ca="1" si="1"/>
        <v>1</v>
      </c>
      <c r="C64" s="16">
        <f ca="1">IFERROR(B64/[1]Tablas!$B35*100000,"N/D")</f>
        <v>2.1857445738890955</v>
      </c>
      <c r="D64" s="15">
        <f ca="1">IFERROR(GETPIVOTDATA("Cuenta de CANT",Tabla9,"PROV",[1]Tablas!$A$76,"SEFIS",D$16,"CANT",[1]Tablas!$A35),0)</f>
        <v>0</v>
      </c>
      <c r="E64" s="15">
        <f ca="1">IFERROR(GETPIVOTDATA("Cuenta de CANT",Tabla9,"PROV",[1]Tablas!$A$76,"SEFIS",E$16,"CANT",[1]Tablas!$A35),0)</f>
        <v>0</v>
      </c>
      <c r="F64" s="15">
        <f ca="1">IFERROR(GETPIVOTDATA("Cuenta de CANT",Tabla9,"PROV",[1]Tablas!$A$76,"SEFIS",F$16,"CANT",[1]Tablas!$A35),0)</f>
        <v>0</v>
      </c>
      <c r="G64" s="15">
        <f ca="1">IFERROR(GETPIVOTDATA("Cuenta de CANT",Tabla9,"PROV",[1]Tablas!$A$76,"SEFIS",G$16,"CANT",[1]Tablas!$A35),0)</f>
        <v>0</v>
      </c>
      <c r="H64" s="15">
        <f ca="1">IFERROR(GETPIVOTDATA("Cuenta de CANT",Tabla9,"PROV",[1]Tablas!$A$76,"SEFIS",H$16,"CANT",[1]Tablas!$A35),0)</f>
        <v>0</v>
      </c>
      <c r="I64" s="15">
        <f ca="1">IFERROR(GETPIVOTDATA("Cuenta de CANT",Tabla9,"PROV",[1]Tablas!$A$76,"SEFIS",I$16,"CANT",[1]Tablas!$A35),0)</f>
        <v>0</v>
      </c>
      <c r="J64" s="15">
        <f ca="1">IFERROR(GETPIVOTDATA("Cuenta de CANT",Tabla9,"PROV",[1]Tablas!$A$76,"SEFIS",J$16,"CANT",[1]Tablas!$A35),0)</f>
        <v>0</v>
      </c>
      <c r="K64" s="15">
        <f ca="1">IFERROR(GETPIVOTDATA("Cuenta de CANT",Tabla9,"PROV",[1]Tablas!$A$76,"SEFIS",K$16,"CANT",[1]Tablas!$A35),0)</f>
        <v>0</v>
      </c>
      <c r="L64" s="15">
        <f ca="1">IFERROR(GETPIVOTDATA("Cuenta de CANT",Tabla9,"PROV",[1]Tablas!$A$76,"SEFIS",L$16,"CANT",[1]Tablas!$A35),0)</f>
        <v>0</v>
      </c>
      <c r="M64" s="15">
        <f ca="1">IFERROR(GETPIVOTDATA("Cuenta de CANT",Tabla9,"PROV",[1]Tablas!$A$76,"SEFIS",M$16,"CANT",[1]Tablas!$A35),0)</f>
        <v>0</v>
      </c>
      <c r="N64" s="15">
        <f ca="1">IFERROR(GETPIVOTDATA("Cuenta de CANT",Tabla9,"PROV",[1]Tablas!$A$76,"SEFIS",N$16,"CANT",[1]Tablas!$A35),0)</f>
        <v>0</v>
      </c>
      <c r="O64" s="15">
        <f ca="1">IFERROR(GETPIVOTDATA("Cuenta de CANT",Tabla9,"PROV",[1]Tablas!$A$76,"SEFIS",O$16,"CANT",[1]Tablas!$A35),0)</f>
        <v>0</v>
      </c>
      <c r="P64" s="15">
        <f ca="1">IFERROR(GETPIVOTDATA("Cuenta de CANT",Tabla9,"PROV",[1]Tablas!$A$76,"SEFIS",P$16,"CANT",[1]Tablas!$A35),0)</f>
        <v>0</v>
      </c>
      <c r="Q64" s="15">
        <f ca="1">IFERROR(GETPIVOTDATA("Cuenta de CANT",Tabla9,"PROV",[1]Tablas!$A$76,"SEFIS",Q$16,"CANT",[1]Tablas!$A35),0)</f>
        <v>0</v>
      </c>
      <c r="R64" s="15">
        <f ca="1">IFERROR(GETPIVOTDATA("Cuenta de CANT",Tabla9,"PROV",[1]Tablas!$A$76,"SEFIS",R$16,"CANT",[1]Tablas!$A35),0)</f>
        <v>0</v>
      </c>
      <c r="S64" s="15">
        <f ca="1">IFERROR(GETPIVOTDATA("Cuenta de CANT",Tabla9,"PROV",[1]Tablas!$A$76,"SEFIS",S$16,"CANT",[1]Tablas!$A35),0)</f>
        <v>0</v>
      </c>
      <c r="T64" s="15">
        <f ca="1">IFERROR(GETPIVOTDATA("Cuenta de CANT",Tabla9,"PROV",[1]Tablas!$A$76,"SEFIS",T$16,"CANT",[1]Tablas!$A35),0)</f>
        <v>0</v>
      </c>
      <c r="U64" s="15">
        <f ca="1">IFERROR(GETPIVOTDATA("Cuenta de CANT",Tabla9,"PROV",[1]Tablas!$A$76,"SEFIS",U$16,"CANT",[1]Tablas!$A35),0)</f>
        <v>0</v>
      </c>
      <c r="V64" s="15">
        <f ca="1">IFERROR(GETPIVOTDATA("Cuenta de CANT",Tabla9,"PROV",[1]Tablas!$A$76,"SEFIS",V$16,"CANT",[1]Tablas!$A35),0)</f>
        <v>0</v>
      </c>
      <c r="W64" s="15">
        <f ca="1">IFERROR(GETPIVOTDATA("Cuenta de CANT",Tabla9,"PROV",[1]Tablas!$A$76,"SEFIS",W$16,"CANT",[1]Tablas!$A35),0)</f>
        <v>0</v>
      </c>
      <c r="X64" s="15">
        <f ca="1">IFERROR(GETPIVOTDATA("Cuenta de CANT",Tabla9,"PROV",[1]Tablas!$A$76,"SEFIS",X$16,"CANT",[1]Tablas!$A35),0)</f>
        <v>0</v>
      </c>
      <c r="Y64" s="15">
        <f ca="1">IFERROR(GETPIVOTDATA("Cuenta de CANT",Tabla9,"PROV",[1]Tablas!$A$76,"SEFIS",Y$16,"CANT",[1]Tablas!$A35),0)</f>
        <v>0</v>
      </c>
      <c r="Z64" s="15">
        <f ca="1">IFERROR(GETPIVOTDATA("Cuenta de CANT",Tabla9,"PROV",[1]Tablas!$A$76,"SEFIS",Z$16,"CANT",[1]Tablas!$A35),0)</f>
        <v>0</v>
      </c>
      <c r="AA64" s="15">
        <f ca="1">IFERROR(GETPIVOTDATA("Cuenta de CANT",Tabla9,"PROV",[1]Tablas!$A$76,"SEFIS",AA$16,"CANT",[1]Tablas!$A35),0)</f>
        <v>0</v>
      </c>
      <c r="AB64" s="15">
        <f ca="1">IFERROR(GETPIVOTDATA("Cuenta de CANT",Tabla9,"PROV",[1]Tablas!$A$76,"SEFIS",AB$16,"CANT",[1]Tablas!$A35),0)</f>
        <v>0</v>
      </c>
      <c r="AC64" s="15">
        <f ca="1">IFERROR(GETPIVOTDATA("Cuenta de CANT",Tabla9,"PROV",[1]Tablas!$A$76,"SEFIS",AC$16,"CANT",[1]Tablas!$A35),0)</f>
        <v>0</v>
      </c>
      <c r="AD64" s="15">
        <f ca="1">IFERROR(GETPIVOTDATA("Cuenta de CANT",Tabla9,"PROV",[1]Tablas!$A$76,"SEFIS",AD$16,"CANT",[1]Tablas!$A35),0)</f>
        <v>0</v>
      </c>
      <c r="AE64" s="15">
        <f ca="1">IFERROR(GETPIVOTDATA("Cuenta de CANT",Tabla9,"PROV",[1]Tablas!$A$76,"SEFIS",AE$16,"CANT",[1]Tablas!$A35),0)</f>
        <v>0</v>
      </c>
      <c r="AF64" s="15">
        <f ca="1">IFERROR(GETPIVOTDATA("Cuenta de CANT",Tabla9,"PROV",[1]Tablas!$A$76,"SEFIS",AF$16,"CANT",[1]Tablas!$A35),0)</f>
        <v>0</v>
      </c>
      <c r="AG64" s="15">
        <f ca="1">IFERROR(GETPIVOTDATA("Cuenta de CANT",Tabla9,"PROV",[1]Tablas!$A$76,"SEFIS",AG$16,"CANT",[1]Tablas!$A35),0)</f>
        <v>0</v>
      </c>
      <c r="AH64" s="15">
        <f ca="1">IFERROR(GETPIVOTDATA("Cuenta de CANT",Tabla9,"PROV",[1]Tablas!$A$76,"SEFIS",AH$16,"CANT",[1]Tablas!$A35),0)</f>
        <v>0</v>
      </c>
      <c r="AI64" s="15">
        <f ca="1">IFERROR(GETPIVOTDATA("Cuenta de CANT",Tabla9,"PROV",[1]Tablas!$A$76,"SEFIS",AI$16,"CANT",[1]Tablas!$A35),0)</f>
        <v>0</v>
      </c>
      <c r="AJ64" s="15">
        <f ca="1">IFERROR(GETPIVOTDATA("Cuenta de CANT",Tabla9,"PROV",[1]Tablas!$A$76,"SEFIS",AJ$16,"CANT",[1]Tablas!$A35),0)</f>
        <v>0</v>
      </c>
      <c r="AK64" s="15">
        <f ca="1">IFERROR(GETPIVOTDATA("Cuenta de CANT",Tabla9,"PROV",[1]Tablas!$A$76,"SEFIS",AK$16,"CANT",[1]Tablas!$A35),0)</f>
        <v>0</v>
      </c>
      <c r="AL64" s="15">
        <f ca="1">IFERROR(GETPIVOTDATA("Cuenta de CANT",Tabla9,"PROV",[1]Tablas!$A$76,"SEFIS",AL$16,"CANT",[1]Tablas!$A35),0)</f>
        <v>0</v>
      </c>
      <c r="AM64" s="15">
        <f ca="1">IFERROR(GETPIVOTDATA("Cuenta de CANT",Tabla9,"PROV",[1]Tablas!$A$76,"SEFIS",AM$16,"CANT",[1]Tablas!$A35),0)</f>
        <v>1</v>
      </c>
      <c r="AN64" s="15">
        <f ca="1">IFERROR(GETPIVOTDATA("Cuenta de CANT",Tabla9,"PROV",[1]Tablas!$A$76,"SEFIS",AN$16,"CANT",[1]Tablas!$A35),0)</f>
        <v>0</v>
      </c>
      <c r="AO64" s="15">
        <f ca="1">IFERROR(GETPIVOTDATA("Cuenta de CANT",Tabla9,"PROV",[1]Tablas!$A$76,"SEFIS",AO$16,"CANT",[1]Tablas!$A35),0)</f>
        <v>0</v>
      </c>
      <c r="AP64" s="15">
        <f ca="1">IFERROR(GETPIVOTDATA("Cuenta de CANT",Tabla9,"PROV",[1]Tablas!$A$76,"SEFIS",AP$16,"CANT",[1]Tablas!$A35),0)</f>
        <v>0</v>
      </c>
      <c r="AQ64" s="15">
        <f ca="1">IFERROR(GETPIVOTDATA("Cuenta de CANT",Tabla9,"PROV",[1]Tablas!$A$76,"SEFIS",AQ$16,"CANT",[1]Tablas!$A35),0)</f>
        <v>0</v>
      </c>
      <c r="AR64" s="15">
        <f ca="1">IFERROR(GETPIVOTDATA("Cuenta de CANT",Tabla9,"PROV",[1]Tablas!$A$76,"SEFIS",AR$16,"CANT",[1]Tablas!$A35),0)</f>
        <v>0</v>
      </c>
      <c r="AS64" s="15">
        <f ca="1">IFERROR(GETPIVOTDATA("Cuenta de CANT",Tabla9,"PROV",[1]Tablas!$A$76,"SEFIS",AS$16,"CANT",[1]Tablas!$A35),0)</f>
        <v>0</v>
      </c>
      <c r="AT64" s="15">
        <f ca="1">IFERROR(GETPIVOTDATA("Cuenta de CANT",Tabla9,"PROV",[1]Tablas!$A$76,"SEFIS",AT$16,"CANT",[1]Tablas!$A35),0)</f>
        <v>0</v>
      </c>
      <c r="AU64" s="15">
        <f ca="1">IFERROR(GETPIVOTDATA("Cuenta de CANT",Tabla9,"PROV",[1]Tablas!$A$76,"SEFIS",AU$16,"CANT",[1]Tablas!$A35),0)</f>
        <v>0</v>
      </c>
      <c r="AV64" s="15">
        <f ca="1">IFERROR(GETPIVOTDATA("Cuenta de CANT",Tabla9,"PROV",[1]Tablas!$A$76,"SEFIS",AV$16,"CANT",[1]Tablas!$A35),0)</f>
        <v>0</v>
      </c>
      <c r="AW64" s="15">
        <f ca="1">IFERROR(GETPIVOTDATA("Cuenta de CANT",Tabla9,"PROV",[1]Tablas!$A$76,"SEFIS",AW$16,"CANT",[1]Tablas!$A35),0)</f>
        <v>0</v>
      </c>
      <c r="AX64" s="15">
        <f ca="1">IFERROR(GETPIVOTDATA("Cuenta de CANT",Tabla9,"PROV",[1]Tablas!$A$76,"SEFIS",AX$16,"CANT",[1]Tablas!$A35),0)</f>
        <v>0</v>
      </c>
      <c r="AY64" s="15">
        <f ca="1">IFERROR(GETPIVOTDATA("Cuenta de CANT",Tabla9,"PROV",[1]Tablas!$A$76,"SEFIS",AY$16,"CANT",[1]Tablas!$A35),0)</f>
        <v>0</v>
      </c>
      <c r="AZ64" s="15">
        <f ca="1">IFERROR(GETPIVOTDATA("Cuenta de CANT",Tabla9,"PROV",[1]Tablas!$A$76,"SEFIS",AZ$16,"CANT",[1]Tablas!$A35),0)</f>
        <v>0</v>
      </c>
      <c r="BA64" s="15">
        <f ca="1">IFERROR(GETPIVOTDATA("Cuenta de CANT",Tabla9,"PROV",[1]Tablas!$A$76,"SEFIS",BA$16,"CANT",[1]Tablas!$A35),0)</f>
        <v>0</v>
      </c>
      <c r="BB64" s="15">
        <f ca="1">IFERROR(GETPIVOTDATA("Cuenta de CANT",Tabla9,"PROV",[1]Tablas!$A$76,"SEFIS",BB$16,"CANT",[1]Tablas!$A35),0)</f>
        <v>0</v>
      </c>
      <c r="BC64" s="15">
        <f ca="1">IFERROR(GETPIVOTDATA("Cuenta de CANT",Tabla9,"PROV",[1]Tablas!$A$76,"SEFIS",BC$16,"CANT",[1]Tablas!$A35),0)</f>
        <v>0</v>
      </c>
    </row>
    <row r="65" spans="1:55" x14ac:dyDescent="0.35">
      <c r="A65" s="14" t="s">
        <v>59</v>
      </c>
      <c r="B65" s="15">
        <f t="shared" ca="1" si="1"/>
        <v>1</v>
      </c>
      <c r="C65" s="16">
        <f ca="1">IFERROR(B65/[1]Tablas!$B36*100000,"N/D")</f>
        <v>2.077706212341575</v>
      </c>
      <c r="D65" s="15">
        <f ca="1">IFERROR(GETPIVOTDATA("Cuenta de CANT",Tabla9,"PROV",[1]Tablas!$A$76,"SEFIS",D$16,"CANT",[1]Tablas!$A36),0)</f>
        <v>0</v>
      </c>
      <c r="E65" s="15">
        <f ca="1">IFERROR(GETPIVOTDATA("Cuenta de CANT",Tabla9,"PROV",[1]Tablas!$A$76,"SEFIS",E$16,"CANT",[1]Tablas!$A36),0)</f>
        <v>0</v>
      </c>
      <c r="F65" s="15">
        <f ca="1">IFERROR(GETPIVOTDATA("Cuenta de CANT",Tabla9,"PROV",[1]Tablas!$A$76,"SEFIS",F$16,"CANT",[1]Tablas!$A36),0)</f>
        <v>0</v>
      </c>
      <c r="G65" s="15">
        <f ca="1">IFERROR(GETPIVOTDATA("Cuenta de CANT",Tabla9,"PROV",[1]Tablas!$A$76,"SEFIS",G$16,"CANT",[1]Tablas!$A36),0)</f>
        <v>0</v>
      </c>
      <c r="H65" s="15">
        <f ca="1">IFERROR(GETPIVOTDATA("Cuenta de CANT",Tabla9,"PROV",[1]Tablas!$A$76,"SEFIS",H$16,"CANT",[1]Tablas!$A36),0)</f>
        <v>0</v>
      </c>
      <c r="I65" s="15">
        <f ca="1">IFERROR(GETPIVOTDATA("Cuenta de CANT",Tabla9,"PROV",[1]Tablas!$A$76,"SEFIS",I$16,"CANT",[1]Tablas!$A36),0)</f>
        <v>0</v>
      </c>
      <c r="J65" s="15">
        <f ca="1">IFERROR(GETPIVOTDATA("Cuenta de CANT",Tabla9,"PROV",[1]Tablas!$A$76,"SEFIS",J$16,"CANT",[1]Tablas!$A36),0)</f>
        <v>0</v>
      </c>
      <c r="K65" s="15">
        <f ca="1">IFERROR(GETPIVOTDATA("Cuenta de CANT",Tabla9,"PROV",[1]Tablas!$A$76,"SEFIS",K$16,"CANT",[1]Tablas!$A36),0)</f>
        <v>0</v>
      </c>
      <c r="L65" s="15">
        <f ca="1">IFERROR(GETPIVOTDATA("Cuenta de CANT",Tabla9,"PROV",[1]Tablas!$A$76,"SEFIS",L$16,"CANT",[1]Tablas!$A36),0)</f>
        <v>0</v>
      </c>
      <c r="M65" s="15">
        <f ca="1">IFERROR(GETPIVOTDATA("Cuenta de CANT",Tabla9,"PROV",[1]Tablas!$A$76,"SEFIS",M$16,"CANT",[1]Tablas!$A36),0)</f>
        <v>0</v>
      </c>
      <c r="N65" s="15">
        <f ca="1">IFERROR(GETPIVOTDATA("Cuenta de CANT",Tabla9,"PROV",[1]Tablas!$A$76,"SEFIS",N$16,"CANT",[1]Tablas!$A36),0)</f>
        <v>0</v>
      </c>
      <c r="O65" s="15">
        <f ca="1">IFERROR(GETPIVOTDATA("Cuenta de CANT",Tabla9,"PROV",[1]Tablas!$A$76,"SEFIS",O$16,"CANT",[1]Tablas!$A36),0)</f>
        <v>0</v>
      </c>
      <c r="P65" s="15">
        <f ca="1">IFERROR(GETPIVOTDATA("Cuenta de CANT",Tabla9,"PROV",[1]Tablas!$A$76,"SEFIS",P$16,"CANT",[1]Tablas!$A36),0)</f>
        <v>0</v>
      </c>
      <c r="Q65" s="15">
        <f ca="1">IFERROR(GETPIVOTDATA("Cuenta de CANT",Tabla9,"PROV",[1]Tablas!$A$76,"SEFIS",Q$16,"CANT",[1]Tablas!$A36),0)</f>
        <v>1</v>
      </c>
      <c r="R65" s="15">
        <f ca="1">IFERROR(GETPIVOTDATA("Cuenta de CANT",Tabla9,"PROV",[1]Tablas!$A$76,"SEFIS",R$16,"CANT",[1]Tablas!$A36),0)</f>
        <v>0</v>
      </c>
      <c r="S65" s="15">
        <f ca="1">IFERROR(GETPIVOTDATA("Cuenta de CANT",Tabla9,"PROV",[1]Tablas!$A$76,"SEFIS",S$16,"CANT",[1]Tablas!$A36),0)</f>
        <v>0</v>
      </c>
      <c r="T65" s="15">
        <f ca="1">IFERROR(GETPIVOTDATA("Cuenta de CANT",Tabla9,"PROV",[1]Tablas!$A$76,"SEFIS",T$16,"CANT",[1]Tablas!$A36),0)</f>
        <v>0</v>
      </c>
      <c r="U65" s="15">
        <f ca="1">IFERROR(GETPIVOTDATA("Cuenta de CANT",Tabla9,"PROV",[1]Tablas!$A$76,"SEFIS",U$16,"CANT",[1]Tablas!$A36),0)</f>
        <v>0</v>
      </c>
      <c r="V65" s="15">
        <f ca="1">IFERROR(GETPIVOTDATA("Cuenta de CANT",Tabla9,"PROV",[1]Tablas!$A$76,"SEFIS",V$16,"CANT",[1]Tablas!$A36),0)</f>
        <v>0</v>
      </c>
      <c r="W65" s="15">
        <f ca="1">IFERROR(GETPIVOTDATA("Cuenta de CANT",Tabla9,"PROV",[1]Tablas!$A$76,"SEFIS",W$16,"CANT",[1]Tablas!$A36),0)</f>
        <v>0</v>
      </c>
      <c r="X65" s="15">
        <f ca="1">IFERROR(GETPIVOTDATA("Cuenta de CANT",Tabla9,"PROV",[1]Tablas!$A$76,"SEFIS",X$16,"CANT",[1]Tablas!$A36),0)</f>
        <v>0</v>
      </c>
      <c r="Y65" s="15">
        <f ca="1">IFERROR(GETPIVOTDATA("Cuenta de CANT",Tabla9,"PROV",[1]Tablas!$A$76,"SEFIS",Y$16,"CANT",[1]Tablas!$A36),0)</f>
        <v>0</v>
      </c>
      <c r="Z65" s="15">
        <f ca="1">IFERROR(GETPIVOTDATA("Cuenta de CANT",Tabla9,"PROV",[1]Tablas!$A$76,"SEFIS",Z$16,"CANT",[1]Tablas!$A36),0)</f>
        <v>0</v>
      </c>
      <c r="AA65" s="15">
        <f ca="1">IFERROR(GETPIVOTDATA("Cuenta de CANT",Tabla9,"PROV",[1]Tablas!$A$76,"SEFIS",AA$16,"CANT",[1]Tablas!$A36),0)</f>
        <v>0</v>
      </c>
      <c r="AB65" s="15">
        <f ca="1">IFERROR(GETPIVOTDATA("Cuenta de CANT",Tabla9,"PROV",[1]Tablas!$A$76,"SEFIS",AB$16,"CANT",[1]Tablas!$A36),0)</f>
        <v>0</v>
      </c>
      <c r="AC65" s="15">
        <f ca="1">IFERROR(GETPIVOTDATA("Cuenta de CANT",Tabla9,"PROV",[1]Tablas!$A$76,"SEFIS",AC$16,"CANT",[1]Tablas!$A36),0)</f>
        <v>0</v>
      </c>
      <c r="AD65" s="15">
        <f ca="1">IFERROR(GETPIVOTDATA("Cuenta de CANT",Tabla9,"PROV",[1]Tablas!$A$76,"SEFIS",AD$16,"CANT",[1]Tablas!$A36),0)</f>
        <v>0</v>
      </c>
      <c r="AE65" s="15">
        <f ca="1">IFERROR(GETPIVOTDATA("Cuenta de CANT",Tabla9,"PROV",[1]Tablas!$A$76,"SEFIS",AE$16,"CANT",[1]Tablas!$A36),0)</f>
        <v>0</v>
      </c>
      <c r="AF65" s="15">
        <f ca="1">IFERROR(GETPIVOTDATA("Cuenta de CANT",Tabla9,"PROV",[1]Tablas!$A$76,"SEFIS",AF$16,"CANT",[1]Tablas!$A36),0)</f>
        <v>0</v>
      </c>
      <c r="AG65" s="15">
        <f ca="1">IFERROR(GETPIVOTDATA("Cuenta de CANT",Tabla9,"PROV",[1]Tablas!$A$76,"SEFIS",AG$16,"CANT",[1]Tablas!$A36),0)</f>
        <v>0</v>
      </c>
      <c r="AH65" s="15">
        <f ca="1">IFERROR(GETPIVOTDATA("Cuenta de CANT",Tabla9,"PROV",[1]Tablas!$A$76,"SEFIS",AH$16,"CANT",[1]Tablas!$A36),0)</f>
        <v>0</v>
      </c>
      <c r="AI65" s="15">
        <f ca="1">IFERROR(GETPIVOTDATA("Cuenta de CANT",Tabla9,"PROV",[1]Tablas!$A$76,"SEFIS",AI$16,"CANT",[1]Tablas!$A36),0)</f>
        <v>0</v>
      </c>
      <c r="AJ65" s="15">
        <f ca="1">IFERROR(GETPIVOTDATA("Cuenta de CANT",Tabla9,"PROV",[1]Tablas!$A$76,"SEFIS",AJ$16,"CANT",[1]Tablas!$A36),0)</f>
        <v>0</v>
      </c>
      <c r="AK65" s="15">
        <f ca="1">IFERROR(GETPIVOTDATA("Cuenta de CANT",Tabla9,"PROV",[1]Tablas!$A$76,"SEFIS",AK$16,"CANT",[1]Tablas!$A36),0)</f>
        <v>0</v>
      </c>
      <c r="AL65" s="15">
        <f ca="1">IFERROR(GETPIVOTDATA("Cuenta de CANT",Tabla9,"PROV",[1]Tablas!$A$76,"SEFIS",AL$16,"CANT",[1]Tablas!$A36),0)</f>
        <v>0</v>
      </c>
      <c r="AM65" s="15">
        <f ca="1">IFERROR(GETPIVOTDATA("Cuenta de CANT",Tabla9,"PROV",[1]Tablas!$A$76,"SEFIS",AM$16,"CANT",[1]Tablas!$A36),0)</f>
        <v>0</v>
      </c>
      <c r="AN65" s="15">
        <f ca="1">IFERROR(GETPIVOTDATA("Cuenta de CANT",Tabla9,"PROV",[1]Tablas!$A$76,"SEFIS",AN$16,"CANT",[1]Tablas!$A36),0)</f>
        <v>0</v>
      </c>
      <c r="AO65" s="15">
        <f ca="1">IFERROR(GETPIVOTDATA("Cuenta de CANT",Tabla9,"PROV",[1]Tablas!$A$76,"SEFIS",AO$16,"CANT",[1]Tablas!$A36),0)</f>
        <v>0</v>
      </c>
      <c r="AP65" s="15">
        <f ca="1">IFERROR(GETPIVOTDATA("Cuenta de CANT",Tabla9,"PROV",[1]Tablas!$A$76,"SEFIS",AP$16,"CANT",[1]Tablas!$A36),0)</f>
        <v>0</v>
      </c>
      <c r="AQ65" s="15">
        <f ca="1">IFERROR(GETPIVOTDATA("Cuenta de CANT",Tabla9,"PROV",[1]Tablas!$A$76,"SEFIS",AQ$16,"CANT",[1]Tablas!$A36),0)</f>
        <v>0</v>
      </c>
      <c r="AR65" s="15">
        <f ca="1">IFERROR(GETPIVOTDATA("Cuenta de CANT",Tabla9,"PROV",[1]Tablas!$A$76,"SEFIS",AR$16,"CANT",[1]Tablas!$A36),0)</f>
        <v>0</v>
      </c>
      <c r="AS65" s="15">
        <f ca="1">IFERROR(GETPIVOTDATA("Cuenta de CANT",Tabla9,"PROV",[1]Tablas!$A$76,"SEFIS",AS$16,"CANT",[1]Tablas!$A36),0)</f>
        <v>0</v>
      </c>
      <c r="AT65" s="15">
        <f ca="1">IFERROR(GETPIVOTDATA("Cuenta de CANT",Tabla9,"PROV",[1]Tablas!$A$76,"SEFIS",AT$16,"CANT",[1]Tablas!$A36),0)</f>
        <v>0</v>
      </c>
      <c r="AU65" s="15">
        <f ca="1">IFERROR(GETPIVOTDATA("Cuenta de CANT",Tabla9,"PROV",[1]Tablas!$A$76,"SEFIS",AU$16,"CANT",[1]Tablas!$A36),0)</f>
        <v>0</v>
      </c>
      <c r="AV65" s="15">
        <f ca="1">IFERROR(GETPIVOTDATA("Cuenta de CANT",Tabla9,"PROV",[1]Tablas!$A$76,"SEFIS",AV$16,"CANT",[1]Tablas!$A36),0)</f>
        <v>0</v>
      </c>
      <c r="AW65" s="15">
        <f ca="1">IFERROR(GETPIVOTDATA("Cuenta de CANT",Tabla9,"PROV",[1]Tablas!$A$76,"SEFIS",AW$16,"CANT",[1]Tablas!$A36),0)</f>
        <v>0</v>
      </c>
      <c r="AX65" s="15">
        <f ca="1">IFERROR(GETPIVOTDATA("Cuenta de CANT",Tabla9,"PROV",[1]Tablas!$A$76,"SEFIS",AX$16,"CANT",[1]Tablas!$A36),0)</f>
        <v>0</v>
      </c>
      <c r="AY65" s="15">
        <f ca="1">IFERROR(GETPIVOTDATA("Cuenta de CANT",Tabla9,"PROV",[1]Tablas!$A$76,"SEFIS",AY$16,"CANT",[1]Tablas!$A36),0)</f>
        <v>0</v>
      </c>
      <c r="AZ65" s="15">
        <f ca="1">IFERROR(GETPIVOTDATA("Cuenta de CANT",Tabla9,"PROV",[1]Tablas!$A$76,"SEFIS",AZ$16,"CANT",[1]Tablas!$A36),0)</f>
        <v>0</v>
      </c>
      <c r="BA65" s="15">
        <f ca="1">IFERROR(GETPIVOTDATA("Cuenta de CANT",Tabla9,"PROV",[1]Tablas!$A$76,"SEFIS",BA$16,"CANT",[1]Tablas!$A36),0)</f>
        <v>0</v>
      </c>
      <c r="BB65" s="15">
        <f ca="1">IFERROR(GETPIVOTDATA("Cuenta de CANT",Tabla9,"PROV",[1]Tablas!$A$76,"SEFIS",BB$16,"CANT",[1]Tablas!$A36),0)</f>
        <v>0</v>
      </c>
      <c r="BC65" s="15">
        <f ca="1">IFERROR(GETPIVOTDATA("Cuenta de CANT",Tabla9,"PROV",[1]Tablas!$A$76,"SEFIS",BC$16,"CANT",[1]Tablas!$A36),0)</f>
        <v>0</v>
      </c>
    </row>
    <row r="66" spans="1:55" x14ac:dyDescent="0.35">
      <c r="A66" s="14" t="s">
        <v>60</v>
      </c>
      <c r="B66" s="15">
        <f t="shared" ca="1" si="1"/>
        <v>5</v>
      </c>
      <c r="C66" s="16">
        <f ca="1">IFERROR(B66/[1]Tablas!$B37*100000,"N/D")</f>
        <v>12.008550087662416</v>
      </c>
      <c r="D66" s="15">
        <f ca="1">IFERROR(GETPIVOTDATA("Cuenta de CANT",Tabla9,"PROV",[1]Tablas!$A$76,"SEFIS",D$16,"CANT",[1]Tablas!$A37),0)</f>
        <v>0</v>
      </c>
      <c r="E66" s="15">
        <f ca="1">IFERROR(GETPIVOTDATA("Cuenta de CANT",Tabla9,"PROV",[1]Tablas!$A$76,"SEFIS",E$16,"CANT",[1]Tablas!$A37),0)</f>
        <v>0</v>
      </c>
      <c r="F66" s="15">
        <f ca="1">IFERROR(GETPIVOTDATA("Cuenta de CANT",Tabla9,"PROV",[1]Tablas!$A$76,"SEFIS",F$16,"CANT",[1]Tablas!$A37),0)</f>
        <v>1</v>
      </c>
      <c r="G66" s="15">
        <f ca="1">IFERROR(GETPIVOTDATA("Cuenta de CANT",Tabla9,"PROV",[1]Tablas!$A$76,"SEFIS",G$16,"CANT",[1]Tablas!$A37),0)</f>
        <v>0</v>
      </c>
      <c r="H66" s="15">
        <f ca="1">IFERROR(GETPIVOTDATA("Cuenta de CANT",Tabla9,"PROV",[1]Tablas!$A$76,"SEFIS",H$16,"CANT",[1]Tablas!$A37),0)</f>
        <v>0</v>
      </c>
      <c r="I66" s="15">
        <f ca="1">IFERROR(GETPIVOTDATA("Cuenta de CANT",Tabla9,"PROV",[1]Tablas!$A$76,"SEFIS",I$16,"CANT",[1]Tablas!$A37),0)</f>
        <v>0</v>
      </c>
      <c r="J66" s="15">
        <f ca="1">IFERROR(GETPIVOTDATA("Cuenta de CANT",Tabla9,"PROV",[1]Tablas!$A$76,"SEFIS",J$16,"CANT",[1]Tablas!$A37),0)</f>
        <v>0</v>
      </c>
      <c r="K66" s="15">
        <f ca="1">IFERROR(GETPIVOTDATA("Cuenta de CANT",Tabla9,"PROV",[1]Tablas!$A$76,"SEFIS",K$16,"CANT",[1]Tablas!$A37),0)</f>
        <v>0</v>
      </c>
      <c r="L66" s="15">
        <f ca="1">IFERROR(GETPIVOTDATA("Cuenta de CANT",Tabla9,"PROV",[1]Tablas!$A$76,"SEFIS",L$16,"CANT",[1]Tablas!$A37),0)</f>
        <v>0</v>
      </c>
      <c r="M66" s="15">
        <f ca="1">IFERROR(GETPIVOTDATA("Cuenta de CANT",Tabla9,"PROV",[1]Tablas!$A$76,"SEFIS",M$16,"CANT",[1]Tablas!$A37),0)</f>
        <v>0</v>
      </c>
      <c r="N66" s="15">
        <f ca="1">IFERROR(GETPIVOTDATA("Cuenta de CANT",Tabla9,"PROV",[1]Tablas!$A$76,"SEFIS",N$16,"CANT",[1]Tablas!$A37),0)</f>
        <v>0</v>
      </c>
      <c r="O66" s="15">
        <f ca="1">IFERROR(GETPIVOTDATA("Cuenta de CANT",Tabla9,"PROV",[1]Tablas!$A$76,"SEFIS",O$16,"CANT",[1]Tablas!$A37),0)</f>
        <v>0</v>
      </c>
      <c r="P66" s="15">
        <f ca="1">IFERROR(GETPIVOTDATA("Cuenta de CANT",Tabla9,"PROV",[1]Tablas!$A$76,"SEFIS",P$16,"CANT",[1]Tablas!$A37),0)</f>
        <v>0</v>
      </c>
      <c r="Q66" s="15">
        <f ca="1">IFERROR(GETPIVOTDATA("Cuenta de CANT",Tabla9,"PROV",[1]Tablas!$A$76,"SEFIS",Q$16,"CANT",[1]Tablas!$A37),0)</f>
        <v>0</v>
      </c>
      <c r="R66" s="15">
        <f ca="1">IFERROR(GETPIVOTDATA("Cuenta de CANT",Tabla9,"PROV",[1]Tablas!$A$76,"SEFIS",R$16,"CANT",[1]Tablas!$A37),0)</f>
        <v>0</v>
      </c>
      <c r="S66" s="15">
        <f ca="1">IFERROR(GETPIVOTDATA("Cuenta de CANT",Tabla9,"PROV",[1]Tablas!$A$76,"SEFIS",S$16,"CANT",[1]Tablas!$A37),0)</f>
        <v>0</v>
      </c>
      <c r="T66" s="15">
        <f ca="1">IFERROR(GETPIVOTDATA("Cuenta de CANT",Tabla9,"PROV",[1]Tablas!$A$76,"SEFIS",T$16,"CANT",[1]Tablas!$A37),0)</f>
        <v>0</v>
      </c>
      <c r="U66" s="15">
        <f ca="1">IFERROR(GETPIVOTDATA("Cuenta de CANT",Tabla9,"PROV",[1]Tablas!$A$76,"SEFIS",U$16,"CANT",[1]Tablas!$A37),0)</f>
        <v>0</v>
      </c>
      <c r="V66" s="15">
        <f ca="1">IFERROR(GETPIVOTDATA("Cuenta de CANT",Tabla9,"PROV",[1]Tablas!$A$76,"SEFIS",V$16,"CANT",[1]Tablas!$A37),0)</f>
        <v>0</v>
      </c>
      <c r="W66" s="15">
        <f ca="1">IFERROR(GETPIVOTDATA("Cuenta de CANT",Tabla9,"PROV",[1]Tablas!$A$76,"SEFIS",W$16,"CANT",[1]Tablas!$A37),0)</f>
        <v>0</v>
      </c>
      <c r="X66" s="15">
        <f ca="1">IFERROR(GETPIVOTDATA("Cuenta de CANT",Tabla9,"PROV",[1]Tablas!$A$76,"SEFIS",X$16,"CANT",[1]Tablas!$A37),0)</f>
        <v>0</v>
      </c>
      <c r="Y66" s="15">
        <f ca="1">IFERROR(GETPIVOTDATA("Cuenta de CANT",Tabla9,"PROV",[1]Tablas!$A$76,"SEFIS",Y$16,"CANT",[1]Tablas!$A37),0)</f>
        <v>0</v>
      </c>
      <c r="Z66" s="15">
        <f ca="1">IFERROR(GETPIVOTDATA("Cuenta de CANT",Tabla9,"PROV",[1]Tablas!$A$76,"SEFIS",Z$16,"CANT",[1]Tablas!$A37),0)</f>
        <v>0</v>
      </c>
      <c r="AA66" s="15">
        <f ca="1">IFERROR(GETPIVOTDATA("Cuenta de CANT",Tabla9,"PROV",[1]Tablas!$A$76,"SEFIS",AA$16,"CANT",[1]Tablas!$A37),0)</f>
        <v>0</v>
      </c>
      <c r="AB66" s="15">
        <f ca="1">IFERROR(GETPIVOTDATA("Cuenta de CANT",Tabla9,"PROV",[1]Tablas!$A$76,"SEFIS",AB$16,"CANT",[1]Tablas!$A37),0)</f>
        <v>0</v>
      </c>
      <c r="AC66" s="15">
        <f ca="1">IFERROR(GETPIVOTDATA("Cuenta de CANT",Tabla9,"PROV",[1]Tablas!$A$76,"SEFIS",AC$16,"CANT",[1]Tablas!$A37),0)</f>
        <v>0</v>
      </c>
      <c r="AD66" s="15">
        <f ca="1">IFERROR(GETPIVOTDATA("Cuenta de CANT",Tabla9,"PROV",[1]Tablas!$A$76,"SEFIS",AD$16,"CANT",[1]Tablas!$A37),0)</f>
        <v>0</v>
      </c>
      <c r="AE66" s="15">
        <f ca="1">IFERROR(GETPIVOTDATA("Cuenta de CANT",Tabla9,"PROV",[1]Tablas!$A$76,"SEFIS",AE$16,"CANT",[1]Tablas!$A37),0)</f>
        <v>0</v>
      </c>
      <c r="AF66" s="15">
        <f ca="1">IFERROR(GETPIVOTDATA("Cuenta de CANT",Tabla9,"PROV",[1]Tablas!$A$76,"SEFIS",AF$16,"CANT",[1]Tablas!$A37),0)</f>
        <v>0</v>
      </c>
      <c r="AG66" s="15">
        <f ca="1">IFERROR(GETPIVOTDATA("Cuenta de CANT",Tabla9,"PROV",[1]Tablas!$A$76,"SEFIS",AG$16,"CANT",[1]Tablas!$A37),0)</f>
        <v>0</v>
      </c>
      <c r="AH66" s="15">
        <f ca="1">IFERROR(GETPIVOTDATA("Cuenta de CANT",Tabla9,"PROV",[1]Tablas!$A$76,"SEFIS",AH$16,"CANT",[1]Tablas!$A37),0)</f>
        <v>0</v>
      </c>
      <c r="AI66" s="15">
        <f ca="1">IFERROR(GETPIVOTDATA("Cuenta de CANT",Tabla9,"PROV",[1]Tablas!$A$76,"SEFIS",AI$16,"CANT",[1]Tablas!$A37),0)</f>
        <v>0</v>
      </c>
      <c r="AJ66" s="15">
        <f ca="1">IFERROR(GETPIVOTDATA("Cuenta de CANT",Tabla9,"PROV",[1]Tablas!$A$76,"SEFIS",AJ$16,"CANT",[1]Tablas!$A37),0)</f>
        <v>0</v>
      </c>
      <c r="AK66" s="15">
        <f ca="1">IFERROR(GETPIVOTDATA("Cuenta de CANT",Tabla9,"PROV",[1]Tablas!$A$76,"SEFIS",AK$16,"CANT",[1]Tablas!$A37),0)</f>
        <v>0</v>
      </c>
      <c r="AL66" s="15">
        <f ca="1">IFERROR(GETPIVOTDATA("Cuenta de CANT",Tabla9,"PROV",[1]Tablas!$A$76,"SEFIS",AL$16,"CANT",[1]Tablas!$A37),0)</f>
        <v>0</v>
      </c>
      <c r="AM66" s="15">
        <f ca="1">IFERROR(GETPIVOTDATA("Cuenta de CANT",Tabla9,"PROV",[1]Tablas!$A$76,"SEFIS",AM$16,"CANT",[1]Tablas!$A37),0)</f>
        <v>0</v>
      </c>
      <c r="AN66" s="15">
        <f ca="1">IFERROR(GETPIVOTDATA("Cuenta de CANT",Tabla9,"PROV",[1]Tablas!$A$76,"SEFIS",AN$16,"CANT",[1]Tablas!$A37),0)</f>
        <v>0</v>
      </c>
      <c r="AO66" s="15">
        <f ca="1">IFERROR(GETPIVOTDATA("Cuenta de CANT",Tabla9,"PROV",[1]Tablas!$A$76,"SEFIS",AO$16,"CANT",[1]Tablas!$A37),0)</f>
        <v>1</v>
      </c>
      <c r="AP66" s="15">
        <f ca="1">IFERROR(GETPIVOTDATA("Cuenta de CANT",Tabla9,"PROV",[1]Tablas!$A$76,"SEFIS",AP$16,"CANT",[1]Tablas!$A37),0)</f>
        <v>0</v>
      </c>
      <c r="AQ66" s="15">
        <f ca="1">IFERROR(GETPIVOTDATA("Cuenta de CANT",Tabla9,"PROV",[1]Tablas!$A$76,"SEFIS",AQ$16,"CANT",[1]Tablas!$A37),0)</f>
        <v>0</v>
      </c>
      <c r="AR66" s="15">
        <f ca="1">IFERROR(GETPIVOTDATA("Cuenta de CANT",Tabla9,"PROV",[1]Tablas!$A$76,"SEFIS",AR$16,"CANT",[1]Tablas!$A37),0)</f>
        <v>0</v>
      </c>
      <c r="AS66" s="15">
        <f ca="1">IFERROR(GETPIVOTDATA("Cuenta de CANT",Tabla9,"PROV",[1]Tablas!$A$76,"SEFIS",AS$16,"CANT",[1]Tablas!$A37),0)</f>
        <v>0</v>
      </c>
      <c r="AT66" s="15">
        <f ca="1">IFERROR(GETPIVOTDATA("Cuenta de CANT",Tabla9,"PROV",[1]Tablas!$A$76,"SEFIS",AT$16,"CANT",[1]Tablas!$A37),0)</f>
        <v>1</v>
      </c>
      <c r="AU66" s="15">
        <f ca="1">IFERROR(GETPIVOTDATA("Cuenta de CANT",Tabla9,"PROV",[1]Tablas!$A$76,"SEFIS",AU$16,"CANT",[1]Tablas!$A37),0)</f>
        <v>1</v>
      </c>
      <c r="AV66" s="15">
        <f ca="1">IFERROR(GETPIVOTDATA("Cuenta de CANT",Tabla9,"PROV",[1]Tablas!$A$76,"SEFIS",AV$16,"CANT",[1]Tablas!$A37),0)</f>
        <v>1</v>
      </c>
      <c r="AW66" s="15">
        <f ca="1">IFERROR(GETPIVOTDATA("Cuenta de CANT",Tabla9,"PROV",[1]Tablas!$A$76,"SEFIS",AW$16,"CANT",[1]Tablas!$A37),0)</f>
        <v>0</v>
      </c>
      <c r="AX66" s="15">
        <f ca="1">IFERROR(GETPIVOTDATA("Cuenta de CANT",Tabla9,"PROV",[1]Tablas!$A$76,"SEFIS",AX$16,"CANT",[1]Tablas!$A37),0)</f>
        <v>0</v>
      </c>
      <c r="AY66" s="15">
        <f ca="1">IFERROR(GETPIVOTDATA("Cuenta de CANT",Tabla9,"PROV",[1]Tablas!$A$76,"SEFIS",AY$16,"CANT",[1]Tablas!$A37),0)</f>
        <v>0</v>
      </c>
      <c r="AZ66" s="15">
        <f ca="1">IFERROR(GETPIVOTDATA("Cuenta de CANT",Tabla9,"PROV",[1]Tablas!$A$76,"SEFIS",AZ$16,"CANT",[1]Tablas!$A37),0)</f>
        <v>0</v>
      </c>
      <c r="BA66" s="15">
        <f ca="1">IFERROR(GETPIVOTDATA("Cuenta de CANT",Tabla9,"PROV",[1]Tablas!$A$76,"SEFIS",BA$16,"CANT",[1]Tablas!$A37),0)</f>
        <v>0</v>
      </c>
      <c r="BB66" s="15">
        <f ca="1">IFERROR(GETPIVOTDATA("Cuenta de CANT",Tabla9,"PROV",[1]Tablas!$A$76,"SEFIS",BB$16,"CANT",[1]Tablas!$A37),0)</f>
        <v>0</v>
      </c>
      <c r="BC66" s="15">
        <f ca="1">IFERROR(GETPIVOTDATA("Cuenta de CANT",Tabla9,"PROV",[1]Tablas!$A$76,"SEFIS",BC$16,"CANT",[1]Tablas!$A37),0)</f>
        <v>0</v>
      </c>
    </row>
    <row r="67" spans="1:55" x14ac:dyDescent="0.35">
      <c r="A67" s="14" t="s">
        <v>61</v>
      </c>
      <c r="B67" s="15">
        <f t="shared" ca="1" si="1"/>
        <v>4</v>
      </c>
      <c r="C67" s="16">
        <f ca="1">IFERROR(B67/[1]Tablas!$B38*100000,"N/D")</f>
        <v>7.4210125971688834</v>
      </c>
      <c r="D67" s="15">
        <f ca="1">IFERROR(GETPIVOTDATA("Cuenta de CANT",Tabla9,"PROV",[1]Tablas!$A$76,"SEFIS",D$16,"CANT",[1]Tablas!$A38),0)</f>
        <v>0</v>
      </c>
      <c r="E67" s="15">
        <f ca="1">IFERROR(GETPIVOTDATA("Cuenta de CANT",Tabla9,"PROV",[1]Tablas!$A$76,"SEFIS",E$16,"CANT",[1]Tablas!$A38),0)</f>
        <v>0</v>
      </c>
      <c r="F67" s="15">
        <f ca="1">IFERROR(GETPIVOTDATA("Cuenta de CANT",Tabla9,"PROV",[1]Tablas!$A$76,"SEFIS",F$16,"CANT",[1]Tablas!$A38),0)</f>
        <v>0</v>
      </c>
      <c r="G67" s="15">
        <f ca="1">IFERROR(GETPIVOTDATA("Cuenta de CANT",Tabla9,"PROV",[1]Tablas!$A$76,"SEFIS",G$16,"CANT",[1]Tablas!$A38),0)</f>
        <v>0</v>
      </c>
      <c r="H67" s="15">
        <f ca="1">IFERROR(GETPIVOTDATA("Cuenta de CANT",Tabla9,"PROV",[1]Tablas!$A$76,"SEFIS",H$16,"CANT",[1]Tablas!$A38),0)</f>
        <v>0</v>
      </c>
      <c r="I67" s="15">
        <f ca="1">IFERROR(GETPIVOTDATA("Cuenta de CANT",Tabla9,"PROV",[1]Tablas!$A$76,"SEFIS",I$16,"CANT",[1]Tablas!$A38),0)</f>
        <v>0</v>
      </c>
      <c r="J67" s="15">
        <f ca="1">IFERROR(GETPIVOTDATA("Cuenta de CANT",Tabla9,"PROV",[1]Tablas!$A$76,"SEFIS",J$16,"CANT",[1]Tablas!$A38),0)</f>
        <v>0</v>
      </c>
      <c r="K67" s="15">
        <f ca="1">IFERROR(GETPIVOTDATA("Cuenta de CANT",Tabla9,"PROV",[1]Tablas!$A$76,"SEFIS",K$16,"CANT",[1]Tablas!$A38),0)</f>
        <v>0</v>
      </c>
      <c r="L67" s="15">
        <f ca="1">IFERROR(GETPIVOTDATA("Cuenta de CANT",Tabla9,"PROV",[1]Tablas!$A$76,"SEFIS",L$16,"CANT",[1]Tablas!$A38),0)</f>
        <v>0</v>
      </c>
      <c r="M67" s="15">
        <f ca="1">IFERROR(GETPIVOTDATA("Cuenta de CANT",Tabla9,"PROV",[1]Tablas!$A$76,"SEFIS",M$16,"CANT",[1]Tablas!$A38),0)</f>
        <v>0</v>
      </c>
      <c r="N67" s="15">
        <f ca="1">IFERROR(GETPIVOTDATA("Cuenta de CANT",Tabla9,"PROV",[1]Tablas!$A$76,"SEFIS",N$16,"CANT",[1]Tablas!$A38),0)</f>
        <v>0</v>
      </c>
      <c r="O67" s="15">
        <f ca="1">IFERROR(GETPIVOTDATA("Cuenta de CANT",Tabla9,"PROV",[1]Tablas!$A$76,"SEFIS",O$16,"CANT",[1]Tablas!$A38),0)</f>
        <v>0</v>
      </c>
      <c r="P67" s="15">
        <f ca="1">IFERROR(GETPIVOTDATA("Cuenta de CANT",Tabla9,"PROV",[1]Tablas!$A$76,"SEFIS",P$16,"CANT",[1]Tablas!$A38),0)</f>
        <v>0</v>
      </c>
      <c r="Q67" s="15">
        <f ca="1">IFERROR(GETPIVOTDATA("Cuenta de CANT",Tabla9,"PROV",[1]Tablas!$A$76,"SEFIS",Q$16,"CANT",[1]Tablas!$A38),0)</f>
        <v>0</v>
      </c>
      <c r="R67" s="15">
        <f ca="1">IFERROR(GETPIVOTDATA("Cuenta de CANT",Tabla9,"PROV",[1]Tablas!$A$76,"SEFIS",R$16,"CANT",[1]Tablas!$A38),0)</f>
        <v>0</v>
      </c>
      <c r="S67" s="15">
        <f ca="1">IFERROR(GETPIVOTDATA("Cuenta de CANT",Tabla9,"PROV",[1]Tablas!$A$76,"SEFIS",S$16,"CANT",[1]Tablas!$A38),0)</f>
        <v>0</v>
      </c>
      <c r="T67" s="15">
        <f ca="1">IFERROR(GETPIVOTDATA("Cuenta de CANT",Tabla9,"PROV",[1]Tablas!$A$76,"SEFIS",T$16,"CANT",[1]Tablas!$A38),0)</f>
        <v>0</v>
      </c>
      <c r="U67" s="15">
        <f ca="1">IFERROR(GETPIVOTDATA("Cuenta de CANT",Tabla9,"PROV",[1]Tablas!$A$76,"SEFIS",U$16,"CANT",[1]Tablas!$A38),0)</f>
        <v>0</v>
      </c>
      <c r="V67" s="15">
        <f ca="1">IFERROR(GETPIVOTDATA("Cuenta de CANT",Tabla9,"PROV",[1]Tablas!$A$76,"SEFIS",V$16,"CANT",[1]Tablas!$A38),0)</f>
        <v>0</v>
      </c>
      <c r="W67" s="15">
        <f ca="1">IFERROR(GETPIVOTDATA("Cuenta de CANT",Tabla9,"PROV",[1]Tablas!$A$76,"SEFIS",W$16,"CANT",[1]Tablas!$A38),0)</f>
        <v>0</v>
      </c>
      <c r="X67" s="15">
        <f ca="1">IFERROR(GETPIVOTDATA("Cuenta de CANT",Tabla9,"PROV",[1]Tablas!$A$76,"SEFIS",X$16,"CANT",[1]Tablas!$A38),0)</f>
        <v>0</v>
      </c>
      <c r="Y67" s="15">
        <f ca="1">IFERROR(GETPIVOTDATA("Cuenta de CANT",Tabla9,"PROV",[1]Tablas!$A$76,"SEFIS",Y$16,"CANT",[1]Tablas!$A38),0)</f>
        <v>0</v>
      </c>
      <c r="Z67" s="15">
        <f ca="1">IFERROR(GETPIVOTDATA("Cuenta de CANT",Tabla9,"PROV",[1]Tablas!$A$76,"SEFIS",Z$16,"CANT",[1]Tablas!$A38),0)</f>
        <v>0</v>
      </c>
      <c r="AA67" s="15">
        <f ca="1">IFERROR(GETPIVOTDATA("Cuenta de CANT",Tabla9,"PROV",[1]Tablas!$A$76,"SEFIS",AA$16,"CANT",[1]Tablas!$A38),0)</f>
        <v>0</v>
      </c>
      <c r="AB67" s="15">
        <f ca="1">IFERROR(GETPIVOTDATA("Cuenta de CANT",Tabla9,"PROV",[1]Tablas!$A$76,"SEFIS",AB$16,"CANT",[1]Tablas!$A38),0)</f>
        <v>1</v>
      </c>
      <c r="AC67" s="15">
        <f ca="1">IFERROR(GETPIVOTDATA("Cuenta de CANT",Tabla9,"PROV",[1]Tablas!$A$76,"SEFIS",AC$16,"CANT",[1]Tablas!$A38),0)</f>
        <v>2</v>
      </c>
      <c r="AD67" s="15">
        <f ca="1">IFERROR(GETPIVOTDATA("Cuenta de CANT",Tabla9,"PROV",[1]Tablas!$A$76,"SEFIS",AD$16,"CANT",[1]Tablas!$A38),0)</f>
        <v>0</v>
      </c>
      <c r="AE67" s="15">
        <f ca="1">IFERROR(GETPIVOTDATA("Cuenta de CANT",Tabla9,"PROV",[1]Tablas!$A$76,"SEFIS",AE$16,"CANT",[1]Tablas!$A38),0)</f>
        <v>0</v>
      </c>
      <c r="AF67" s="15">
        <f ca="1">IFERROR(GETPIVOTDATA("Cuenta de CANT",Tabla9,"PROV",[1]Tablas!$A$76,"SEFIS",AF$16,"CANT",[1]Tablas!$A38),0)</f>
        <v>0</v>
      </c>
      <c r="AG67" s="15">
        <f ca="1">IFERROR(GETPIVOTDATA("Cuenta de CANT",Tabla9,"PROV",[1]Tablas!$A$76,"SEFIS",AG$16,"CANT",[1]Tablas!$A38),0)</f>
        <v>0</v>
      </c>
      <c r="AH67" s="15">
        <f ca="1">IFERROR(GETPIVOTDATA("Cuenta de CANT",Tabla9,"PROV",[1]Tablas!$A$76,"SEFIS",AH$16,"CANT",[1]Tablas!$A38),0)</f>
        <v>0</v>
      </c>
      <c r="AI67" s="15">
        <f ca="1">IFERROR(GETPIVOTDATA("Cuenta de CANT",Tabla9,"PROV",[1]Tablas!$A$76,"SEFIS",AI$16,"CANT",[1]Tablas!$A38),0)</f>
        <v>0</v>
      </c>
      <c r="AJ67" s="15">
        <f ca="1">IFERROR(GETPIVOTDATA("Cuenta de CANT",Tabla9,"PROV",[1]Tablas!$A$76,"SEFIS",AJ$16,"CANT",[1]Tablas!$A38),0)</f>
        <v>0</v>
      </c>
      <c r="AK67" s="15">
        <f ca="1">IFERROR(GETPIVOTDATA("Cuenta de CANT",Tabla9,"PROV",[1]Tablas!$A$76,"SEFIS",AK$16,"CANT",[1]Tablas!$A38),0)</f>
        <v>0</v>
      </c>
      <c r="AL67" s="15">
        <f ca="1">IFERROR(GETPIVOTDATA("Cuenta de CANT",Tabla9,"PROV",[1]Tablas!$A$76,"SEFIS",AL$16,"CANT",[1]Tablas!$A38),0)</f>
        <v>0</v>
      </c>
      <c r="AM67" s="15">
        <f ca="1">IFERROR(GETPIVOTDATA("Cuenta de CANT",Tabla9,"PROV",[1]Tablas!$A$76,"SEFIS",AM$16,"CANT",[1]Tablas!$A38),0)</f>
        <v>0</v>
      </c>
      <c r="AN67" s="15">
        <f ca="1">IFERROR(GETPIVOTDATA("Cuenta de CANT",Tabla9,"PROV",[1]Tablas!$A$76,"SEFIS",AN$16,"CANT",[1]Tablas!$A38),0)</f>
        <v>0</v>
      </c>
      <c r="AO67" s="15">
        <f ca="1">IFERROR(GETPIVOTDATA("Cuenta de CANT",Tabla9,"PROV",[1]Tablas!$A$76,"SEFIS",AO$16,"CANT",[1]Tablas!$A38),0)</f>
        <v>0</v>
      </c>
      <c r="AP67" s="15">
        <f ca="1">IFERROR(GETPIVOTDATA("Cuenta de CANT",Tabla9,"PROV",[1]Tablas!$A$76,"SEFIS",AP$16,"CANT",[1]Tablas!$A38),0)</f>
        <v>1</v>
      </c>
      <c r="AQ67" s="15">
        <f ca="1">IFERROR(GETPIVOTDATA("Cuenta de CANT",Tabla9,"PROV",[1]Tablas!$A$76,"SEFIS",AQ$16,"CANT",[1]Tablas!$A38),0)</f>
        <v>0</v>
      </c>
      <c r="AR67" s="15">
        <f ca="1">IFERROR(GETPIVOTDATA("Cuenta de CANT",Tabla9,"PROV",[1]Tablas!$A$76,"SEFIS",AR$16,"CANT",[1]Tablas!$A38),0)</f>
        <v>0</v>
      </c>
      <c r="AS67" s="15">
        <f ca="1">IFERROR(GETPIVOTDATA("Cuenta de CANT",Tabla9,"PROV",[1]Tablas!$A$76,"SEFIS",AS$16,"CANT",[1]Tablas!$A38),0)</f>
        <v>0</v>
      </c>
      <c r="AT67" s="15">
        <f ca="1">IFERROR(GETPIVOTDATA("Cuenta de CANT",Tabla9,"PROV",[1]Tablas!$A$76,"SEFIS",AT$16,"CANT",[1]Tablas!$A38),0)</f>
        <v>0</v>
      </c>
      <c r="AU67" s="15">
        <f ca="1">IFERROR(GETPIVOTDATA("Cuenta de CANT",Tabla9,"PROV",[1]Tablas!$A$76,"SEFIS",AU$16,"CANT",[1]Tablas!$A38),0)</f>
        <v>0</v>
      </c>
      <c r="AV67" s="15">
        <f ca="1">IFERROR(GETPIVOTDATA("Cuenta de CANT",Tabla9,"PROV",[1]Tablas!$A$76,"SEFIS",AV$16,"CANT",[1]Tablas!$A38),0)</f>
        <v>0</v>
      </c>
      <c r="AW67" s="15">
        <f ca="1">IFERROR(GETPIVOTDATA("Cuenta de CANT",Tabla9,"PROV",[1]Tablas!$A$76,"SEFIS",AW$16,"CANT",[1]Tablas!$A38),0)</f>
        <v>0</v>
      </c>
      <c r="AX67" s="15">
        <f ca="1">IFERROR(GETPIVOTDATA("Cuenta de CANT",Tabla9,"PROV",[1]Tablas!$A$76,"SEFIS",AX$16,"CANT",[1]Tablas!$A38),0)</f>
        <v>0</v>
      </c>
      <c r="AY67" s="15">
        <f ca="1">IFERROR(GETPIVOTDATA("Cuenta de CANT",Tabla9,"PROV",[1]Tablas!$A$76,"SEFIS",AY$16,"CANT",[1]Tablas!$A38),0)</f>
        <v>0</v>
      </c>
      <c r="AZ67" s="15">
        <f ca="1">IFERROR(GETPIVOTDATA("Cuenta de CANT",Tabla9,"PROV",[1]Tablas!$A$76,"SEFIS",AZ$16,"CANT",[1]Tablas!$A38),0)</f>
        <v>0</v>
      </c>
      <c r="BA67" s="15">
        <f ca="1">IFERROR(GETPIVOTDATA("Cuenta de CANT",Tabla9,"PROV",[1]Tablas!$A$76,"SEFIS",BA$16,"CANT",[1]Tablas!$A38),0)</f>
        <v>0</v>
      </c>
      <c r="BB67" s="15">
        <f ca="1">IFERROR(GETPIVOTDATA("Cuenta de CANT",Tabla9,"PROV",[1]Tablas!$A$76,"SEFIS",BB$16,"CANT",[1]Tablas!$A38),0)</f>
        <v>0</v>
      </c>
      <c r="BC67" s="15">
        <f ca="1">IFERROR(GETPIVOTDATA("Cuenta de CANT",Tabla9,"PROV",[1]Tablas!$A$76,"SEFIS",BC$16,"CANT",[1]Tablas!$A38),0)</f>
        <v>0</v>
      </c>
    </row>
    <row r="68" spans="1:55" x14ac:dyDescent="0.35">
      <c r="A68" s="14" t="s">
        <v>62</v>
      </c>
      <c r="B68" s="15">
        <f t="shared" ca="1" si="1"/>
        <v>1</v>
      </c>
      <c r="C68" s="16">
        <f ca="1">IFERROR(B68/[1]Tablas!$B39*100000,"N/D")</f>
        <v>4.3948316779467351</v>
      </c>
      <c r="D68" s="15">
        <f ca="1">IFERROR(GETPIVOTDATA("Cuenta de CANT",Tabla9,"PROV",[1]Tablas!$A$76,"SEFIS",D$16,"CANT",[1]Tablas!$A39),0)</f>
        <v>0</v>
      </c>
      <c r="E68" s="15">
        <f ca="1">IFERROR(GETPIVOTDATA("Cuenta de CANT",Tabla9,"PROV",[1]Tablas!$A$76,"SEFIS",E$16,"CANT",[1]Tablas!$A39),0)</f>
        <v>0</v>
      </c>
      <c r="F68" s="15">
        <f ca="1">IFERROR(GETPIVOTDATA("Cuenta de CANT",Tabla9,"PROV",[1]Tablas!$A$76,"SEFIS",F$16,"CANT",[1]Tablas!$A39),0)</f>
        <v>0</v>
      </c>
      <c r="G68" s="15">
        <f ca="1">IFERROR(GETPIVOTDATA("Cuenta de CANT",Tabla9,"PROV",[1]Tablas!$A$76,"SEFIS",G$16,"CANT",[1]Tablas!$A39),0)</f>
        <v>0</v>
      </c>
      <c r="H68" s="15">
        <f ca="1">IFERROR(GETPIVOTDATA("Cuenta de CANT",Tabla9,"PROV",[1]Tablas!$A$76,"SEFIS",H$16,"CANT",[1]Tablas!$A39),0)</f>
        <v>0</v>
      </c>
      <c r="I68" s="15">
        <f ca="1">IFERROR(GETPIVOTDATA("Cuenta de CANT",Tabla9,"PROV",[1]Tablas!$A$76,"SEFIS",I$16,"CANT",[1]Tablas!$A39),0)</f>
        <v>0</v>
      </c>
      <c r="J68" s="15">
        <f ca="1">IFERROR(GETPIVOTDATA("Cuenta de CANT",Tabla9,"PROV",[1]Tablas!$A$76,"SEFIS",J$16,"CANT",[1]Tablas!$A39),0)</f>
        <v>0</v>
      </c>
      <c r="K68" s="15">
        <f ca="1">IFERROR(GETPIVOTDATA("Cuenta de CANT",Tabla9,"PROV",[1]Tablas!$A$76,"SEFIS",K$16,"CANT",[1]Tablas!$A39),0)</f>
        <v>0</v>
      </c>
      <c r="L68" s="15">
        <f ca="1">IFERROR(GETPIVOTDATA("Cuenta de CANT",Tabla9,"PROV",[1]Tablas!$A$76,"SEFIS",L$16,"CANT",[1]Tablas!$A39),0)</f>
        <v>0</v>
      </c>
      <c r="M68" s="15">
        <f ca="1">IFERROR(GETPIVOTDATA("Cuenta de CANT",Tabla9,"PROV",[1]Tablas!$A$76,"SEFIS",M$16,"CANT",[1]Tablas!$A39),0)</f>
        <v>0</v>
      </c>
      <c r="N68" s="15">
        <f ca="1">IFERROR(GETPIVOTDATA("Cuenta de CANT",Tabla9,"PROV",[1]Tablas!$A$76,"SEFIS",N$16,"CANT",[1]Tablas!$A39),0)</f>
        <v>0</v>
      </c>
      <c r="O68" s="15">
        <f ca="1">IFERROR(GETPIVOTDATA("Cuenta de CANT",Tabla9,"PROV",[1]Tablas!$A$76,"SEFIS",O$16,"CANT",[1]Tablas!$A39),0)</f>
        <v>0</v>
      </c>
      <c r="P68" s="15">
        <f ca="1">IFERROR(GETPIVOTDATA("Cuenta de CANT",Tabla9,"PROV",[1]Tablas!$A$76,"SEFIS",P$16,"CANT",[1]Tablas!$A39),0)</f>
        <v>0</v>
      </c>
      <c r="Q68" s="15">
        <f ca="1">IFERROR(GETPIVOTDATA("Cuenta de CANT",Tabla9,"PROV",[1]Tablas!$A$76,"SEFIS",Q$16,"CANT",[1]Tablas!$A39),0)</f>
        <v>0</v>
      </c>
      <c r="R68" s="15">
        <f ca="1">IFERROR(GETPIVOTDATA("Cuenta de CANT",Tabla9,"PROV",[1]Tablas!$A$76,"SEFIS",R$16,"CANT",[1]Tablas!$A39),0)</f>
        <v>0</v>
      </c>
      <c r="S68" s="15">
        <f ca="1">IFERROR(GETPIVOTDATA("Cuenta de CANT",Tabla9,"PROV",[1]Tablas!$A$76,"SEFIS",S$16,"CANT",[1]Tablas!$A39),0)</f>
        <v>0</v>
      </c>
      <c r="T68" s="15">
        <f ca="1">IFERROR(GETPIVOTDATA("Cuenta de CANT",Tabla9,"PROV",[1]Tablas!$A$76,"SEFIS",T$16,"CANT",[1]Tablas!$A39),0)</f>
        <v>0</v>
      </c>
      <c r="U68" s="15">
        <f ca="1">IFERROR(GETPIVOTDATA("Cuenta de CANT",Tabla9,"PROV",[1]Tablas!$A$76,"SEFIS",U$16,"CANT",[1]Tablas!$A39),0)</f>
        <v>0</v>
      </c>
      <c r="V68" s="15">
        <f ca="1">IFERROR(GETPIVOTDATA("Cuenta de CANT",Tabla9,"PROV",[1]Tablas!$A$76,"SEFIS",V$16,"CANT",[1]Tablas!$A39),0)</f>
        <v>0</v>
      </c>
      <c r="W68" s="15">
        <f ca="1">IFERROR(GETPIVOTDATA("Cuenta de CANT",Tabla9,"PROV",[1]Tablas!$A$76,"SEFIS",W$16,"CANT",[1]Tablas!$A39),0)</f>
        <v>0</v>
      </c>
      <c r="X68" s="15">
        <f ca="1">IFERROR(GETPIVOTDATA("Cuenta de CANT",Tabla9,"PROV",[1]Tablas!$A$76,"SEFIS",X$16,"CANT",[1]Tablas!$A39),0)</f>
        <v>0</v>
      </c>
      <c r="Y68" s="15">
        <f ca="1">IFERROR(GETPIVOTDATA("Cuenta de CANT",Tabla9,"PROV",[1]Tablas!$A$76,"SEFIS",Y$16,"CANT",[1]Tablas!$A39),0)</f>
        <v>0</v>
      </c>
      <c r="Z68" s="15">
        <f ca="1">IFERROR(GETPIVOTDATA("Cuenta de CANT",Tabla9,"PROV",[1]Tablas!$A$76,"SEFIS",Z$16,"CANT",[1]Tablas!$A39),0)</f>
        <v>0</v>
      </c>
      <c r="AA68" s="15">
        <f ca="1">IFERROR(GETPIVOTDATA("Cuenta de CANT",Tabla9,"PROV",[1]Tablas!$A$76,"SEFIS",AA$16,"CANT",[1]Tablas!$A39),0)</f>
        <v>0</v>
      </c>
      <c r="AB68" s="15">
        <f ca="1">IFERROR(GETPIVOTDATA("Cuenta de CANT",Tabla9,"PROV",[1]Tablas!$A$76,"SEFIS",AB$16,"CANT",[1]Tablas!$A39),0)</f>
        <v>0</v>
      </c>
      <c r="AC68" s="15">
        <f ca="1">IFERROR(GETPIVOTDATA("Cuenta de CANT",Tabla9,"PROV",[1]Tablas!$A$76,"SEFIS",AC$16,"CANT",[1]Tablas!$A39),0)</f>
        <v>0</v>
      </c>
      <c r="AD68" s="15">
        <f ca="1">IFERROR(GETPIVOTDATA("Cuenta de CANT",Tabla9,"PROV",[1]Tablas!$A$76,"SEFIS",AD$16,"CANT",[1]Tablas!$A39),0)</f>
        <v>0</v>
      </c>
      <c r="AE68" s="15">
        <f ca="1">IFERROR(GETPIVOTDATA("Cuenta de CANT",Tabla9,"PROV",[1]Tablas!$A$76,"SEFIS",AE$16,"CANT",[1]Tablas!$A39),0)</f>
        <v>0</v>
      </c>
      <c r="AF68" s="15">
        <f ca="1">IFERROR(GETPIVOTDATA("Cuenta de CANT",Tabla9,"PROV",[1]Tablas!$A$76,"SEFIS",AF$16,"CANT",[1]Tablas!$A39),0)</f>
        <v>0</v>
      </c>
      <c r="AG68" s="15">
        <f ca="1">IFERROR(GETPIVOTDATA("Cuenta de CANT",Tabla9,"PROV",[1]Tablas!$A$76,"SEFIS",AG$16,"CANT",[1]Tablas!$A39),0)</f>
        <v>0</v>
      </c>
      <c r="AH68" s="15">
        <f ca="1">IFERROR(GETPIVOTDATA("Cuenta de CANT",Tabla9,"PROV",[1]Tablas!$A$76,"SEFIS",AH$16,"CANT",[1]Tablas!$A39),0)</f>
        <v>0</v>
      </c>
      <c r="AI68" s="15">
        <f ca="1">IFERROR(GETPIVOTDATA("Cuenta de CANT",Tabla9,"PROV",[1]Tablas!$A$76,"SEFIS",AI$16,"CANT",[1]Tablas!$A39),0)</f>
        <v>0</v>
      </c>
      <c r="AJ68" s="15">
        <f ca="1">IFERROR(GETPIVOTDATA("Cuenta de CANT",Tabla9,"PROV",[1]Tablas!$A$76,"SEFIS",AJ$16,"CANT",[1]Tablas!$A39),0)</f>
        <v>0</v>
      </c>
      <c r="AK68" s="15">
        <f ca="1">IFERROR(GETPIVOTDATA("Cuenta de CANT",Tabla9,"PROV",[1]Tablas!$A$76,"SEFIS",AK$16,"CANT",[1]Tablas!$A39),0)</f>
        <v>0</v>
      </c>
      <c r="AL68" s="15">
        <f ca="1">IFERROR(GETPIVOTDATA("Cuenta de CANT",Tabla9,"PROV",[1]Tablas!$A$76,"SEFIS",AL$16,"CANT",[1]Tablas!$A39),0)</f>
        <v>0</v>
      </c>
      <c r="AM68" s="15">
        <f ca="1">IFERROR(GETPIVOTDATA("Cuenta de CANT",Tabla9,"PROV",[1]Tablas!$A$76,"SEFIS",AM$16,"CANT",[1]Tablas!$A39),0)</f>
        <v>1</v>
      </c>
      <c r="AN68" s="15">
        <f ca="1">IFERROR(GETPIVOTDATA("Cuenta de CANT",Tabla9,"PROV",[1]Tablas!$A$76,"SEFIS",AN$16,"CANT",[1]Tablas!$A39),0)</f>
        <v>0</v>
      </c>
      <c r="AO68" s="15">
        <f ca="1">IFERROR(GETPIVOTDATA("Cuenta de CANT",Tabla9,"PROV",[1]Tablas!$A$76,"SEFIS",AO$16,"CANT",[1]Tablas!$A39),0)</f>
        <v>0</v>
      </c>
      <c r="AP68" s="15">
        <f ca="1">IFERROR(GETPIVOTDATA("Cuenta de CANT",Tabla9,"PROV",[1]Tablas!$A$76,"SEFIS",AP$16,"CANT",[1]Tablas!$A39),0)</f>
        <v>0</v>
      </c>
      <c r="AQ68" s="15">
        <f ca="1">IFERROR(GETPIVOTDATA("Cuenta de CANT",Tabla9,"PROV",[1]Tablas!$A$76,"SEFIS",AQ$16,"CANT",[1]Tablas!$A39),0)</f>
        <v>0</v>
      </c>
      <c r="AR68" s="15">
        <f ca="1">IFERROR(GETPIVOTDATA("Cuenta de CANT",Tabla9,"PROV",[1]Tablas!$A$76,"SEFIS",AR$16,"CANT",[1]Tablas!$A39),0)</f>
        <v>0</v>
      </c>
      <c r="AS68" s="15">
        <f ca="1">IFERROR(GETPIVOTDATA("Cuenta de CANT",Tabla9,"PROV",[1]Tablas!$A$76,"SEFIS",AS$16,"CANT",[1]Tablas!$A39),0)</f>
        <v>0</v>
      </c>
      <c r="AT68" s="15">
        <f ca="1">IFERROR(GETPIVOTDATA("Cuenta de CANT",Tabla9,"PROV",[1]Tablas!$A$76,"SEFIS",AT$16,"CANT",[1]Tablas!$A39),0)</f>
        <v>0</v>
      </c>
      <c r="AU68" s="15">
        <f ca="1">IFERROR(GETPIVOTDATA("Cuenta de CANT",Tabla9,"PROV",[1]Tablas!$A$76,"SEFIS",AU$16,"CANT",[1]Tablas!$A39),0)</f>
        <v>0</v>
      </c>
      <c r="AV68" s="15">
        <f ca="1">IFERROR(GETPIVOTDATA("Cuenta de CANT",Tabla9,"PROV",[1]Tablas!$A$76,"SEFIS",AV$16,"CANT",[1]Tablas!$A39),0)</f>
        <v>0</v>
      </c>
      <c r="AW68" s="15">
        <f ca="1">IFERROR(GETPIVOTDATA("Cuenta de CANT",Tabla9,"PROV",[1]Tablas!$A$76,"SEFIS",AW$16,"CANT",[1]Tablas!$A39),0)</f>
        <v>0</v>
      </c>
      <c r="AX68" s="15">
        <f ca="1">IFERROR(GETPIVOTDATA("Cuenta de CANT",Tabla9,"PROV",[1]Tablas!$A$76,"SEFIS",AX$16,"CANT",[1]Tablas!$A39),0)</f>
        <v>0</v>
      </c>
      <c r="AY68" s="15">
        <f ca="1">IFERROR(GETPIVOTDATA("Cuenta de CANT",Tabla9,"PROV",[1]Tablas!$A$76,"SEFIS",AY$16,"CANT",[1]Tablas!$A39),0)</f>
        <v>0</v>
      </c>
      <c r="AZ68" s="15">
        <f ca="1">IFERROR(GETPIVOTDATA("Cuenta de CANT",Tabla9,"PROV",[1]Tablas!$A$76,"SEFIS",AZ$16,"CANT",[1]Tablas!$A39),0)</f>
        <v>0</v>
      </c>
      <c r="BA68" s="15">
        <f ca="1">IFERROR(GETPIVOTDATA("Cuenta de CANT",Tabla9,"PROV",[1]Tablas!$A$76,"SEFIS",BA$16,"CANT",[1]Tablas!$A39),0)</f>
        <v>0</v>
      </c>
      <c r="BB68" s="15">
        <f ca="1">IFERROR(GETPIVOTDATA("Cuenta de CANT",Tabla9,"PROV",[1]Tablas!$A$76,"SEFIS",BB$16,"CANT",[1]Tablas!$A39),0)</f>
        <v>0</v>
      </c>
      <c r="BC68" s="15">
        <f ca="1">IFERROR(GETPIVOTDATA("Cuenta de CANT",Tabla9,"PROV",[1]Tablas!$A$76,"SEFIS",BC$16,"CANT",[1]Tablas!$A39),0)</f>
        <v>0</v>
      </c>
    </row>
    <row r="69" spans="1:55" x14ac:dyDescent="0.35">
      <c r="A69" s="14" t="s">
        <v>63</v>
      </c>
      <c r="B69" s="15">
        <f t="shared" ca="1" si="1"/>
        <v>0</v>
      </c>
      <c r="C69" s="16">
        <f ca="1">IFERROR(B69/[1]Tablas!$B40*100000,"N/D")</f>
        <v>0</v>
      </c>
      <c r="D69" s="15">
        <f ca="1">IFERROR(GETPIVOTDATA("Cuenta de CANT",Tabla9,"PROV",[1]Tablas!$A$76,"SEFIS",D$16,"CANT",[1]Tablas!$A40),0)</f>
        <v>0</v>
      </c>
      <c r="E69" s="15">
        <f ca="1">IFERROR(GETPIVOTDATA("Cuenta de CANT",Tabla9,"PROV",[1]Tablas!$A$76,"SEFIS",E$16,"CANT",[1]Tablas!$A40),0)</f>
        <v>0</v>
      </c>
      <c r="F69" s="15">
        <f ca="1">IFERROR(GETPIVOTDATA("Cuenta de CANT",Tabla9,"PROV",[1]Tablas!$A$76,"SEFIS",F$16,"CANT",[1]Tablas!$A40),0)</f>
        <v>0</v>
      </c>
      <c r="G69" s="15">
        <f ca="1">IFERROR(GETPIVOTDATA("Cuenta de CANT",Tabla9,"PROV",[1]Tablas!$A$76,"SEFIS",G$16,"CANT",[1]Tablas!$A40),0)</f>
        <v>0</v>
      </c>
      <c r="H69" s="15">
        <f ca="1">IFERROR(GETPIVOTDATA("Cuenta de CANT",Tabla9,"PROV",[1]Tablas!$A$76,"SEFIS",H$16,"CANT",[1]Tablas!$A40),0)</f>
        <v>0</v>
      </c>
      <c r="I69" s="15">
        <f ca="1">IFERROR(GETPIVOTDATA("Cuenta de CANT",Tabla9,"PROV",[1]Tablas!$A$76,"SEFIS",I$16,"CANT",[1]Tablas!$A40),0)</f>
        <v>0</v>
      </c>
      <c r="J69" s="15">
        <f ca="1">IFERROR(GETPIVOTDATA("Cuenta de CANT",Tabla9,"PROV",[1]Tablas!$A$76,"SEFIS",J$16,"CANT",[1]Tablas!$A40),0)</f>
        <v>0</v>
      </c>
      <c r="K69" s="15">
        <f ca="1">IFERROR(GETPIVOTDATA("Cuenta de CANT",Tabla9,"PROV",[1]Tablas!$A$76,"SEFIS",K$16,"CANT",[1]Tablas!$A40),0)</f>
        <v>0</v>
      </c>
      <c r="L69" s="15">
        <f ca="1">IFERROR(GETPIVOTDATA("Cuenta de CANT",Tabla9,"PROV",[1]Tablas!$A$76,"SEFIS",L$16,"CANT",[1]Tablas!$A40),0)</f>
        <v>0</v>
      </c>
      <c r="M69" s="15">
        <f ca="1">IFERROR(GETPIVOTDATA("Cuenta de CANT",Tabla9,"PROV",[1]Tablas!$A$76,"SEFIS",M$16,"CANT",[1]Tablas!$A40),0)</f>
        <v>0</v>
      </c>
      <c r="N69" s="15">
        <f ca="1">IFERROR(GETPIVOTDATA("Cuenta de CANT",Tabla9,"PROV",[1]Tablas!$A$76,"SEFIS",N$16,"CANT",[1]Tablas!$A40),0)</f>
        <v>0</v>
      </c>
      <c r="O69" s="15">
        <f ca="1">IFERROR(GETPIVOTDATA("Cuenta de CANT",Tabla9,"PROV",[1]Tablas!$A$76,"SEFIS",O$16,"CANT",[1]Tablas!$A40),0)</f>
        <v>0</v>
      </c>
      <c r="P69" s="15">
        <f ca="1">IFERROR(GETPIVOTDATA("Cuenta de CANT",Tabla9,"PROV",[1]Tablas!$A$76,"SEFIS",P$16,"CANT",[1]Tablas!$A40),0)</f>
        <v>0</v>
      </c>
      <c r="Q69" s="15">
        <f ca="1">IFERROR(GETPIVOTDATA("Cuenta de CANT",Tabla9,"PROV",[1]Tablas!$A$76,"SEFIS",Q$16,"CANT",[1]Tablas!$A40),0)</f>
        <v>0</v>
      </c>
      <c r="R69" s="15">
        <f ca="1">IFERROR(GETPIVOTDATA("Cuenta de CANT",Tabla9,"PROV",[1]Tablas!$A$76,"SEFIS",R$16,"CANT",[1]Tablas!$A40),0)</f>
        <v>0</v>
      </c>
      <c r="S69" s="15">
        <f ca="1">IFERROR(GETPIVOTDATA("Cuenta de CANT",Tabla9,"PROV",[1]Tablas!$A$76,"SEFIS",S$16,"CANT",[1]Tablas!$A40),0)</f>
        <v>0</v>
      </c>
      <c r="T69" s="15">
        <f ca="1">IFERROR(GETPIVOTDATA("Cuenta de CANT",Tabla9,"PROV",[1]Tablas!$A$76,"SEFIS",T$16,"CANT",[1]Tablas!$A40),0)</f>
        <v>0</v>
      </c>
      <c r="U69" s="15">
        <f ca="1">IFERROR(GETPIVOTDATA("Cuenta de CANT",Tabla9,"PROV",[1]Tablas!$A$76,"SEFIS",U$16,"CANT",[1]Tablas!$A40),0)</f>
        <v>0</v>
      </c>
      <c r="V69" s="15">
        <f ca="1">IFERROR(GETPIVOTDATA("Cuenta de CANT",Tabla9,"PROV",[1]Tablas!$A$76,"SEFIS",V$16,"CANT",[1]Tablas!$A40),0)</f>
        <v>0</v>
      </c>
      <c r="W69" s="15">
        <f ca="1">IFERROR(GETPIVOTDATA("Cuenta de CANT",Tabla9,"PROV",[1]Tablas!$A$76,"SEFIS",W$16,"CANT",[1]Tablas!$A40),0)</f>
        <v>0</v>
      </c>
      <c r="X69" s="15">
        <f ca="1">IFERROR(GETPIVOTDATA("Cuenta de CANT",Tabla9,"PROV",[1]Tablas!$A$76,"SEFIS",X$16,"CANT",[1]Tablas!$A40),0)</f>
        <v>0</v>
      </c>
      <c r="Y69" s="15">
        <f ca="1">IFERROR(GETPIVOTDATA("Cuenta de CANT",Tabla9,"PROV",[1]Tablas!$A$76,"SEFIS",Y$16,"CANT",[1]Tablas!$A40),0)</f>
        <v>0</v>
      </c>
      <c r="Z69" s="15">
        <f ca="1">IFERROR(GETPIVOTDATA("Cuenta de CANT",Tabla9,"PROV",[1]Tablas!$A$76,"SEFIS",Z$16,"CANT",[1]Tablas!$A40),0)</f>
        <v>0</v>
      </c>
      <c r="AA69" s="15">
        <f ca="1">IFERROR(GETPIVOTDATA("Cuenta de CANT",Tabla9,"PROV",[1]Tablas!$A$76,"SEFIS",AA$16,"CANT",[1]Tablas!$A40),0)</f>
        <v>0</v>
      </c>
      <c r="AB69" s="15">
        <f ca="1">IFERROR(GETPIVOTDATA("Cuenta de CANT",Tabla9,"PROV",[1]Tablas!$A$76,"SEFIS",AB$16,"CANT",[1]Tablas!$A40),0)</f>
        <v>0</v>
      </c>
      <c r="AC69" s="15">
        <f ca="1">IFERROR(GETPIVOTDATA("Cuenta de CANT",Tabla9,"PROV",[1]Tablas!$A$76,"SEFIS",AC$16,"CANT",[1]Tablas!$A40),0)</f>
        <v>0</v>
      </c>
      <c r="AD69" s="15">
        <f ca="1">IFERROR(GETPIVOTDATA("Cuenta de CANT",Tabla9,"PROV",[1]Tablas!$A$76,"SEFIS",AD$16,"CANT",[1]Tablas!$A40),0)</f>
        <v>0</v>
      </c>
      <c r="AE69" s="15">
        <f ca="1">IFERROR(GETPIVOTDATA("Cuenta de CANT",Tabla9,"PROV",[1]Tablas!$A$76,"SEFIS",AE$16,"CANT",[1]Tablas!$A40),0)</f>
        <v>0</v>
      </c>
      <c r="AF69" s="15">
        <f ca="1">IFERROR(GETPIVOTDATA("Cuenta de CANT",Tabla9,"PROV",[1]Tablas!$A$76,"SEFIS",AF$16,"CANT",[1]Tablas!$A40),0)</f>
        <v>0</v>
      </c>
      <c r="AG69" s="15">
        <f ca="1">IFERROR(GETPIVOTDATA("Cuenta de CANT",Tabla9,"PROV",[1]Tablas!$A$76,"SEFIS",AG$16,"CANT",[1]Tablas!$A40),0)</f>
        <v>0</v>
      </c>
      <c r="AH69" s="15">
        <f ca="1">IFERROR(GETPIVOTDATA("Cuenta de CANT",Tabla9,"PROV",[1]Tablas!$A$76,"SEFIS",AH$16,"CANT",[1]Tablas!$A40),0)</f>
        <v>0</v>
      </c>
      <c r="AI69" s="15">
        <f ca="1">IFERROR(GETPIVOTDATA("Cuenta de CANT",Tabla9,"PROV",[1]Tablas!$A$76,"SEFIS",AI$16,"CANT",[1]Tablas!$A40),0)</f>
        <v>0</v>
      </c>
      <c r="AJ69" s="15">
        <f ca="1">IFERROR(GETPIVOTDATA("Cuenta de CANT",Tabla9,"PROV",[1]Tablas!$A$76,"SEFIS",AJ$16,"CANT",[1]Tablas!$A40),0)</f>
        <v>0</v>
      </c>
      <c r="AK69" s="15">
        <f ca="1">IFERROR(GETPIVOTDATA("Cuenta de CANT",Tabla9,"PROV",[1]Tablas!$A$76,"SEFIS",AK$16,"CANT",[1]Tablas!$A40),0)</f>
        <v>0</v>
      </c>
      <c r="AL69" s="15">
        <f ca="1">IFERROR(GETPIVOTDATA("Cuenta de CANT",Tabla9,"PROV",[1]Tablas!$A$76,"SEFIS",AL$16,"CANT",[1]Tablas!$A40),0)</f>
        <v>0</v>
      </c>
      <c r="AM69" s="15">
        <f ca="1">IFERROR(GETPIVOTDATA("Cuenta de CANT",Tabla9,"PROV",[1]Tablas!$A$76,"SEFIS",AM$16,"CANT",[1]Tablas!$A40),0)</f>
        <v>0</v>
      </c>
      <c r="AN69" s="15">
        <f ca="1">IFERROR(GETPIVOTDATA("Cuenta de CANT",Tabla9,"PROV",[1]Tablas!$A$76,"SEFIS",AN$16,"CANT",[1]Tablas!$A40),0)</f>
        <v>0</v>
      </c>
      <c r="AO69" s="15">
        <f ca="1">IFERROR(GETPIVOTDATA("Cuenta de CANT",Tabla9,"PROV",[1]Tablas!$A$76,"SEFIS",AO$16,"CANT",[1]Tablas!$A40),0)</f>
        <v>0</v>
      </c>
      <c r="AP69" s="15">
        <f ca="1">IFERROR(GETPIVOTDATA("Cuenta de CANT",Tabla9,"PROV",[1]Tablas!$A$76,"SEFIS",AP$16,"CANT",[1]Tablas!$A40),0)</f>
        <v>0</v>
      </c>
      <c r="AQ69" s="15">
        <f ca="1">IFERROR(GETPIVOTDATA("Cuenta de CANT",Tabla9,"PROV",[1]Tablas!$A$76,"SEFIS",AQ$16,"CANT",[1]Tablas!$A40),0)</f>
        <v>0</v>
      </c>
      <c r="AR69" s="15">
        <f ca="1">IFERROR(GETPIVOTDATA("Cuenta de CANT",Tabla9,"PROV",[1]Tablas!$A$76,"SEFIS",AR$16,"CANT",[1]Tablas!$A40),0)</f>
        <v>0</v>
      </c>
      <c r="AS69" s="15">
        <f ca="1">IFERROR(GETPIVOTDATA("Cuenta de CANT",Tabla9,"PROV",[1]Tablas!$A$76,"SEFIS",AS$16,"CANT",[1]Tablas!$A40),0)</f>
        <v>0</v>
      </c>
      <c r="AT69" s="15">
        <f ca="1">IFERROR(GETPIVOTDATA("Cuenta de CANT",Tabla9,"PROV",[1]Tablas!$A$76,"SEFIS",AT$16,"CANT",[1]Tablas!$A40),0)</f>
        <v>0</v>
      </c>
      <c r="AU69" s="15">
        <f ca="1">IFERROR(GETPIVOTDATA("Cuenta de CANT",Tabla9,"PROV",[1]Tablas!$A$76,"SEFIS",AU$16,"CANT",[1]Tablas!$A40),0)</f>
        <v>0</v>
      </c>
      <c r="AV69" s="15">
        <f ca="1">IFERROR(GETPIVOTDATA("Cuenta de CANT",Tabla9,"PROV",[1]Tablas!$A$76,"SEFIS",AV$16,"CANT",[1]Tablas!$A40),0)</f>
        <v>0</v>
      </c>
      <c r="AW69" s="15">
        <f ca="1">IFERROR(GETPIVOTDATA("Cuenta de CANT",Tabla9,"PROV",[1]Tablas!$A$76,"SEFIS",AW$16,"CANT",[1]Tablas!$A40),0)</f>
        <v>0</v>
      </c>
      <c r="AX69" s="15">
        <f ca="1">IFERROR(GETPIVOTDATA("Cuenta de CANT",Tabla9,"PROV",[1]Tablas!$A$76,"SEFIS",AX$16,"CANT",[1]Tablas!$A40),0)</f>
        <v>0</v>
      </c>
      <c r="AY69" s="15">
        <f ca="1">IFERROR(GETPIVOTDATA("Cuenta de CANT",Tabla9,"PROV",[1]Tablas!$A$76,"SEFIS",AY$16,"CANT",[1]Tablas!$A40),0)</f>
        <v>0</v>
      </c>
      <c r="AZ69" s="15">
        <f ca="1">IFERROR(GETPIVOTDATA("Cuenta de CANT",Tabla9,"PROV",[1]Tablas!$A$76,"SEFIS",AZ$16,"CANT",[1]Tablas!$A40),0)</f>
        <v>0</v>
      </c>
      <c r="BA69" s="15">
        <f ca="1">IFERROR(GETPIVOTDATA("Cuenta de CANT",Tabla9,"PROV",[1]Tablas!$A$76,"SEFIS",BA$16,"CANT",[1]Tablas!$A40),0)</f>
        <v>0</v>
      </c>
      <c r="BB69" s="15">
        <f ca="1">IFERROR(GETPIVOTDATA("Cuenta de CANT",Tabla9,"PROV",[1]Tablas!$A$76,"SEFIS",BB$16,"CANT",[1]Tablas!$A40),0)</f>
        <v>0</v>
      </c>
      <c r="BC69" s="15">
        <f ca="1">IFERROR(GETPIVOTDATA("Cuenta de CANT",Tabla9,"PROV",[1]Tablas!$A$76,"SEFIS",BC$16,"CANT",[1]Tablas!$A40),0)</f>
        <v>0</v>
      </c>
    </row>
    <row r="70" spans="1:55" x14ac:dyDescent="0.35">
      <c r="A70" s="14" t="s">
        <v>64</v>
      </c>
      <c r="B70" s="15">
        <f t="shared" ca="1" si="1"/>
        <v>1</v>
      </c>
      <c r="C70" s="16">
        <f ca="1">IFERROR(B70/[1]Tablas!$B41*100000,"N/D")</f>
        <v>4.112687641373638</v>
      </c>
      <c r="D70" s="15">
        <f ca="1">IFERROR(GETPIVOTDATA("Cuenta de CANT",Tabla9,"PROV",[1]Tablas!$A$76,"SEFIS",D$16,"CANT",[1]Tablas!$A41),0)</f>
        <v>0</v>
      </c>
      <c r="E70" s="15">
        <f ca="1">IFERROR(GETPIVOTDATA("Cuenta de CANT",Tabla9,"PROV",[1]Tablas!$A$76,"SEFIS",E$16,"CANT",[1]Tablas!$A41),0)</f>
        <v>0</v>
      </c>
      <c r="F70" s="15">
        <f ca="1">IFERROR(GETPIVOTDATA("Cuenta de CANT",Tabla9,"PROV",[1]Tablas!$A$76,"SEFIS",F$16,"CANT",[1]Tablas!$A41),0)</f>
        <v>0</v>
      </c>
      <c r="G70" s="15">
        <f ca="1">IFERROR(GETPIVOTDATA("Cuenta de CANT",Tabla9,"PROV",[1]Tablas!$A$76,"SEFIS",G$16,"CANT",[1]Tablas!$A41),0)</f>
        <v>0</v>
      </c>
      <c r="H70" s="15">
        <f ca="1">IFERROR(GETPIVOTDATA("Cuenta de CANT",Tabla9,"PROV",[1]Tablas!$A$76,"SEFIS",H$16,"CANT",[1]Tablas!$A41),0)</f>
        <v>0</v>
      </c>
      <c r="I70" s="15">
        <f ca="1">IFERROR(GETPIVOTDATA("Cuenta de CANT",Tabla9,"PROV",[1]Tablas!$A$76,"SEFIS",I$16,"CANT",[1]Tablas!$A41),0)</f>
        <v>0</v>
      </c>
      <c r="J70" s="15">
        <f ca="1">IFERROR(GETPIVOTDATA("Cuenta de CANT",Tabla9,"PROV",[1]Tablas!$A$76,"SEFIS",J$16,"CANT",[1]Tablas!$A41),0)</f>
        <v>0</v>
      </c>
      <c r="K70" s="15">
        <f ca="1">IFERROR(GETPIVOTDATA("Cuenta de CANT",Tabla9,"PROV",[1]Tablas!$A$76,"SEFIS",K$16,"CANT",[1]Tablas!$A41),0)</f>
        <v>0</v>
      </c>
      <c r="L70" s="15">
        <f ca="1">IFERROR(GETPIVOTDATA("Cuenta de CANT",Tabla9,"PROV",[1]Tablas!$A$76,"SEFIS",L$16,"CANT",[1]Tablas!$A41),0)</f>
        <v>0</v>
      </c>
      <c r="M70" s="15">
        <f ca="1">IFERROR(GETPIVOTDATA("Cuenta de CANT",Tabla9,"PROV",[1]Tablas!$A$76,"SEFIS",M$16,"CANT",[1]Tablas!$A41),0)</f>
        <v>0</v>
      </c>
      <c r="N70" s="15">
        <f ca="1">IFERROR(GETPIVOTDATA("Cuenta de CANT",Tabla9,"PROV",[1]Tablas!$A$76,"SEFIS",N$16,"CANT",[1]Tablas!$A41),0)</f>
        <v>0</v>
      </c>
      <c r="O70" s="15">
        <f ca="1">IFERROR(GETPIVOTDATA("Cuenta de CANT",Tabla9,"PROV",[1]Tablas!$A$76,"SEFIS",O$16,"CANT",[1]Tablas!$A41),0)</f>
        <v>0</v>
      </c>
      <c r="P70" s="15">
        <f ca="1">IFERROR(GETPIVOTDATA("Cuenta de CANT",Tabla9,"PROV",[1]Tablas!$A$76,"SEFIS",P$16,"CANT",[1]Tablas!$A41),0)</f>
        <v>0</v>
      </c>
      <c r="Q70" s="15">
        <f ca="1">IFERROR(GETPIVOTDATA("Cuenta de CANT",Tabla9,"PROV",[1]Tablas!$A$76,"SEFIS",Q$16,"CANT",[1]Tablas!$A41),0)</f>
        <v>0</v>
      </c>
      <c r="R70" s="15">
        <f ca="1">IFERROR(GETPIVOTDATA("Cuenta de CANT",Tabla9,"PROV",[1]Tablas!$A$76,"SEFIS",R$16,"CANT",[1]Tablas!$A41),0)</f>
        <v>0</v>
      </c>
      <c r="S70" s="15">
        <f ca="1">IFERROR(GETPIVOTDATA("Cuenta de CANT",Tabla9,"PROV",[1]Tablas!$A$76,"SEFIS",S$16,"CANT",[1]Tablas!$A41),0)</f>
        <v>0</v>
      </c>
      <c r="T70" s="15">
        <f ca="1">IFERROR(GETPIVOTDATA("Cuenta de CANT",Tabla9,"PROV",[1]Tablas!$A$76,"SEFIS",T$16,"CANT",[1]Tablas!$A41),0)</f>
        <v>0</v>
      </c>
      <c r="U70" s="15">
        <f ca="1">IFERROR(GETPIVOTDATA("Cuenta de CANT",Tabla9,"PROV",[1]Tablas!$A$76,"SEFIS",U$16,"CANT",[1]Tablas!$A41),0)</f>
        <v>0</v>
      </c>
      <c r="V70" s="15">
        <f ca="1">IFERROR(GETPIVOTDATA("Cuenta de CANT",Tabla9,"PROV",[1]Tablas!$A$76,"SEFIS",V$16,"CANT",[1]Tablas!$A41),0)</f>
        <v>0</v>
      </c>
      <c r="W70" s="15">
        <f ca="1">IFERROR(GETPIVOTDATA("Cuenta de CANT",Tabla9,"PROV",[1]Tablas!$A$76,"SEFIS",W$16,"CANT",[1]Tablas!$A41),0)</f>
        <v>0</v>
      </c>
      <c r="X70" s="15">
        <f ca="1">IFERROR(GETPIVOTDATA("Cuenta de CANT",Tabla9,"PROV",[1]Tablas!$A$76,"SEFIS",X$16,"CANT",[1]Tablas!$A41),0)</f>
        <v>0</v>
      </c>
      <c r="Y70" s="15">
        <f ca="1">IFERROR(GETPIVOTDATA("Cuenta de CANT",Tabla9,"PROV",[1]Tablas!$A$76,"SEFIS",Y$16,"CANT",[1]Tablas!$A41),0)</f>
        <v>0</v>
      </c>
      <c r="Z70" s="15">
        <f ca="1">IFERROR(GETPIVOTDATA("Cuenta de CANT",Tabla9,"PROV",[1]Tablas!$A$76,"SEFIS",Z$16,"CANT",[1]Tablas!$A41),0)</f>
        <v>0</v>
      </c>
      <c r="AA70" s="15">
        <f ca="1">IFERROR(GETPIVOTDATA("Cuenta de CANT",Tabla9,"PROV",[1]Tablas!$A$76,"SEFIS",AA$16,"CANT",[1]Tablas!$A41),0)</f>
        <v>0</v>
      </c>
      <c r="AB70" s="15">
        <f ca="1">IFERROR(GETPIVOTDATA("Cuenta de CANT",Tabla9,"PROV",[1]Tablas!$A$76,"SEFIS",AB$16,"CANT",[1]Tablas!$A41),0)</f>
        <v>0</v>
      </c>
      <c r="AC70" s="15">
        <f ca="1">IFERROR(GETPIVOTDATA("Cuenta de CANT",Tabla9,"PROV",[1]Tablas!$A$76,"SEFIS",AC$16,"CANT",[1]Tablas!$A41),0)</f>
        <v>0</v>
      </c>
      <c r="AD70" s="15">
        <f ca="1">IFERROR(GETPIVOTDATA("Cuenta de CANT",Tabla9,"PROV",[1]Tablas!$A$76,"SEFIS",AD$16,"CANT",[1]Tablas!$A41),0)</f>
        <v>0</v>
      </c>
      <c r="AE70" s="15">
        <f ca="1">IFERROR(GETPIVOTDATA("Cuenta de CANT",Tabla9,"PROV",[1]Tablas!$A$76,"SEFIS",AE$16,"CANT",[1]Tablas!$A41),0)</f>
        <v>0</v>
      </c>
      <c r="AF70" s="15">
        <f ca="1">IFERROR(GETPIVOTDATA("Cuenta de CANT",Tabla9,"PROV",[1]Tablas!$A$76,"SEFIS",AF$16,"CANT",[1]Tablas!$A41),0)</f>
        <v>0</v>
      </c>
      <c r="AG70" s="15">
        <f ca="1">IFERROR(GETPIVOTDATA("Cuenta de CANT",Tabla9,"PROV",[1]Tablas!$A$76,"SEFIS",AG$16,"CANT",[1]Tablas!$A41),0)</f>
        <v>0</v>
      </c>
      <c r="AH70" s="15">
        <f ca="1">IFERROR(GETPIVOTDATA("Cuenta de CANT",Tabla9,"PROV",[1]Tablas!$A$76,"SEFIS",AH$16,"CANT",[1]Tablas!$A41),0)</f>
        <v>1</v>
      </c>
      <c r="AI70" s="15">
        <f ca="1">IFERROR(GETPIVOTDATA("Cuenta de CANT",Tabla9,"PROV",[1]Tablas!$A$76,"SEFIS",AI$16,"CANT",[1]Tablas!$A41),0)</f>
        <v>0</v>
      </c>
      <c r="AJ70" s="15">
        <f ca="1">IFERROR(GETPIVOTDATA("Cuenta de CANT",Tabla9,"PROV",[1]Tablas!$A$76,"SEFIS",AJ$16,"CANT",[1]Tablas!$A41),0)</f>
        <v>0</v>
      </c>
      <c r="AK70" s="15">
        <f ca="1">IFERROR(GETPIVOTDATA("Cuenta de CANT",Tabla9,"PROV",[1]Tablas!$A$76,"SEFIS",AK$16,"CANT",[1]Tablas!$A41),0)</f>
        <v>0</v>
      </c>
      <c r="AL70" s="15">
        <f ca="1">IFERROR(GETPIVOTDATA("Cuenta de CANT",Tabla9,"PROV",[1]Tablas!$A$76,"SEFIS",AL$16,"CANT",[1]Tablas!$A41),0)</f>
        <v>0</v>
      </c>
      <c r="AM70" s="15">
        <f ca="1">IFERROR(GETPIVOTDATA("Cuenta de CANT",Tabla9,"PROV",[1]Tablas!$A$76,"SEFIS",AM$16,"CANT",[1]Tablas!$A41),0)</f>
        <v>0</v>
      </c>
      <c r="AN70" s="15">
        <f ca="1">IFERROR(GETPIVOTDATA("Cuenta de CANT",Tabla9,"PROV",[1]Tablas!$A$76,"SEFIS",AN$16,"CANT",[1]Tablas!$A41),0)</f>
        <v>0</v>
      </c>
      <c r="AO70" s="15">
        <f ca="1">IFERROR(GETPIVOTDATA("Cuenta de CANT",Tabla9,"PROV",[1]Tablas!$A$76,"SEFIS",AO$16,"CANT",[1]Tablas!$A41),0)</f>
        <v>0</v>
      </c>
      <c r="AP70" s="15">
        <f ca="1">IFERROR(GETPIVOTDATA("Cuenta de CANT",Tabla9,"PROV",[1]Tablas!$A$76,"SEFIS",AP$16,"CANT",[1]Tablas!$A41),0)</f>
        <v>0</v>
      </c>
      <c r="AQ70" s="15">
        <f ca="1">IFERROR(GETPIVOTDATA("Cuenta de CANT",Tabla9,"PROV",[1]Tablas!$A$76,"SEFIS",AQ$16,"CANT",[1]Tablas!$A41),0)</f>
        <v>0</v>
      </c>
      <c r="AR70" s="15">
        <f ca="1">IFERROR(GETPIVOTDATA("Cuenta de CANT",Tabla9,"PROV",[1]Tablas!$A$76,"SEFIS",AR$16,"CANT",[1]Tablas!$A41),0)</f>
        <v>0</v>
      </c>
      <c r="AS70" s="15">
        <f ca="1">IFERROR(GETPIVOTDATA("Cuenta de CANT",Tabla9,"PROV",[1]Tablas!$A$76,"SEFIS",AS$16,"CANT",[1]Tablas!$A41),0)</f>
        <v>0</v>
      </c>
      <c r="AT70" s="15">
        <f ca="1">IFERROR(GETPIVOTDATA("Cuenta de CANT",Tabla9,"PROV",[1]Tablas!$A$76,"SEFIS",AT$16,"CANT",[1]Tablas!$A41),0)</f>
        <v>0</v>
      </c>
      <c r="AU70" s="15">
        <f ca="1">IFERROR(GETPIVOTDATA("Cuenta de CANT",Tabla9,"PROV",[1]Tablas!$A$76,"SEFIS",AU$16,"CANT",[1]Tablas!$A41),0)</f>
        <v>0</v>
      </c>
      <c r="AV70" s="15">
        <f ca="1">IFERROR(GETPIVOTDATA("Cuenta de CANT",Tabla9,"PROV",[1]Tablas!$A$76,"SEFIS",AV$16,"CANT",[1]Tablas!$A41),0)</f>
        <v>0</v>
      </c>
      <c r="AW70" s="15">
        <f ca="1">IFERROR(GETPIVOTDATA("Cuenta de CANT",Tabla9,"PROV",[1]Tablas!$A$76,"SEFIS",AW$16,"CANT",[1]Tablas!$A41),0)</f>
        <v>0</v>
      </c>
      <c r="AX70" s="15">
        <f ca="1">IFERROR(GETPIVOTDATA("Cuenta de CANT",Tabla9,"PROV",[1]Tablas!$A$76,"SEFIS",AX$16,"CANT",[1]Tablas!$A41),0)</f>
        <v>0</v>
      </c>
      <c r="AY70" s="15">
        <f ca="1">IFERROR(GETPIVOTDATA("Cuenta de CANT",Tabla9,"PROV",[1]Tablas!$A$76,"SEFIS",AY$16,"CANT",[1]Tablas!$A41),0)</f>
        <v>0</v>
      </c>
      <c r="AZ70" s="15">
        <f ca="1">IFERROR(GETPIVOTDATA("Cuenta de CANT",Tabla9,"PROV",[1]Tablas!$A$76,"SEFIS",AZ$16,"CANT",[1]Tablas!$A41),0)</f>
        <v>0</v>
      </c>
      <c r="BA70" s="15">
        <f ca="1">IFERROR(GETPIVOTDATA("Cuenta de CANT",Tabla9,"PROV",[1]Tablas!$A$76,"SEFIS",BA$16,"CANT",[1]Tablas!$A41),0)</f>
        <v>0</v>
      </c>
      <c r="BB70" s="15">
        <f ca="1">IFERROR(GETPIVOTDATA("Cuenta de CANT",Tabla9,"PROV",[1]Tablas!$A$76,"SEFIS",BB$16,"CANT",[1]Tablas!$A41),0)</f>
        <v>0</v>
      </c>
      <c r="BC70" s="15">
        <f ca="1">IFERROR(GETPIVOTDATA("Cuenta de CANT",Tabla9,"PROV",[1]Tablas!$A$76,"SEFIS",BC$16,"CANT",[1]Tablas!$A41),0)</f>
        <v>0</v>
      </c>
    </row>
    <row r="71" spans="1:55" x14ac:dyDescent="0.35">
      <c r="A71" s="14" t="s">
        <v>65</v>
      </c>
      <c r="B71" s="15">
        <f t="shared" ca="1" si="1"/>
        <v>1</v>
      </c>
      <c r="C71" s="16">
        <f ca="1">IFERROR(B71/[1]Tablas!$B42*100000,"N/D")</f>
        <v>3.2469640885771804</v>
      </c>
      <c r="D71" s="15">
        <f ca="1">IFERROR(GETPIVOTDATA("Cuenta de CANT",Tabla9,"PROV",[1]Tablas!$A$76,"SEFIS",D$16,"CANT",[1]Tablas!$A42),0)</f>
        <v>0</v>
      </c>
      <c r="E71" s="15">
        <f ca="1">IFERROR(GETPIVOTDATA("Cuenta de CANT",Tabla9,"PROV",[1]Tablas!$A$76,"SEFIS",E$16,"CANT",[1]Tablas!$A42),0)</f>
        <v>0</v>
      </c>
      <c r="F71" s="15">
        <f ca="1">IFERROR(GETPIVOTDATA("Cuenta de CANT",Tabla9,"PROV",[1]Tablas!$A$76,"SEFIS",F$16,"CANT",[1]Tablas!$A42),0)</f>
        <v>0</v>
      </c>
      <c r="G71" s="15">
        <f ca="1">IFERROR(GETPIVOTDATA("Cuenta de CANT",Tabla9,"PROV",[1]Tablas!$A$76,"SEFIS",G$16,"CANT",[1]Tablas!$A42),0)</f>
        <v>0</v>
      </c>
      <c r="H71" s="15">
        <f ca="1">IFERROR(GETPIVOTDATA("Cuenta de CANT",Tabla9,"PROV",[1]Tablas!$A$76,"SEFIS",H$16,"CANT",[1]Tablas!$A42),0)</f>
        <v>0</v>
      </c>
      <c r="I71" s="15">
        <f ca="1">IFERROR(GETPIVOTDATA("Cuenta de CANT",Tabla9,"PROV",[1]Tablas!$A$76,"SEFIS",I$16,"CANT",[1]Tablas!$A42),0)</f>
        <v>0</v>
      </c>
      <c r="J71" s="15">
        <f ca="1">IFERROR(GETPIVOTDATA("Cuenta de CANT",Tabla9,"PROV",[1]Tablas!$A$76,"SEFIS",J$16,"CANT",[1]Tablas!$A42),0)</f>
        <v>0</v>
      </c>
      <c r="K71" s="15">
        <f ca="1">IFERROR(GETPIVOTDATA("Cuenta de CANT",Tabla9,"PROV",[1]Tablas!$A$76,"SEFIS",K$16,"CANT",[1]Tablas!$A42),0)</f>
        <v>0</v>
      </c>
      <c r="L71" s="15">
        <f ca="1">IFERROR(GETPIVOTDATA("Cuenta de CANT",Tabla9,"PROV",[1]Tablas!$A$76,"SEFIS",L$16,"CANT",[1]Tablas!$A42),0)</f>
        <v>0</v>
      </c>
      <c r="M71" s="15">
        <f ca="1">IFERROR(GETPIVOTDATA("Cuenta de CANT",Tabla9,"PROV",[1]Tablas!$A$76,"SEFIS",M$16,"CANT",[1]Tablas!$A42),0)</f>
        <v>0</v>
      </c>
      <c r="N71" s="15">
        <f ca="1">IFERROR(GETPIVOTDATA("Cuenta de CANT",Tabla9,"PROV",[1]Tablas!$A$76,"SEFIS",N$16,"CANT",[1]Tablas!$A42),0)</f>
        <v>0</v>
      </c>
      <c r="O71" s="15">
        <f ca="1">IFERROR(GETPIVOTDATA("Cuenta de CANT",Tabla9,"PROV",[1]Tablas!$A$76,"SEFIS",O$16,"CANT",[1]Tablas!$A42),0)</f>
        <v>0</v>
      </c>
      <c r="P71" s="15">
        <f ca="1">IFERROR(GETPIVOTDATA("Cuenta de CANT",Tabla9,"PROV",[1]Tablas!$A$76,"SEFIS",P$16,"CANT",[1]Tablas!$A42),0)</f>
        <v>0</v>
      </c>
      <c r="Q71" s="15">
        <f ca="1">IFERROR(GETPIVOTDATA("Cuenta de CANT",Tabla9,"PROV",[1]Tablas!$A$76,"SEFIS",Q$16,"CANT",[1]Tablas!$A42),0)</f>
        <v>0</v>
      </c>
      <c r="R71" s="15">
        <f ca="1">IFERROR(GETPIVOTDATA("Cuenta de CANT",Tabla9,"PROV",[1]Tablas!$A$76,"SEFIS",R$16,"CANT",[1]Tablas!$A42),0)</f>
        <v>0</v>
      </c>
      <c r="S71" s="15">
        <f ca="1">IFERROR(GETPIVOTDATA("Cuenta de CANT",Tabla9,"PROV",[1]Tablas!$A$76,"SEFIS",S$16,"CANT",[1]Tablas!$A42),0)</f>
        <v>0</v>
      </c>
      <c r="T71" s="15">
        <f ca="1">IFERROR(GETPIVOTDATA("Cuenta de CANT",Tabla9,"PROV",[1]Tablas!$A$76,"SEFIS",T$16,"CANT",[1]Tablas!$A42),0)</f>
        <v>0</v>
      </c>
      <c r="U71" s="15">
        <f ca="1">IFERROR(GETPIVOTDATA("Cuenta de CANT",Tabla9,"PROV",[1]Tablas!$A$76,"SEFIS",U$16,"CANT",[1]Tablas!$A42),0)</f>
        <v>0</v>
      </c>
      <c r="V71" s="15">
        <f ca="1">IFERROR(GETPIVOTDATA("Cuenta de CANT",Tabla9,"PROV",[1]Tablas!$A$76,"SEFIS",V$16,"CANT",[1]Tablas!$A42),0)</f>
        <v>0</v>
      </c>
      <c r="W71" s="15">
        <f ca="1">IFERROR(GETPIVOTDATA("Cuenta de CANT",Tabla9,"PROV",[1]Tablas!$A$76,"SEFIS",W$16,"CANT",[1]Tablas!$A42),0)</f>
        <v>0</v>
      </c>
      <c r="X71" s="15">
        <f ca="1">IFERROR(GETPIVOTDATA("Cuenta de CANT",Tabla9,"PROV",[1]Tablas!$A$76,"SEFIS",X$16,"CANT",[1]Tablas!$A42),0)</f>
        <v>0</v>
      </c>
      <c r="Y71" s="15">
        <f ca="1">IFERROR(GETPIVOTDATA("Cuenta de CANT",Tabla9,"PROV",[1]Tablas!$A$76,"SEFIS",Y$16,"CANT",[1]Tablas!$A42),0)</f>
        <v>0</v>
      </c>
      <c r="Z71" s="15">
        <f ca="1">IFERROR(GETPIVOTDATA("Cuenta de CANT",Tabla9,"PROV",[1]Tablas!$A$76,"SEFIS",Z$16,"CANT",[1]Tablas!$A42),0)</f>
        <v>0</v>
      </c>
      <c r="AA71" s="15">
        <f ca="1">IFERROR(GETPIVOTDATA("Cuenta de CANT",Tabla9,"PROV",[1]Tablas!$A$76,"SEFIS",AA$16,"CANT",[1]Tablas!$A42),0)</f>
        <v>0</v>
      </c>
      <c r="AB71" s="15">
        <f ca="1">IFERROR(GETPIVOTDATA("Cuenta de CANT",Tabla9,"PROV",[1]Tablas!$A$76,"SEFIS",AB$16,"CANT",[1]Tablas!$A42),0)</f>
        <v>0</v>
      </c>
      <c r="AC71" s="15">
        <f ca="1">IFERROR(GETPIVOTDATA("Cuenta de CANT",Tabla9,"PROV",[1]Tablas!$A$76,"SEFIS",AC$16,"CANT",[1]Tablas!$A42),0)</f>
        <v>0</v>
      </c>
      <c r="AD71" s="15">
        <f ca="1">IFERROR(GETPIVOTDATA("Cuenta de CANT",Tabla9,"PROV",[1]Tablas!$A$76,"SEFIS",AD$16,"CANT",[1]Tablas!$A42),0)</f>
        <v>0</v>
      </c>
      <c r="AE71" s="15">
        <f ca="1">IFERROR(GETPIVOTDATA("Cuenta de CANT",Tabla9,"PROV",[1]Tablas!$A$76,"SEFIS",AE$16,"CANT",[1]Tablas!$A42),0)</f>
        <v>0</v>
      </c>
      <c r="AF71" s="15">
        <f ca="1">IFERROR(GETPIVOTDATA("Cuenta de CANT",Tabla9,"PROV",[1]Tablas!$A$76,"SEFIS",AF$16,"CANT",[1]Tablas!$A42),0)</f>
        <v>0</v>
      </c>
      <c r="AG71" s="15">
        <f ca="1">IFERROR(GETPIVOTDATA("Cuenta de CANT",Tabla9,"PROV",[1]Tablas!$A$76,"SEFIS",AG$16,"CANT",[1]Tablas!$A42),0)</f>
        <v>0</v>
      </c>
      <c r="AH71" s="15">
        <f ca="1">IFERROR(GETPIVOTDATA("Cuenta de CANT",Tabla9,"PROV",[1]Tablas!$A$76,"SEFIS",AH$16,"CANT",[1]Tablas!$A42),0)</f>
        <v>0</v>
      </c>
      <c r="AI71" s="15">
        <f ca="1">IFERROR(GETPIVOTDATA("Cuenta de CANT",Tabla9,"PROV",[1]Tablas!$A$76,"SEFIS",AI$16,"CANT",[1]Tablas!$A42),0)</f>
        <v>0</v>
      </c>
      <c r="AJ71" s="15">
        <f ca="1">IFERROR(GETPIVOTDATA("Cuenta de CANT",Tabla9,"PROV",[1]Tablas!$A$76,"SEFIS",AJ$16,"CANT",[1]Tablas!$A42),0)</f>
        <v>0</v>
      </c>
      <c r="AK71" s="15">
        <f ca="1">IFERROR(GETPIVOTDATA("Cuenta de CANT",Tabla9,"PROV",[1]Tablas!$A$76,"SEFIS",AK$16,"CANT",[1]Tablas!$A42),0)</f>
        <v>0</v>
      </c>
      <c r="AL71" s="15">
        <f ca="1">IFERROR(GETPIVOTDATA("Cuenta de CANT",Tabla9,"PROV",[1]Tablas!$A$76,"SEFIS",AL$16,"CANT",[1]Tablas!$A42),0)</f>
        <v>0</v>
      </c>
      <c r="AM71" s="15">
        <f ca="1">IFERROR(GETPIVOTDATA("Cuenta de CANT",Tabla9,"PROV",[1]Tablas!$A$76,"SEFIS",AM$16,"CANT",[1]Tablas!$A42),0)</f>
        <v>0</v>
      </c>
      <c r="AN71" s="15">
        <f ca="1">IFERROR(GETPIVOTDATA("Cuenta de CANT",Tabla9,"PROV",[1]Tablas!$A$76,"SEFIS",AN$16,"CANT",[1]Tablas!$A42),0)</f>
        <v>0</v>
      </c>
      <c r="AO71" s="15">
        <f ca="1">IFERROR(GETPIVOTDATA("Cuenta de CANT",Tabla9,"PROV",[1]Tablas!$A$76,"SEFIS",AO$16,"CANT",[1]Tablas!$A42),0)</f>
        <v>0</v>
      </c>
      <c r="AP71" s="15">
        <f ca="1">IFERROR(GETPIVOTDATA("Cuenta de CANT",Tabla9,"PROV",[1]Tablas!$A$76,"SEFIS",AP$16,"CANT",[1]Tablas!$A42),0)</f>
        <v>0</v>
      </c>
      <c r="AQ71" s="15">
        <f ca="1">IFERROR(GETPIVOTDATA("Cuenta de CANT",Tabla9,"PROV",[1]Tablas!$A$76,"SEFIS",AQ$16,"CANT",[1]Tablas!$A42),0)</f>
        <v>0</v>
      </c>
      <c r="AR71" s="15">
        <f ca="1">IFERROR(GETPIVOTDATA("Cuenta de CANT",Tabla9,"PROV",[1]Tablas!$A$76,"SEFIS",AR$16,"CANT",[1]Tablas!$A42),0)</f>
        <v>1</v>
      </c>
      <c r="AS71" s="15">
        <f ca="1">IFERROR(GETPIVOTDATA("Cuenta de CANT",Tabla9,"PROV",[1]Tablas!$A$76,"SEFIS",AS$16,"CANT",[1]Tablas!$A42),0)</f>
        <v>0</v>
      </c>
      <c r="AT71" s="15">
        <f ca="1">IFERROR(GETPIVOTDATA("Cuenta de CANT",Tabla9,"PROV",[1]Tablas!$A$76,"SEFIS",AT$16,"CANT",[1]Tablas!$A42),0)</f>
        <v>0</v>
      </c>
      <c r="AU71" s="15">
        <f ca="1">IFERROR(GETPIVOTDATA("Cuenta de CANT",Tabla9,"PROV",[1]Tablas!$A$76,"SEFIS",AU$16,"CANT",[1]Tablas!$A42),0)</f>
        <v>0</v>
      </c>
      <c r="AV71" s="15">
        <f ca="1">IFERROR(GETPIVOTDATA("Cuenta de CANT",Tabla9,"PROV",[1]Tablas!$A$76,"SEFIS",AV$16,"CANT",[1]Tablas!$A42),0)</f>
        <v>0</v>
      </c>
      <c r="AW71" s="15">
        <f ca="1">IFERROR(GETPIVOTDATA("Cuenta de CANT",Tabla9,"PROV",[1]Tablas!$A$76,"SEFIS",AW$16,"CANT",[1]Tablas!$A42),0)</f>
        <v>0</v>
      </c>
      <c r="AX71" s="15">
        <f ca="1">IFERROR(GETPIVOTDATA("Cuenta de CANT",Tabla9,"PROV",[1]Tablas!$A$76,"SEFIS",AX$16,"CANT",[1]Tablas!$A42),0)</f>
        <v>0</v>
      </c>
      <c r="AY71" s="15">
        <f ca="1">IFERROR(GETPIVOTDATA("Cuenta de CANT",Tabla9,"PROV",[1]Tablas!$A$76,"SEFIS",AY$16,"CANT",[1]Tablas!$A42),0)</f>
        <v>0</v>
      </c>
      <c r="AZ71" s="15">
        <f ca="1">IFERROR(GETPIVOTDATA("Cuenta de CANT",Tabla9,"PROV",[1]Tablas!$A$76,"SEFIS",AZ$16,"CANT",[1]Tablas!$A42),0)</f>
        <v>0</v>
      </c>
      <c r="BA71" s="15">
        <f ca="1">IFERROR(GETPIVOTDATA("Cuenta de CANT",Tabla9,"PROV",[1]Tablas!$A$76,"SEFIS",BA$16,"CANT",[1]Tablas!$A42),0)</f>
        <v>0</v>
      </c>
      <c r="BB71" s="15">
        <f ca="1">IFERROR(GETPIVOTDATA("Cuenta de CANT",Tabla9,"PROV",[1]Tablas!$A$76,"SEFIS",BB$16,"CANT",[1]Tablas!$A42),0)</f>
        <v>0</v>
      </c>
      <c r="BC71" s="15">
        <f ca="1">IFERROR(GETPIVOTDATA("Cuenta de CANT",Tabla9,"PROV",[1]Tablas!$A$76,"SEFIS",BC$16,"CANT",[1]Tablas!$A42),0)</f>
        <v>0</v>
      </c>
    </row>
    <row r="72" spans="1:55" x14ac:dyDescent="0.35">
      <c r="A72" s="14" t="s">
        <v>66</v>
      </c>
      <c r="B72" s="15">
        <f t="shared" ca="1" si="1"/>
        <v>686</v>
      </c>
      <c r="C72" s="16">
        <f ca="1">IFERROR(B72/[1]Tablas!$B43*100000,"N/D")</f>
        <v>871.23280712226472</v>
      </c>
      <c r="D72" s="15">
        <f ca="1">IFERROR(GETPIVOTDATA("Cuenta de CANT",Tabla9,"PROV",[1]Tablas!$A$76,"SEFIS",D$16,"CANT",[1]Tablas!$A43),0)</f>
        <v>6</v>
      </c>
      <c r="E72" s="15">
        <f ca="1">IFERROR(GETPIVOTDATA("Cuenta de CANT",Tabla9,"PROV",[1]Tablas!$A$76,"SEFIS",E$16,"CANT",[1]Tablas!$A43),0)</f>
        <v>8</v>
      </c>
      <c r="F72" s="15">
        <f ca="1">IFERROR(GETPIVOTDATA("Cuenta de CANT",Tabla9,"PROV",[1]Tablas!$A$76,"SEFIS",F$16,"CANT",[1]Tablas!$A43),0)</f>
        <v>7</v>
      </c>
      <c r="G72" s="15">
        <f ca="1">IFERROR(GETPIVOTDATA("Cuenta de CANT",Tabla9,"PROV",[1]Tablas!$A$76,"SEFIS",G$16,"CANT",[1]Tablas!$A43),0)</f>
        <v>7</v>
      </c>
      <c r="H72" s="15">
        <f ca="1">IFERROR(GETPIVOTDATA("Cuenta de CANT",Tabla9,"PROV",[1]Tablas!$A$76,"SEFIS",H$16,"CANT",[1]Tablas!$A43),0)</f>
        <v>12</v>
      </c>
      <c r="I72" s="15">
        <f ca="1">IFERROR(GETPIVOTDATA("Cuenta de CANT",Tabla9,"PROV",[1]Tablas!$A$76,"SEFIS",I$16,"CANT",[1]Tablas!$A43),0)</f>
        <v>7</v>
      </c>
      <c r="J72" s="15">
        <f ca="1">IFERROR(GETPIVOTDATA("Cuenta de CANT",Tabla9,"PROV",[1]Tablas!$A$76,"SEFIS",J$16,"CANT",[1]Tablas!$A43),0)</f>
        <v>6</v>
      </c>
      <c r="K72" s="15">
        <f ca="1">IFERROR(GETPIVOTDATA("Cuenta de CANT",Tabla9,"PROV",[1]Tablas!$A$76,"SEFIS",K$16,"CANT",[1]Tablas!$A43),0)</f>
        <v>7</v>
      </c>
      <c r="L72" s="15">
        <f ca="1">IFERROR(GETPIVOTDATA("Cuenta de CANT",Tabla9,"PROV",[1]Tablas!$A$76,"SEFIS",L$16,"CANT",[1]Tablas!$A43),0)</f>
        <v>8</v>
      </c>
      <c r="M72" s="15">
        <f ca="1">IFERROR(GETPIVOTDATA("Cuenta de CANT",Tabla9,"PROV",[1]Tablas!$A$76,"SEFIS",M$16,"CANT",[1]Tablas!$A43),0)</f>
        <v>1</v>
      </c>
      <c r="N72" s="15">
        <f ca="1">IFERROR(GETPIVOTDATA("Cuenta de CANT",Tabla9,"PROV",[1]Tablas!$A$76,"SEFIS",N$16,"CANT",[1]Tablas!$A43),0)</f>
        <v>5</v>
      </c>
      <c r="O72" s="15">
        <f ca="1">IFERROR(GETPIVOTDATA("Cuenta de CANT",Tabla9,"PROV",[1]Tablas!$A$76,"SEFIS",O$16,"CANT",[1]Tablas!$A43),0)</f>
        <v>7</v>
      </c>
      <c r="P72" s="15">
        <f ca="1">IFERROR(GETPIVOTDATA("Cuenta de CANT",Tabla9,"PROV",[1]Tablas!$A$76,"SEFIS",P$16,"CANT",[1]Tablas!$A43),0)</f>
        <v>4</v>
      </c>
      <c r="Q72" s="15">
        <f ca="1">IFERROR(GETPIVOTDATA("Cuenta de CANT",Tabla9,"PROV",[1]Tablas!$A$76,"SEFIS",Q$16,"CANT",[1]Tablas!$A43),0)</f>
        <v>12</v>
      </c>
      <c r="R72" s="15">
        <f ca="1">IFERROR(GETPIVOTDATA("Cuenta de CANT",Tabla9,"PROV",[1]Tablas!$A$76,"SEFIS",R$16,"CANT",[1]Tablas!$A43),0)</f>
        <v>20</v>
      </c>
      <c r="S72" s="15">
        <f ca="1">IFERROR(GETPIVOTDATA("Cuenta de CANT",Tabla9,"PROV",[1]Tablas!$A$76,"SEFIS",S$16,"CANT",[1]Tablas!$A43),0)</f>
        <v>17</v>
      </c>
      <c r="T72" s="15">
        <f ca="1">IFERROR(GETPIVOTDATA("Cuenta de CANT",Tabla9,"PROV",[1]Tablas!$A$76,"SEFIS",T$16,"CANT",[1]Tablas!$A43),0)</f>
        <v>9</v>
      </c>
      <c r="U72" s="15">
        <f ca="1">IFERROR(GETPIVOTDATA("Cuenta de CANT",Tabla9,"PROV",[1]Tablas!$A$76,"SEFIS",U$16,"CANT",[1]Tablas!$A43),0)</f>
        <v>15</v>
      </c>
      <c r="V72" s="15">
        <f ca="1">IFERROR(GETPIVOTDATA("Cuenta de CANT",Tabla9,"PROV",[1]Tablas!$A$76,"SEFIS",V$16,"CANT",[1]Tablas!$A43),0)</f>
        <v>6</v>
      </c>
      <c r="W72" s="15">
        <f ca="1">IFERROR(GETPIVOTDATA("Cuenta de CANT",Tabla9,"PROV",[1]Tablas!$A$76,"SEFIS",W$16,"CANT",[1]Tablas!$A43),0)</f>
        <v>9</v>
      </c>
      <c r="X72" s="15">
        <f ca="1">IFERROR(GETPIVOTDATA("Cuenta de CANT",Tabla9,"PROV",[1]Tablas!$A$76,"SEFIS",X$16,"CANT",[1]Tablas!$A43),0)</f>
        <v>18</v>
      </c>
      <c r="Y72" s="15">
        <f ca="1">IFERROR(GETPIVOTDATA("Cuenta de CANT",Tabla9,"PROV",[1]Tablas!$A$76,"SEFIS",Y$16,"CANT",[1]Tablas!$A43),0)</f>
        <v>10</v>
      </c>
      <c r="Z72" s="15">
        <f ca="1">IFERROR(GETPIVOTDATA("Cuenta de CANT",Tabla9,"PROV",[1]Tablas!$A$76,"SEFIS",Z$16,"CANT",[1]Tablas!$A43),0)</f>
        <v>10</v>
      </c>
      <c r="AA72" s="15">
        <f ca="1">IFERROR(GETPIVOTDATA("Cuenta de CANT",Tabla9,"PROV",[1]Tablas!$A$76,"SEFIS",AA$16,"CANT",[1]Tablas!$A43),0)</f>
        <v>35</v>
      </c>
      <c r="AB72" s="15">
        <f ca="1">IFERROR(GETPIVOTDATA("Cuenta de CANT",Tabla9,"PROV",[1]Tablas!$A$76,"SEFIS",AB$16,"CANT",[1]Tablas!$A43),0)</f>
        <v>25</v>
      </c>
      <c r="AC72" s="15">
        <f ca="1">IFERROR(GETPIVOTDATA("Cuenta de CANT",Tabla9,"PROV",[1]Tablas!$A$76,"SEFIS",AC$16,"CANT",[1]Tablas!$A43),0)</f>
        <v>35</v>
      </c>
      <c r="AD72" s="15">
        <f ca="1">IFERROR(GETPIVOTDATA("Cuenta de CANT",Tabla9,"PROV",[1]Tablas!$A$76,"SEFIS",AD$16,"CANT",[1]Tablas!$A43),0)</f>
        <v>18</v>
      </c>
      <c r="AE72" s="15">
        <f ca="1">IFERROR(GETPIVOTDATA("Cuenta de CANT",Tabla9,"PROV",[1]Tablas!$A$76,"SEFIS",AE$16,"CANT",[1]Tablas!$A43),0)</f>
        <v>19</v>
      </c>
      <c r="AF72" s="15">
        <f ca="1">IFERROR(GETPIVOTDATA("Cuenta de CANT",Tabla9,"PROV",[1]Tablas!$A$76,"SEFIS",AF$16,"CANT",[1]Tablas!$A43),0)</f>
        <v>50</v>
      </c>
      <c r="AG72" s="15">
        <f ca="1">IFERROR(GETPIVOTDATA("Cuenta de CANT",Tabla9,"PROV",[1]Tablas!$A$76,"SEFIS",AG$16,"CANT",[1]Tablas!$A43),0)</f>
        <v>32</v>
      </c>
      <c r="AH72" s="15">
        <f ca="1">IFERROR(GETPIVOTDATA("Cuenta de CANT",Tabla9,"PROV",[1]Tablas!$A$76,"SEFIS",AH$16,"CANT",[1]Tablas!$A43),0)</f>
        <v>40</v>
      </c>
      <c r="AI72" s="15">
        <f ca="1">IFERROR(GETPIVOTDATA("Cuenta de CANT",Tabla9,"PROV",[1]Tablas!$A$76,"SEFIS",AI$16,"CANT",[1]Tablas!$A43),0)</f>
        <v>30</v>
      </c>
      <c r="AJ72" s="15">
        <f ca="1">IFERROR(GETPIVOTDATA("Cuenta de CANT",Tabla9,"PROV",[1]Tablas!$A$76,"SEFIS",AJ$16,"CANT",[1]Tablas!$A43),0)</f>
        <v>28</v>
      </c>
      <c r="AK72" s="15">
        <f ca="1">IFERROR(GETPIVOTDATA("Cuenta de CANT",Tabla9,"PROV",[1]Tablas!$A$76,"SEFIS",AK$16,"CANT",[1]Tablas!$A43),0)</f>
        <v>19</v>
      </c>
      <c r="AL72" s="15">
        <f ca="1">IFERROR(GETPIVOTDATA("Cuenta de CANT",Tabla9,"PROV",[1]Tablas!$A$76,"SEFIS",AL$16,"CANT",[1]Tablas!$A43),0)</f>
        <v>16</v>
      </c>
      <c r="AM72" s="15">
        <f ca="1">IFERROR(GETPIVOTDATA("Cuenta de CANT",Tabla9,"PROV",[1]Tablas!$A$76,"SEFIS",AM$16,"CANT",[1]Tablas!$A43),0)</f>
        <v>12</v>
      </c>
      <c r="AN72" s="15">
        <f ca="1">IFERROR(GETPIVOTDATA("Cuenta de CANT",Tabla9,"PROV",[1]Tablas!$A$76,"SEFIS",AN$16,"CANT",[1]Tablas!$A43),0)</f>
        <v>9</v>
      </c>
      <c r="AO72" s="15">
        <f ca="1">IFERROR(GETPIVOTDATA("Cuenta de CANT",Tabla9,"PROV",[1]Tablas!$A$76,"SEFIS",AO$16,"CANT",[1]Tablas!$A43),0)</f>
        <v>3</v>
      </c>
      <c r="AP72" s="15">
        <f ca="1">IFERROR(GETPIVOTDATA("Cuenta de CANT",Tabla9,"PROV",[1]Tablas!$A$76,"SEFIS",AP$16,"CANT",[1]Tablas!$A43),0)</f>
        <v>2</v>
      </c>
      <c r="AQ72" s="15">
        <f ca="1">IFERROR(GETPIVOTDATA("Cuenta de CANT",Tabla9,"PROV",[1]Tablas!$A$76,"SEFIS",AQ$16,"CANT",[1]Tablas!$A43),0)</f>
        <v>4</v>
      </c>
      <c r="AR72" s="15">
        <f ca="1">IFERROR(GETPIVOTDATA("Cuenta de CANT",Tabla9,"PROV",[1]Tablas!$A$76,"SEFIS",AR$16,"CANT",[1]Tablas!$A43),0)</f>
        <v>7</v>
      </c>
      <c r="AS72" s="15">
        <f ca="1">IFERROR(GETPIVOTDATA("Cuenta de CANT",Tabla9,"PROV",[1]Tablas!$A$76,"SEFIS",AS$16,"CANT",[1]Tablas!$A43),0)</f>
        <v>18</v>
      </c>
      <c r="AT72" s="15">
        <f ca="1">IFERROR(GETPIVOTDATA("Cuenta de CANT",Tabla9,"PROV",[1]Tablas!$A$76,"SEFIS",AT$16,"CANT",[1]Tablas!$A43),0)</f>
        <v>16</v>
      </c>
      <c r="AU72" s="15">
        <f ca="1">IFERROR(GETPIVOTDATA("Cuenta de CANT",Tabla9,"PROV",[1]Tablas!$A$76,"SEFIS",AU$16,"CANT",[1]Tablas!$A43),0)</f>
        <v>10</v>
      </c>
      <c r="AV72" s="15">
        <f ca="1">IFERROR(GETPIVOTDATA("Cuenta de CANT",Tabla9,"PROV",[1]Tablas!$A$76,"SEFIS",AV$16,"CANT",[1]Tablas!$A43),0)</f>
        <v>9</v>
      </c>
      <c r="AW72" s="15">
        <f ca="1">IFERROR(GETPIVOTDATA("Cuenta de CANT",Tabla9,"PROV",[1]Tablas!$A$76,"SEFIS",AW$16,"CANT",[1]Tablas!$A43),0)</f>
        <v>5</v>
      </c>
      <c r="AX72" s="15">
        <f ca="1">IFERROR(GETPIVOTDATA("Cuenta de CANT",Tabla9,"PROV",[1]Tablas!$A$76,"SEFIS",AX$16,"CANT",[1]Tablas!$A43),0)</f>
        <v>9</v>
      </c>
      <c r="AY72" s="15">
        <f ca="1">IFERROR(GETPIVOTDATA("Cuenta de CANT",Tabla9,"PROV",[1]Tablas!$A$76,"SEFIS",AY$16,"CANT",[1]Tablas!$A43),0)</f>
        <v>5</v>
      </c>
      <c r="AZ72" s="15">
        <f ca="1">IFERROR(GETPIVOTDATA("Cuenta de CANT",Tabla9,"PROV",[1]Tablas!$A$76,"SEFIS",AZ$16,"CANT",[1]Tablas!$A43),0)</f>
        <v>4</v>
      </c>
      <c r="BA72" s="15">
        <f ca="1">IFERROR(GETPIVOTDATA("Cuenta de CANT",Tabla9,"PROV",[1]Tablas!$A$76,"SEFIS",BA$16,"CANT",[1]Tablas!$A43),0)</f>
        <v>6</v>
      </c>
      <c r="BB72" s="15">
        <f ca="1">IFERROR(GETPIVOTDATA("Cuenta de CANT",Tabla9,"PROV",[1]Tablas!$A$76,"SEFIS",BB$16,"CANT",[1]Tablas!$A43),0)</f>
        <v>6</v>
      </c>
      <c r="BC72" s="15">
        <f ca="1">IFERROR(GETPIVOTDATA("Cuenta de CANT",Tabla9,"PROV",[1]Tablas!$A$76,"SEFIS",BC$16,"CANT",[1]Tablas!$A43),0)</f>
        <v>3</v>
      </c>
    </row>
    <row r="73" spans="1:55" x14ac:dyDescent="0.35">
      <c r="A73" s="14"/>
      <c r="B73" s="12"/>
      <c r="C73" s="13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</row>
    <row r="74" spans="1:55" x14ac:dyDescent="0.35">
      <c r="A74" s="1" t="s">
        <v>67</v>
      </c>
      <c r="B74" s="10">
        <f t="shared" ca="1" si="1"/>
        <v>240</v>
      </c>
      <c r="C74" s="11">
        <f ca="1">IFERROR(B74/[1]Tablas!$B45*100000,"N/D")</f>
        <v>62.692485521954133</v>
      </c>
      <c r="D74" s="10">
        <f ca="1">SUM(D75:D85)</f>
        <v>3</v>
      </c>
      <c r="E74" s="10">
        <f t="shared" ref="E74:BC74" ca="1" si="6">SUM(E75:E85)</f>
        <v>2</v>
      </c>
      <c r="F74" s="10">
        <f t="shared" ca="1" si="6"/>
        <v>4</v>
      </c>
      <c r="G74" s="10">
        <f t="shared" ca="1" si="6"/>
        <v>0</v>
      </c>
      <c r="H74" s="10">
        <f t="shared" ca="1" si="6"/>
        <v>4</v>
      </c>
      <c r="I74" s="10">
        <f t="shared" ca="1" si="6"/>
        <v>3</v>
      </c>
      <c r="J74" s="10">
        <f t="shared" ca="1" si="6"/>
        <v>3</v>
      </c>
      <c r="K74" s="10">
        <f t="shared" ca="1" si="6"/>
        <v>1</v>
      </c>
      <c r="L74" s="10">
        <f t="shared" ca="1" si="6"/>
        <v>2</v>
      </c>
      <c r="M74" s="10">
        <f t="shared" ca="1" si="6"/>
        <v>1</v>
      </c>
      <c r="N74" s="10">
        <f t="shared" ca="1" si="6"/>
        <v>1</v>
      </c>
      <c r="O74" s="10">
        <f t="shared" ca="1" si="6"/>
        <v>1</v>
      </c>
      <c r="P74" s="10">
        <f t="shared" ca="1" si="6"/>
        <v>2</v>
      </c>
      <c r="Q74" s="10">
        <f t="shared" ca="1" si="6"/>
        <v>1</v>
      </c>
      <c r="R74" s="10">
        <f t="shared" ca="1" si="6"/>
        <v>4</v>
      </c>
      <c r="S74" s="10">
        <f t="shared" ca="1" si="6"/>
        <v>2</v>
      </c>
      <c r="T74" s="10">
        <f t="shared" ca="1" si="6"/>
        <v>1</v>
      </c>
      <c r="U74" s="10">
        <f t="shared" ca="1" si="6"/>
        <v>0</v>
      </c>
      <c r="V74" s="10">
        <f t="shared" ca="1" si="6"/>
        <v>3</v>
      </c>
      <c r="W74" s="10">
        <f t="shared" ca="1" si="6"/>
        <v>1</v>
      </c>
      <c r="X74" s="10">
        <f t="shared" ca="1" si="6"/>
        <v>5</v>
      </c>
      <c r="Y74" s="10">
        <f t="shared" ca="1" si="6"/>
        <v>0</v>
      </c>
      <c r="Z74" s="10">
        <f t="shared" ca="1" si="6"/>
        <v>4</v>
      </c>
      <c r="AA74" s="10">
        <f t="shared" ca="1" si="6"/>
        <v>5</v>
      </c>
      <c r="AB74" s="10">
        <f t="shared" ca="1" si="6"/>
        <v>0</v>
      </c>
      <c r="AC74" s="10">
        <f t="shared" ca="1" si="6"/>
        <v>9</v>
      </c>
      <c r="AD74" s="10">
        <f t="shared" ca="1" si="6"/>
        <v>17</v>
      </c>
      <c r="AE74" s="10">
        <f t="shared" ca="1" si="6"/>
        <v>4</v>
      </c>
      <c r="AF74" s="10">
        <f t="shared" ca="1" si="6"/>
        <v>5</v>
      </c>
      <c r="AG74" s="10">
        <f t="shared" ca="1" si="6"/>
        <v>4</v>
      </c>
      <c r="AH74" s="10">
        <f t="shared" ca="1" si="6"/>
        <v>4</v>
      </c>
      <c r="AI74" s="10">
        <f t="shared" ca="1" si="6"/>
        <v>3</v>
      </c>
      <c r="AJ74" s="10">
        <f t="shared" ca="1" si="6"/>
        <v>2</v>
      </c>
      <c r="AK74" s="10">
        <f t="shared" ca="1" si="6"/>
        <v>3</v>
      </c>
      <c r="AL74" s="10">
        <f t="shared" ca="1" si="6"/>
        <v>5</v>
      </c>
      <c r="AM74" s="10">
        <f t="shared" ca="1" si="6"/>
        <v>4</v>
      </c>
      <c r="AN74" s="10">
        <f t="shared" ca="1" si="6"/>
        <v>3</v>
      </c>
      <c r="AO74" s="10">
        <f t="shared" ca="1" si="6"/>
        <v>3</v>
      </c>
      <c r="AP74" s="10">
        <f t="shared" ca="1" si="6"/>
        <v>1</v>
      </c>
      <c r="AQ74" s="10">
        <f t="shared" ca="1" si="6"/>
        <v>6</v>
      </c>
      <c r="AR74" s="10">
        <f t="shared" ca="1" si="6"/>
        <v>1</v>
      </c>
      <c r="AS74" s="10">
        <f t="shared" ca="1" si="6"/>
        <v>8</v>
      </c>
      <c r="AT74" s="10">
        <f t="shared" ca="1" si="6"/>
        <v>5</v>
      </c>
      <c r="AU74" s="10">
        <f t="shared" ca="1" si="6"/>
        <v>12</v>
      </c>
      <c r="AV74" s="10">
        <f t="shared" ca="1" si="6"/>
        <v>7</v>
      </c>
      <c r="AW74" s="10">
        <f t="shared" ca="1" si="6"/>
        <v>10</v>
      </c>
      <c r="AX74" s="10">
        <f t="shared" ca="1" si="6"/>
        <v>15</v>
      </c>
      <c r="AY74" s="10">
        <f t="shared" ca="1" si="6"/>
        <v>8</v>
      </c>
      <c r="AZ74" s="10">
        <f t="shared" ca="1" si="6"/>
        <v>16</v>
      </c>
      <c r="BA74" s="10">
        <f t="shared" ca="1" si="6"/>
        <v>18</v>
      </c>
      <c r="BB74" s="10">
        <f t="shared" ca="1" si="6"/>
        <v>7</v>
      </c>
      <c r="BC74" s="10">
        <f t="shared" ca="1" si="6"/>
        <v>7</v>
      </c>
    </row>
    <row r="75" spans="1:55" x14ac:dyDescent="0.35">
      <c r="A75" s="14" t="s">
        <v>68</v>
      </c>
      <c r="B75" s="15">
        <f t="shared" ca="1" si="1"/>
        <v>40</v>
      </c>
      <c r="C75" s="16">
        <f ca="1">IFERROR(B75/[1]Tablas!$B46*100000,"N/D")</f>
        <v>53.835800807537005</v>
      </c>
      <c r="D75" s="15">
        <f ca="1">IFERROR(GETPIVOTDATA("Cuenta de CANT",Tabla9,"PROV",[1]Tablas!$A$88,"SEFIS",D$16,"CANT",[1]Tablas!$A46),0)</f>
        <v>0</v>
      </c>
      <c r="E75" s="15">
        <f ca="1">IFERROR(GETPIVOTDATA("Cuenta de CANT",Tabla9,"PROV",[1]Tablas!$A$88,"SEFIS",E$16,"CANT",[1]Tablas!$A46),0)</f>
        <v>0</v>
      </c>
      <c r="F75" s="15">
        <f ca="1">IFERROR(GETPIVOTDATA("Cuenta de CANT",Tabla9,"PROV",[1]Tablas!$A$88,"SEFIS",F$16,"CANT",[1]Tablas!$A46),0)</f>
        <v>1</v>
      </c>
      <c r="G75" s="15">
        <f ca="1">IFERROR(GETPIVOTDATA("Cuenta de CANT",Tabla9,"PROV",[1]Tablas!$A$88,"SEFIS",G$16,"CANT",[1]Tablas!$A46),0)</f>
        <v>0</v>
      </c>
      <c r="H75" s="15">
        <f ca="1">IFERROR(GETPIVOTDATA("Cuenta de CANT",Tabla9,"PROV",[1]Tablas!$A$88,"SEFIS",H$16,"CANT",[1]Tablas!$A46),0)</f>
        <v>1</v>
      </c>
      <c r="I75" s="15">
        <f ca="1">IFERROR(GETPIVOTDATA("Cuenta de CANT",Tabla9,"PROV",[1]Tablas!$A$88,"SEFIS",I$16,"CANT",[1]Tablas!$A46),0)</f>
        <v>0</v>
      </c>
      <c r="J75" s="15">
        <f ca="1">IFERROR(GETPIVOTDATA("Cuenta de CANT",Tabla9,"PROV",[1]Tablas!$A$88,"SEFIS",J$16,"CANT",[1]Tablas!$A46),0)</f>
        <v>1</v>
      </c>
      <c r="K75" s="15">
        <f ca="1">IFERROR(GETPIVOTDATA("Cuenta de CANT",Tabla9,"PROV",[1]Tablas!$A$88,"SEFIS",K$16,"CANT",[1]Tablas!$A46),0)</f>
        <v>0</v>
      </c>
      <c r="L75" s="15">
        <f ca="1">IFERROR(GETPIVOTDATA("Cuenta de CANT",Tabla9,"PROV",[1]Tablas!$A$88,"SEFIS",L$16,"CANT",[1]Tablas!$A46),0)</f>
        <v>0</v>
      </c>
      <c r="M75" s="15">
        <f ca="1">IFERROR(GETPIVOTDATA("Cuenta de CANT",Tabla9,"PROV",[1]Tablas!$A$88,"SEFIS",M$16,"CANT",[1]Tablas!$A46),0)</f>
        <v>0</v>
      </c>
      <c r="N75" s="15">
        <f ca="1">IFERROR(GETPIVOTDATA("Cuenta de CANT",Tabla9,"PROV",[1]Tablas!$A$88,"SEFIS",N$16,"CANT",[1]Tablas!$A46),0)</f>
        <v>0</v>
      </c>
      <c r="O75" s="15">
        <f ca="1">IFERROR(GETPIVOTDATA("Cuenta de CANT",Tabla9,"PROV",[1]Tablas!$A$88,"SEFIS",O$16,"CANT",[1]Tablas!$A46),0)</f>
        <v>0</v>
      </c>
      <c r="P75" s="15">
        <f ca="1">IFERROR(GETPIVOTDATA("Cuenta de CANT",Tabla9,"PROV",[1]Tablas!$A$88,"SEFIS",P$16,"CANT",[1]Tablas!$A46),0)</f>
        <v>0</v>
      </c>
      <c r="Q75" s="15">
        <f ca="1">IFERROR(GETPIVOTDATA("Cuenta de CANT",Tabla9,"PROV",[1]Tablas!$A$88,"SEFIS",Q$16,"CANT",[1]Tablas!$A46),0)</f>
        <v>0</v>
      </c>
      <c r="R75" s="15">
        <f ca="1">IFERROR(GETPIVOTDATA("Cuenta de CANT",Tabla9,"PROV",[1]Tablas!$A$88,"SEFIS",R$16,"CANT",[1]Tablas!$A46),0)</f>
        <v>0</v>
      </c>
      <c r="S75" s="15">
        <f ca="1">IFERROR(GETPIVOTDATA("Cuenta de CANT",Tabla9,"PROV",[1]Tablas!$A$88,"SEFIS",S$16,"CANT",[1]Tablas!$A46),0)</f>
        <v>1</v>
      </c>
      <c r="T75" s="15">
        <f ca="1">IFERROR(GETPIVOTDATA("Cuenta de CANT",Tabla9,"PROV",[1]Tablas!$A$88,"SEFIS",T$16,"CANT",[1]Tablas!$A46),0)</f>
        <v>1</v>
      </c>
      <c r="U75" s="15">
        <f ca="1">IFERROR(GETPIVOTDATA("Cuenta de CANT",Tabla9,"PROV",[1]Tablas!$A$88,"SEFIS",U$16,"CANT",[1]Tablas!$A46),0)</f>
        <v>0</v>
      </c>
      <c r="V75" s="15">
        <f ca="1">IFERROR(GETPIVOTDATA("Cuenta de CANT",Tabla9,"PROV",[1]Tablas!$A$88,"SEFIS",V$16,"CANT",[1]Tablas!$A46),0)</f>
        <v>0</v>
      </c>
      <c r="W75" s="15">
        <f ca="1">IFERROR(GETPIVOTDATA("Cuenta de CANT",Tabla9,"PROV",[1]Tablas!$A$88,"SEFIS",W$16,"CANT",[1]Tablas!$A46),0)</f>
        <v>0</v>
      </c>
      <c r="X75" s="15">
        <f ca="1">IFERROR(GETPIVOTDATA("Cuenta de CANT",Tabla9,"PROV",[1]Tablas!$A$88,"SEFIS",X$16,"CANT",[1]Tablas!$A46),0)</f>
        <v>2</v>
      </c>
      <c r="Y75" s="15">
        <f ca="1">IFERROR(GETPIVOTDATA("Cuenta de CANT",Tabla9,"PROV",[1]Tablas!$A$88,"SEFIS",Y$16,"CANT",[1]Tablas!$A46),0)</f>
        <v>0</v>
      </c>
      <c r="Z75" s="15">
        <f ca="1">IFERROR(GETPIVOTDATA("Cuenta de CANT",Tabla9,"PROV",[1]Tablas!$A$88,"SEFIS",Z$16,"CANT",[1]Tablas!$A46),0)</f>
        <v>1</v>
      </c>
      <c r="AA75" s="15">
        <f ca="1">IFERROR(GETPIVOTDATA("Cuenta de CANT",Tabla9,"PROV",[1]Tablas!$A$88,"SEFIS",AA$16,"CANT",[1]Tablas!$A46),0)</f>
        <v>2</v>
      </c>
      <c r="AB75" s="15">
        <f ca="1">IFERROR(GETPIVOTDATA("Cuenta de CANT",Tabla9,"PROV",[1]Tablas!$A$88,"SEFIS",AB$16,"CANT",[1]Tablas!$A46),0)</f>
        <v>0</v>
      </c>
      <c r="AC75" s="15">
        <f ca="1">IFERROR(GETPIVOTDATA("Cuenta de CANT",Tabla9,"PROV",[1]Tablas!$A$88,"SEFIS",AC$16,"CANT",[1]Tablas!$A46),0)</f>
        <v>4</v>
      </c>
      <c r="AD75" s="15">
        <f ca="1">IFERROR(GETPIVOTDATA("Cuenta de CANT",Tabla9,"PROV",[1]Tablas!$A$88,"SEFIS",AD$16,"CANT",[1]Tablas!$A46),0)</f>
        <v>11</v>
      </c>
      <c r="AE75" s="15">
        <f ca="1">IFERROR(GETPIVOTDATA("Cuenta de CANT",Tabla9,"PROV",[1]Tablas!$A$88,"SEFIS",AE$16,"CANT",[1]Tablas!$A46),0)</f>
        <v>1</v>
      </c>
      <c r="AF75" s="15">
        <f ca="1">IFERROR(GETPIVOTDATA("Cuenta de CANT",Tabla9,"PROV",[1]Tablas!$A$88,"SEFIS",AF$16,"CANT",[1]Tablas!$A46),0)</f>
        <v>0</v>
      </c>
      <c r="AG75" s="15">
        <f ca="1">IFERROR(GETPIVOTDATA("Cuenta de CANT",Tabla9,"PROV",[1]Tablas!$A$88,"SEFIS",AG$16,"CANT",[1]Tablas!$A46),0)</f>
        <v>0</v>
      </c>
      <c r="AH75" s="15">
        <f ca="1">IFERROR(GETPIVOTDATA("Cuenta de CANT",Tabla9,"PROV",[1]Tablas!$A$88,"SEFIS",AH$16,"CANT",[1]Tablas!$A46),0)</f>
        <v>0</v>
      </c>
      <c r="AI75" s="15">
        <f ca="1">IFERROR(GETPIVOTDATA("Cuenta de CANT",Tabla9,"PROV",[1]Tablas!$A$88,"SEFIS",AI$16,"CANT",[1]Tablas!$A46),0)</f>
        <v>0</v>
      </c>
      <c r="AJ75" s="15">
        <f ca="1">IFERROR(GETPIVOTDATA("Cuenta de CANT",Tabla9,"PROV",[1]Tablas!$A$88,"SEFIS",AJ$16,"CANT",[1]Tablas!$A46),0)</f>
        <v>2</v>
      </c>
      <c r="AK75" s="15">
        <f ca="1">IFERROR(GETPIVOTDATA("Cuenta de CANT",Tabla9,"PROV",[1]Tablas!$A$88,"SEFIS",AK$16,"CANT",[1]Tablas!$A46),0)</f>
        <v>1</v>
      </c>
      <c r="AL75" s="15">
        <f ca="1">IFERROR(GETPIVOTDATA("Cuenta de CANT",Tabla9,"PROV",[1]Tablas!$A$88,"SEFIS",AL$16,"CANT",[1]Tablas!$A46),0)</f>
        <v>2</v>
      </c>
      <c r="AM75" s="15">
        <f ca="1">IFERROR(GETPIVOTDATA("Cuenta de CANT",Tabla9,"PROV",[1]Tablas!$A$88,"SEFIS",AM$16,"CANT",[1]Tablas!$A46),0)</f>
        <v>0</v>
      </c>
      <c r="AN75" s="15">
        <f ca="1">IFERROR(GETPIVOTDATA("Cuenta de CANT",Tabla9,"PROV",[1]Tablas!$A$88,"SEFIS",AN$16,"CANT",[1]Tablas!$A46),0)</f>
        <v>2</v>
      </c>
      <c r="AO75" s="15">
        <f ca="1">IFERROR(GETPIVOTDATA("Cuenta de CANT",Tabla9,"PROV",[1]Tablas!$A$88,"SEFIS",AO$16,"CANT",[1]Tablas!$A46),0)</f>
        <v>1</v>
      </c>
      <c r="AP75" s="15">
        <f ca="1">IFERROR(GETPIVOTDATA("Cuenta de CANT",Tabla9,"PROV",[1]Tablas!$A$88,"SEFIS",AP$16,"CANT",[1]Tablas!$A46),0)</f>
        <v>0</v>
      </c>
      <c r="AQ75" s="15">
        <f ca="1">IFERROR(GETPIVOTDATA("Cuenta de CANT",Tabla9,"PROV",[1]Tablas!$A$88,"SEFIS",AQ$16,"CANT",[1]Tablas!$A46),0)</f>
        <v>2</v>
      </c>
      <c r="AR75" s="15">
        <f ca="1">IFERROR(GETPIVOTDATA("Cuenta de CANT",Tabla9,"PROV",[1]Tablas!$A$88,"SEFIS",AR$16,"CANT",[1]Tablas!$A46),0)</f>
        <v>0</v>
      </c>
      <c r="AS75" s="15">
        <f ca="1">IFERROR(GETPIVOTDATA("Cuenta de CANT",Tabla9,"PROV",[1]Tablas!$A$88,"SEFIS",AS$16,"CANT",[1]Tablas!$A46),0)</f>
        <v>0</v>
      </c>
      <c r="AT75" s="15">
        <f ca="1">IFERROR(GETPIVOTDATA("Cuenta de CANT",Tabla9,"PROV",[1]Tablas!$A$88,"SEFIS",AT$16,"CANT",[1]Tablas!$A46),0)</f>
        <v>0</v>
      </c>
      <c r="AU75" s="15">
        <f ca="1">IFERROR(GETPIVOTDATA("Cuenta de CANT",Tabla9,"PROV",[1]Tablas!$A$88,"SEFIS",AU$16,"CANT",[1]Tablas!$A46),0)</f>
        <v>1</v>
      </c>
      <c r="AV75" s="15">
        <f ca="1">IFERROR(GETPIVOTDATA("Cuenta de CANT",Tabla9,"PROV",[1]Tablas!$A$88,"SEFIS",AV$16,"CANT",[1]Tablas!$A46),0)</f>
        <v>1</v>
      </c>
      <c r="AW75" s="15">
        <f ca="1">IFERROR(GETPIVOTDATA("Cuenta de CANT",Tabla9,"PROV",[1]Tablas!$A$88,"SEFIS",AW$16,"CANT",[1]Tablas!$A46),0)</f>
        <v>0</v>
      </c>
      <c r="AX75" s="15">
        <f ca="1">IFERROR(GETPIVOTDATA("Cuenta de CANT",Tabla9,"PROV",[1]Tablas!$A$88,"SEFIS",AX$16,"CANT",[1]Tablas!$A46),0)</f>
        <v>0</v>
      </c>
      <c r="AY75" s="15">
        <f ca="1">IFERROR(GETPIVOTDATA("Cuenta de CANT",Tabla9,"PROV",[1]Tablas!$A$88,"SEFIS",AY$16,"CANT",[1]Tablas!$A46),0)</f>
        <v>1</v>
      </c>
      <c r="AZ75" s="15">
        <f ca="1">IFERROR(GETPIVOTDATA("Cuenta de CANT",Tabla9,"PROV",[1]Tablas!$A$88,"SEFIS",AZ$16,"CANT",[1]Tablas!$A46),0)</f>
        <v>1</v>
      </c>
      <c r="BA75" s="15">
        <f ca="1">IFERROR(GETPIVOTDATA("Cuenta de CANT",Tabla9,"PROV",[1]Tablas!$A$88,"SEFIS",BA$16,"CANT",[1]Tablas!$A46),0)</f>
        <v>0</v>
      </c>
      <c r="BB75" s="15">
        <f ca="1">IFERROR(GETPIVOTDATA("Cuenta de CANT",Tabla9,"PROV",[1]Tablas!$A$88,"SEFIS",BB$16,"CANT",[1]Tablas!$A46),0)</f>
        <v>0</v>
      </c>
      <c r="BC75" s="15">
        <f ca="1">IFERROR(GETPIVOTDATA("Cuenta de CANT",Tabla9,"PROV",[1]Tablas!$A$88,"SEFIS",BC$16,"CANT",[1]Tablas!$A46),0)</f>
        <v>0</v>
      </c>
    </row>
    <row r="76" spans="1:55" x14ac:dyDescent="0.35">
      <c r="A76" s="14" t="s">
        <v>69</v>
      </c>
      <c r="B76" s="15">
        <f t="shared" ref="B76:B109" ca="1" si="7">SUM(D76:BC76)</f>
        <v>32</v>
      </c>
      <c r="C76" s="16">
        <f ca="1">IFERROR(B76/[1]Tablas!$B47*100000,"N/D")</f>
        <v>57.645193831964264</v>
      </c>
      <c r="D76" s="15">
        <f ca="1">IFERROR(GETPIVOTDATA("Cuenta de CANT",Tabla9,"PROV",[1]Tablas!$A$88,"SEFIS",D$16,"CANT",[1]Tablas!$A47),0)</f>
        <v>1</v>
      </c>
      <c r="E76" s="15">
        <f ca="1">IFERROR(GETPIVOTDATA("Cuenta de CANT",Tabla9,"PROV",[1]Tablas!$A$88,"SEFIS",E$16,"CANT",[1]Tablas!$A47),0)</f>
        <v>0</v>
      </c>
      <c r="F76" s="15">
        <f ca="1">IFERROR(GETPIVOTDATA("Cuenta de CANT",Tabla9,"PROV",[1]Tablas!$A$88,"SEFIS",F$16,"CANT",[1]Tablas!$A47),0)</f>
        <v>1</v>
      </c>
      <c r="G76" s="15">
        <f ca="1">IFERROR(GETPIVOTDATA("Cuenta de CANT",Tabla9,"PROV",[1]Tablas!$A$88,"SEFIS",G$16,"CANT",[1]Tablas!$A47),0)</f>
        <v>0</v>
      </c>
      <c r="H76" s="15">
        <f ca="1">IFERROR(GETPIVOTDATA("Cuenta de CANT",Tabla9,"PROV",[1]Tablas!$A$88,"SEFIS",H$16,"CANT",[1]Tablas!$A47),0)</f>
        <v>0</v>
      </c>
      <c r="I76" s="15">
        <f ca="1">IFERROR(GETPIVOTDATA("Cuenta de CANT",Tabla9,"PROV",[1]Tablas!$A$88,"SEFIS",I$16,"CANT",[1]Tablas!$A47),0)</f>
        <v>0</v>
      </c>
      <c r="J76" s="15">
        <f ca="1">IFERROR(GETPIVOTDATA("Cuenta de CANT",Tabla9,"PROV",[1]Tablas!$A$88,"SEFIS",J$16,"CANT",[1]Tablas!$A47),0)</f>
        <v>0</v>
      </c>
      <c r="K76" s="15">
        <f ca="1">IFERROR(GETPIVOTDATA("Cuenta de CANT",Tabla9,"PROV",[1]Tablas!$A$88,"SEFIS",K$16,"CANT",[1]Tablas!$A47),0)</f>
        <v>1</v>
      </c>
      <c r="L76" s="15">
        <f ca="1">IFERROR(GETPIVOTDATA("Cuenta de CANT",Tabla9,"PROV",[1]Tablas!$A$88,"SEFIS",L$16,"CANT",[1]Tablas!$A47),0)</f>
        <v>0</v>
      </c>
      <c r="M76" s="15">
        <f ca="1">IFERROR(GETPIVOTDATA("Cuenta de CANT",Tabla9,"PROV",[1]Tablas!$A$88,"SEFIS",M$16,"CANT",[1]Tablas!$A47),0)</f>
        <v>0</v>
      </c>
      <c r="N76" s="15">
        <f ca="1">IFERROR(GETPIVOTDATA("Cuenta de CANT",Tabla9,"PROV",[1]Tablas!$A$88,"SEFIS",N$16,"CANT",[1]Tablas!$A47),0)</f>
        <v>0</v>
      </c>
      <c r="O76" s="15">
        <f ca="1">IFERROR(GETPIVOTDATA("Cuenta de CANT",Tabla9,"PROV",[1]Tablas!$A$88,"SEFIS",O$16,"CANT",[1]Tablas!$A47),0)</f>
        <v>0</v>
      </c>
      <c r="P76" s="15">
        <f ca="1">IFERROR(GETPIVOTDATA("Cuenta de CANT",Tabla9,"PROV",[1]Tablas!$A$88,"SEFIS",P$16,"CANT",[1]Tablas!$A47),0)</f>
        <v>0</v>
      </c>
      <c r="Q76" s="15">
        <f ca="1">IFERROR(GETPIVOTDATA("Cuenta de CANT",Tabla9,"PROV",[1]Tablas!$A$88,"SEFIS",Q$16,"CANT",[1]Tablas!$A47),0)</f>
        <v>0</v>
      </c>
      <c r="R76" s="15">
        <f ca="1">IFERROR(GETPIVOTDATA("Cuenta de CANT",Tabla9,"PROV",[1]Tablas!$A$88,"SEFIS",R$16,"CANT",[1]Tablas!$A47),0)</f>
        <v>0</v>
      </c>
      <c r="S76" s="15">
        <f ca="1">IFERROR(GETPIVOTDATA("Cuenta de CANT",Tabla9,"PROV",[1]Tablas!$A$88,"SEFIS",S$16,"CANT",[1]Tablas!$A47),0)</f>
        <v>0</v>
      </c>
      <c r="T76" s="15">
        <f ca="1">IFERROR(GETPIVOTDATA("Cuenta de CANT",Tabla9,"PROV",[1]Tablas!$A$88,"SEFIS",T$16,"CANT",[1]Tablas!$A47),0)</f>
        <v>0</v>
      </c>
      <c r="U76" s="15">
        <f ca="1">IFERROR(GETPIVOTDATA("Cuenta de CANT",Tabla9,"PROV",[1]Tablas!$A$88,"SEFIS",U$16,"CANT",[1]Tablas!$A47),0)</f>
        <v>0</v>
      </c>
      <c r="V76" s="15">
        <f ca="1">IFERROR(GETPIVOTDATA("Cuenta de CANT",Tabla9,"PROV",[1]Tablas!$A$88,"SEFIS",V$16,"CANT",[1]Tablas!$A47),0)</f>
        <v>0</v>
      </c>
      <c r="W76" s="15">
        <f ca="1">IFERROR(GETPIVOTDATA("Cuenta de CANT",Tabla9,"PROV",[1]Tablas!$A$88,"SEFIS",W$16,"CANT",[1]Tablas!$A47),0)</f>
        <v>0</v>
      </c>
      <c r="X76" s="15">
        <f ca="1">IFERROR(GETPIVOTDATA("Cuenta de CANT",Tabla9,"PROV",[1]Tablas!$A$88,"SEFIS",X$16,"CANT",[1]Tablas!$A47),0)</f>
        <v>1</v>
      </c>
      <c r="Y76" s="15">
        <f ca="1">IFERROR(GETPIVOTDATA("Cuenta de CANT",Tabla9,"PROV",[1]Tablas!$A$88,"SEFIS",Y$16,"CANT",[1]Tablas!$A47),0)</f>
        <v>0</v>
      </c>
      <c r="Z76" s="15">
        <f ca="1">IFERROR(GETPIVOTDATA("Cuenta de CANT",Tabla9,"PROV",[1]Tablas!$A$88,"SEFIS",Z$16,"CANT",[1]Tablas!$A47),0)</f>
        <v>0</v>
      </c>
      <c r="AA76" s="15">
        <f ca="1">IFERROR(GETPIVOTDATA("Cuenta de CANT",Tabla9,"PROV",[1]Tablas!$A$88,"SEFIS",AA$16,"CANT",[1]Tablas!$A47),0)</f>
        <v>1</v>
      </c>
      <c r="AB76" s="15">
        <f ca="1">IFERROR(GETPIVOTDATA("Cuenta de CANT",Tabla9,"PROV",[1]Tablas!$A$88,"SEFIS",AB$16,"CANT",[1]Tablas!$A47),0)</f>
        <v>0</v>
      </c>
      <c r="AC76" s="15">
        <f ca="1">IFERROR(GETPIVOTDATA("Cuenta de CANT",Tabla9,"PROV",[1]Tablas!$A$88,"SEFIS",AC$16,"CANT",[1]Tablas!$A47),0)</f>
        <v>1</v>
      </c>
      <c r="AD76" s="15">
        <f ca="1">IFERROR(GETPIVOTDATA("Cuenta de CANT",Tabla9,"PROV",[1]Tablas!$A$88,"SEFIS",AD$16,"CANT",[1]Tablas!$A47),0)</f>
        <v>0</v>
      </c>
      <c r="AE76" s="15">
        <f ca="1">IFERROR(GETPIVOTDATA("Cuenta de CANT",Tabla9,"PROV",[1]Tablas!$A$88,"SEFIS",AE$16,"CANT",[1]Tablas!$A47),0)</f>
        <v>1</v>
      </c>
      <c r="AF76" s="15">
        <f ca="1">IFERROR(GETPIVOTDATA("Cuenta de CANT",Tabla9,"PROV",[1]Tablas!$A$88,"SEFIS",AF$16,"CANT",[1]Tablas!$A47),0)</f>
        <v>1</v>
      </c>
      <c r="AG76" s="15">
        <f ca="1">IFERROR(GETPIVOTDATA("Cuenta de CANT",Tabla9,"PROV",[1]Tablas!$A$88,"SEFIS",AG$16,"CANT",[1]Tablas!$A47),0)</f>
        <v>3</v>
      </c>
      <c r="AH76" s="15">
        <f ca="1">IFERROR(GETPIVOTDATA("Cuenta de CANT",Tabla9,"PROV",[1]Tablas!$A$88,"SEFIS",AH$16,"CANT",[1]Tablas!$A47),0)</f>
        <v>2</v>
      </c>
      <c r="AI76" s="15">
        <f ca="1">IFERROR(GETPIVOTDATA("Cuenta de CANT",Tabla9,"PROV",[1]Tablas!$A$88,"SEFIS",AI$16,"CANT",[1]Tablas!$A47),0)</f>
        <v>2</v>
      </c>
      <c r="AJ76" s="15">
        <f ca="1">IFERROR(GETPIVOTDATA("Cuenta de CANT",Tabla9,"PROV",[1]Tablas!$A$88,"SEFIS",AJ$16,"CANT",[1]Tablas!$A47),0)</f>
        <v>0</v>
      </c>
      <c r="AK76" s="15">
        <f ca="1">IFERROR(GETPIVOTDATA("Cuenta de CANT",Tabla9,"PROV",[1]Tablas!$A$88,"SEFIS",AK$16,"CANT",[1]Tablas!$A47),0)</f>
        <v>0</v>
      </c>
      <c r="AL76" s="15">
        <f ca="1">IFERROR(GETPIVOTDATA("Cuenta de CANT",Tabla9,"PROV",[1]Tablas!$A$88,"SEFIS",AL$16,"CANT",[1]Tablas!$A47),0)</f>
        <v>0</v>
      </c>
      <c r="AM76" s="15">
        <f ca="1">IFERROR(GETPIVOTDATA("Cuenta de CANT",Tabla9,"PROV",[1]Tablas!$A$88,"SEFIS",AM$16,"CANT",[1]Tablas!$A47),0)</f>
        <v>1</v>
      </c>
      <c r="AN76" s="15">
        <f ca="1">IFERROR(GETPIVOTDATA("Cuenta de CANT",Tabla9,"PROV",[1]Tablas!$A$88,"SEFIS",AN$16,"CANT",[1]Tablas!$A47),0)</f>
        <v>0</v>
      </c>
      <c r="AO76" s="15">
        <f ca="1">IFERROR(GETPIVOTDATA("Cuenta de CANT",Tabla9,"PROV",[1]Tablas!$A$88,"SEFIS",AO$16,"CANT",[1]Tablas!$A47),0)</f>
        <v>0</v>
      </c>
      <c r="AP76" s="15">
        <f ca="1">IFERROR(GETPIVOTDATA("Cuenta de CANT",Tabla9,"PROV",[1]Tablas!$A$88,"SEFIS",AP$16,"CANT",[1]Tablas!$A47),0)</f>
        <v>0</v>
      </c>
      <c r="AQ76" s="15">
        <f ca="1">IFERROR(GETPIVOTDATA("Cuenta de CANT",Tabla9,"PROV",[1]Tablas!$A$88,"SEFIS",AQ$16,"CANT",[1]Tablas!$A47),0)</f>
        <v>2</v>
      </c>
      <c r="AR76" s="15">
        <f ca="1">IFERROR(GETPIVOTDATA("Cuenta de CANT",Tabla9,"PROV",[1]Tablas!$A$88,"SEFIS",AR$16,"CANT",[1]Tablas!$A47),0)</f>
        <v>0</v>
      </c>
      <c r="AS76" s="15">
        <f ca="1">IFERROR(GETPIVOTDATA("Cuenta de CANT",Tabla9,"PROV",[1]Tablas!$A$88,"SEFIS",AS$16,"CANT",[1]Tablas!$A47),0)</f>
        <v>6</v>
      </c>
      <c r="AT76" s="15">
        <f ca="1">IFERROR(GETPIVOTDATA("Cuenta de CANT",Tabla9,"PROV",[1]Tablas!$A$88,"SEFIS",AT$16,"CANT",[1]Tablas!$A47),0)</f>
        <v>0</v>
      </c>
      <c r="AU76" s="15">
        <f ca="1">IFERROR(GETPIVOTDATA("Cuenta de CANT",Tabla9,"PROV",[1]Tablas!$A$88,"SEFIS",AU$16,"CANT",[1]Tablas!$A47),0)</f>
        <v>3</v>
      </c>
      <c r="AV76" s="15">
        <f ca="1">IFERROR(GETPIVOTDATA("Cuenta de CANT",Tabla9,"PROV",[1]Tablas!$A$88,"SEFIS",AV$16,"CANT",[1]Tablas!$A47),0)</f>
        <v>0</v>
      </c>
      <c r="AW76" s="15">
        <f ca="1">IFERROR(GETPIVOTDATA("Cuenta de CANT",Tabla9,"PROV",[1]Tablas!$A$88,"SEFIS",AW$16,"CANT",[1]Tablas!$A47),0)</f>
        <v>1</v>
      </c>
      <c r="AX76" s="15">
        <f ca="1">IFERROR(GETPIVOTDATA("Cuenta de CANT",Tabla9,"PROV",[1]Tablas!$A$88,"SEFIS",AX$16,"CANT",[1]Tablas!$A47),0)</f>
        <v>1</v>
      </c>
      <c r="AY76" s="15">
        <f ca="1">IFERROR(GETPIVOTDATA("Cuenta de CANT",Tabla9,"PROV",[1]Tablas!$A$88,"SEFIS",AY$16,"CANT",[1]Tablas!$A47),0)</f>
        <v>0</v>
      </c>
      <c r="AZ76" s="15">
        <f ca="1">IFERROR(GETPIVOTDATA("Cuenta de CANT",Tabla9,"PROV",[1]Tablas!$A$88,"SEFIS",AZ$16,"CANT",[1]Tablas!$A47),0)</f>
        <v>1</v>
      </c>
      <c r="BA76" s="15">
        <f ca="1">IFERROR(GETPIVOTDATA("Cuenta de CANT",Tabla9,"PROV",[1]Tablas!$A$88,"SEFIS",BA$16,"CANT",[1]Tablas!$A47),0)</f>
        <v>2</v>
      </c>
      <c r="BB76" s="15">
        <f ca="1">IFERROR(GETPIVOTDATA("Cuenta de CANT",Tabla9,"PROV",[1]Tablas!$A$88,"SEFIS",BB$16,"CANT",[1]Tablas!$A47),0)</f>
        <v>0</v>
      </c>
      <c r="BC76" s="15">
        <f ca="1">IFERROR(GETPIVOTDATA("Cuenta de CANT",Tabla9,"PROV",[1]Tablas!$A$88,"SEFIS",BC$16,"CANT",[1]Tablas!$A47),0)</f>
        <v>0</v>
      </c>
    </row>
    <row r="77" spans="1:55" x14ac:dyDescent="0.35">
      <c r="A77" s="14" t="s">
        <v>70</v>
      </c>
      <c r="B77" s="15">
        <f t="shared" ca="1" si="7"/>
        <v>38</v>
      </c>
      <c r="C77" s="16">
        <f ca="1">IFERROR(B77/[1]Tablas!$B48*100000,"N/D")</f>
        <v>57.090488424152277</v>
      </c>
      <c r="D77" s="15">
        <f ca="1">IFERROR(GETPIVOTDATA("Cuenta de CANT",Tabla9,"PROV",[1]Tablas!$A$88,"SEFIS",D$16,"CANT",[1]Tablas!$A48),0)</f>
        <v>0</v>
      </c>
      <c r="E77" s="15">
        <f ca="1">IFERROR(GETPIVOTDATA("Cuenta de CANT",Tabla9,"PROV",[1]Tablas!$A$88,"SEFIS",E$16,"CANT",[1]Tablas!$A48),0)</f>
        <v>1</v>
      </c>
      <c r="F77" s="15">
        <f ca="1">IFERROR(GETPIVOTDATA("Cuenta de CANT",Tabla9,"PROV",[1]Tablas!$A$88,"SEFIS",F$16,"CANT",[1]Tablas!$A48),0)</f>
        <v>1</v>
      </c>
      <c r="G77" s="15">
        <f ca="1">IFERROR(GETPIVOTDATA("Cuenta de CANT",Tabla9,"PROV",[1]Tablas!$A$88,"SEFIS",G$16,"CANT",[1]Tablas!$A48),0)</f>
        <v>0</v>
      </c>
      <c r="H77" s="15">
        <f ca="1">IFERROR(GETPIVOTDATA("Cuenta de CANT",Tabla9,"PROV",[1]Tablas!$A$88,"SEFIS",H$16,"CANT",[1]Tablas!$A48),0)</f>
        <v>2</v>
      </c>
      <c r="I77" s="15">
        <f ca="1">IFERROR(GETPIVOTDATA("Cuenta de CANT",Tabla9,"PROV",[1]Tablas!$A$88,"SEFIS",I$16,"CANT",[1]Tablas!$A48),0)</f>
        <v>1</v>
      </c>
      <c r="J77" s="15">
        <f ca="1">IFERROR(GETPIVOTDATA("Cuenta de CANT",Tabla9,"PROV",[1]Tablas!$A$88,"SEFIS",J$16,"CANT",[1]Tablas!$A48),0)</f>
        <v>1</v>
      </c>
      <c r="K77" s="15">
        <f ca="1">IFERROR(GETPIVOTDATA("Cuenta de CANT",Tabla9,"PROV",[1]Tablas!$A$88,"SEFIS",K$16,"CANT",[1]Tablas!$A48),0)</f>
        <v>0</v>
      </c>
      <c r="L77" s="15">
        <f ca="1">IFERROR(GETPIVOTDATA("Cuenta de CANT",Tabla9,"PROV",[1]Tablas!$A$88,"SEFIS",L$16,"CANT",[1]Tablas!$A48),0)</f>
        <v>0</v>
      </c>
      <c r="M77" s="15">
        <f ca="1">IFERROR(GETPIVOTDATA("Cuenta de CANT",Tabla9,"PROV",[1]Tablas!$A$88,"SEFIS",M$16,"CANT",[1]Tablas!$A48),0)</f>
        <v>0</v>
      </c>
      <c r="N77" s="15">
        <f ca="1">IFERROR(GETPIVOTDATA("Cuenta de CANT",Tabla9,"PROV",[1]Tablas!$A$88,"SEFIS",N$16,"CANT",[1]Tablas!$A48),0)</f>
        <v>0</v>
      </c>
      <c r="O77" s="15">
        <f ca="1">IFERROR(GETPIVOTDATA("Cuenta de CANT",Tabla9,"PROV",[1]Tablas!$A$88,"SEFIS",O$16,"CANT",[1]Tablas!$A48),0)</f>
        <v>1</v>
      </c>
      <c r="P77" s="15">
        <f ca="1">IFERROR(GETPIVOTDATA("Cuenta de CANT",Tabla9,"PROV",[1]Tablas!$A$88,"SEFIS",P$16,"CANT",[1]Tablas!$A48),0)</f>
        <v>0</v>
      </c>
      <c r="Q77" s="15">
        <f ca="1">IFERROR(GETPIVOTDATA("Cuenta de CANT",Tabla9,"PROV",[1]Tablas!$A$88,"SEFIS",Q$16,"CANT",[1]Tablas!$A48),0)</f>
        <v>0</v>
      </c>
      <c r="R77" s="15">
        <f ca="1">IFERROR(GETPIVOTDATA("Cuenta de CANT",Tabla9,"PROV",[1]Tablas!$A$88,"SEFIS",R$16,"CANT",[1]Tablas!$A48),0)</f>
        <v>2</v>
      </c>
      <c r="S77" s="15">
        <f ca="1">IFERROR(GETPIVOTDATA("Cuenta de CANT",Tabla9,"PROV",[1]Tablas!$A$88,"SEFIS",S$16,"CANT",[1]Tablas!$A48),0)</f>
        <v>1</v>
      </c>
      <c r="T77" s="15">
        <f ca="1">IFERROR(GETPIVOTDATA("Cuenta de CANT",Tabla9,"PROV",[1]Tablas!$A$88,"SEFIS",T$16,"CANT",[1]Tablas!$A48),0)</f>
        <v>0</v>
      </c>
      <c r="U77" s="15">
        <f ca="1">IFERROR(GETPIVOTDATA("Cuenta de CANT",Tabla9,"PROV",[1]Tablas!$A$88,"SEFIS",U$16,"CANT",[1]Tablas!$A48),0)</f>
        <v>0</v>
      </c>
      <c r="V77" s="15">
        <f ca="1">IFERROR(GETPIVOTDATA("Cuenta de CANT",Tabla9,"PROV",[1]Tablas!$A$88,"SEFIS",V$16,"CANT",[1]Tablas!$A48),0)</f>
        <v>0</v>
      </c>
      <c r="W77" s="15">
        <f ca="1">IFERROR(GETPIVOTDATA("Cuenta de CANT",Tabla9,"PROV",[1]Tablas!$A$88,"SEFIS",W$16,"CANT",[1]Tablas!$A48),0)</f>
        <v>1</v>
      </c>
      <c r="X77" s="15">
        <f ca="1">IFERROR(GETPIVOTDATA("Cuenta de CANT",Tabla9,"PROV",[1]Tablas!$A$88,"SEFIS",X$16,"CANT",[1]Tablas!$A48),0)</f>
        <v>0</v>
      </c>
      <c r="Y77" s="15">
        <f ca="1">IFERROR(GETPIVOTDATA("Cuenta de CANT",Tabla9,"PROV",[1]Tablas!$A$88,"SEFIS",Y$16,"CANT",[1]Tablas!$A48),0)</f>
        <v>0</v>
      </c>
      <c r="Z77" s="15">
        <f ca="1">IFERROR(GETPIVOTDATA("Cuenta de CANT",Tabla9,"PROV",[1]Tablas!$A$88,"SEFIS",Z$16,"CANT",[1]Tablas!$A48),0)</f>
        <v>1</v>
      </c>
      <c r="AA77" s="15">
        <f ca="1">IFERROR(GETPIVOTDATA("Cuenta de CANT",Tabla9,"PROV",[1]Tablas!$A$88,"SEFIS",AA$16,"CANT",[1]Tablas!$A48),0)</f>
        <v>1</v>
      </c>
      <c r="AB77" s="15">
        <f ca="1">IFERROR(GETPIVOTDATA("Cuenta de CANT",Tabla9,"PROV",[1]Tablas!$A$88,"SEFIS",AB$16,"CANT",[1]Tablas!$A48),0)</f>
        <v>0</v>
      </c>
      <c r="AC77" s="15">
        <f ca="1">IFERROR(GETPIVOTDATA("Cuenta de CANT",Tabla9,"PROV",[1]Tablas!$A$88,"SEFIS",AC$16,"CANT",[1]Tablas!$A48),0)</f>
        <v>0</v>
      </c>
      <c r="AD77" s="15">
        <f ca="1">IFERROR(GETPIVOTDATA("Cuenta de CANT",Tabla9,"PROV",[1]Tablas!$A$88,"SEFIS",AD$16,"CANT",[1]Tablas!$A48),0)</f>
        <v>1</v>
      </c>
      <c r="AE77" s="15">
        <f ca="1">IFERROR(GETPIVOTDATA("Cuenta de CANT",Tabla9,"PROV",[1]Tablas!$A$88,"SEFIS",AE$16,"CANT",[1]Tablas!$A48),0)</f>
        <v>0</v>
      </c>
      <c r="AF77" s="15">
        <f ca="1">IFERROR(GETPIVOTDATA("Cuenta de CANT",Tabla9,"PROV",[1]Tablas!$A$88,"SEFIS",AF$16,"CANT",[1]Tablas!$A48),0)</f>
        <v>1</v>
      </c>
      <c r="AG77" s="15">
        <f ca="1">IFERROR(GETPIVOTDATA("Cuenta de CANT",Tabla9,"PROV",[1]Tablas!$A$88,"SEFIS",AG$16,"CANT",[1]Tablas!$A48),0)</f>
        <v>0</v>
      </c>
      <c r="AH77" s="15">
        <f ca="1">IFERROR(GETPIVOTDATA("Cuenta de CANT",Tabla9,"PROV",[1]Tablas!$A$88,"SEFIS",AH$16,"CANT",[1]Tablas!$A48),0)</f>
        <v>0</v>
      </c>
      <c r="AI77" s="15">
        <f ca="1">IFERROR(GETPIVOTDATA("Cuenta de CANT",Tabla9,"PROV",[1]Tablas!$A$88,"SEFIS",AI$16,"CANT",[1]Tablas!$A48),0)</f>
        <v>0</v>
      </c>
      <c r="AJ77" s="15">
        <f ca="1">IFERROR(GETPIVOTDATA("Cuenta de CANT",Tabla9,"PROV",[1]Tablas!$A$88,"SEFIS",AJ$16,"CANT",[1]Tablas!$A48),0)</f>
        <v>0</v>
      </c>
      <c r="AK77" s="15">
        <f ca="1">IFERROR(GETPIVOTDATA("Cuenta de CANT",Tabla9,"PROV",[1]Tablas!$A$88,"SEFIS",AK$16,"CANT",[1]Tablas!$A48),0)</f>
        <v>0</v>
      </c>
      <c r="AL77" s="15">
        <f ca="1">IFERROR(GETPIVOTDATA("Cuenta de CANT",Tabla9,"PROV",[1]Tablas!$A$88,"SEFIS",AL$16,"CANT",[1]Tablas!$A48),0)</f>
        <v>2</v>
      </c>
      <c r="AM77" s="15">
        <f ca="1">IFERROR(GETPIVOTDATA("Cuenta de CANT",Tabla9,"PROV",[1]Tablas!$A$88,"SEFIS",AM$16,"CANT",[1]Tablas!$A48),0)</f>
        <v>0</v>
      </c>
      <c r="AN77" s="15">
        <f ca="1">IFERROR(GETPIVOTDATA("Cuenta de CANT",Tabla9,"PROV",[1]Tablas!$A$88,"SEFIS",AN$16,"CANT",[1]Tablas!$A48),0)</f>
        <v>0</v>
      </c>
      <c r="AO77" s="15">
        <f ca="1">IFERROR(GETPIVOTDATA("Cuenta de CANT",Tabla9,"PROV",[1]Tablas!$A$88,"SEFIS",AO$16,"CANT",[1]Tablas!$A48),0)</f>
        <v>0</v>
      </c>
      <c r="AP77" s="15">
        <f ca="1">IFERROR(GETPIVOTDATA("Cuenta de CANT",Tabla9,"PROV",[1]Tablas!$A$88,"SEFIS",AP$16,"CANT",[1]Tablas!$A48),0)</f>
        <v>1</v>
      </c>
      <c r="AQ77" s="15">
        <f ca="1">IFERROR(GETPIVOTDATA("Cuenta de CANT",Tabla9,"PROV",[1]Tablas!$A$88,"SEFIS",AQ$16,"CANT",[1]Tablas!$A48),0)</f>
        <v>0</v>
      </c>
      <c r="AR77" s="15">
        <f ca="1">IFERROR(GETPIVOTDATA("Cuenta de CANT",Tabla9,"PROV",[1]Tablas!$A$88,"SEFIS",AR$16,"CANT",[1]Tablas!$A48),0)</f>
        <v>0</v>
      </c>
      <c r="AS77" s="15">
        <f ca="1">IFERROR(GETPIVOTDATA("Cuenta de CANT",Tabla9,"PROV",[1]Tablas!$A$88,"SEFIS",AS$16,"CANT",[1]Tablas!$A48),0)</f>
        <v>0</v>
      </c>
      <c r="AT77" s="15">
        <f ca="1">IFERROR(GETPIVOTDATA("Cuenta de CANT",Tabla9,"PROV",[1]Tablas!$A$88,"SEFIS",AT$16,"CANT",[1]Tablas!$A48),0)</f>
        <v>2</v>
      </c>
      <c r="AU77" s="15">
        <f ca="1">IFERROR(GETPIVOTDATA("Cuenta de CANT",Tabla9,"PROV",[1]Tablas!$A$88,"SEFIS",AU$16,"CANT",[1]Tablas!$A48),0)</f>
        <v>1</v>
      </c>
      <c r="AV77" s="15">
        <f ca="1">IFERROR(GETPIVOTDATA("Cuenta de CANT",Tabla9,"PROV",[1]Tablas!$A$88,"SEFIS",AV$16,"CANT",[1]Tablas!$A48),0)</f>
        <v>1</v>
      </c>
      <c r="AW77" s="15">
        <f ca="1">IFERROR(GETPIVOTDATA("Cuenta de CANT",Tabla9,"PROV",[1]Tablas!$A$88,"SEFIS",AW$16,"CANT",[1]Tablas!$A48),0)</f>
        <v>1</v>
      </c>
      <c r="AX77" s="15">
        <f ca="1">IFERROR(GETPIVOTDATA("Cuenta de CANT",Tabla9,"PROV",[1]Tablas!$A$88,"SEFIS",AX$16,"CANT",[1]Tablas!$A48),0)</f>
        <v>2</v>
      </c>
      <c r="AY77" s="15">
        <f ca="1">IFERROR(GETPIVOTDATA("Cuenta de CANT",Tabla9,"PROV",[1]Tablas!$A$88,"SEFIS",AY$16,"CANT",[1]Tablas!$A48),0)</f>
        <v>1</v>
      </c>
      <c r="AZ77" s="15">
        <f ca="1">IFERROR(GETPIVOTDATA("Cuenta de CANT",Tabla9,"PROV",[1]Tablas!$A$88,"SEFIS",AZ$16,"CANT",[1]Tablas!$A48),0)</f>
        <v>4</v>
      </c>
      <c r="BA77" s="15">
        <f ca="1">IFERROR(GETPIVOTDATA("Cuenta de CANT",Tabla9,"PROV",[1]Tablas!$A$88,"SEFIS",BA$16,"CANT",[1]Tablas!$A48),0)</f>
        <v>4</v>
      </c>
      <c r="BB77" s="15">
        <f ca="1">IFERROR(GETPIVOTDATA("Cuenta de CANT",Tabla9,"PROV",[1]Tablas!$A$88,"SEFIS",BB$16,"CANT",[1]Tablas!$A48),0)</f>
        <v>1</v>
      </c>
      <c r="BC77" s="15">
        <f ca="1">IFERROR(GETPIVOTDATA("Cuenta de CANT",Tabla9,"PROV",[1]Tablas!$A$88,"SEFIS",BC$16,"CANT",[1]Tablas!$A48),0)</f>
        <v>3</v>
      </c>
    </row>
    <row r="78" spans="1:55" x14ac:dyDescent="0.35">
      <c r="A78" s="14" t="s">
        <v>71</v>
      </c>
      <c r="B78" s="15">
        <f t="shared" ca="1" si="7"/>
        <v>9</v>
      </c>
      <c r="C78" s="16">
        <f ca="1">IFERROR(B78/[1]Tablas!$B49*100000,"N/D")</f>
        <v>38.430334343908797</v>
      </c>
      <c r="D78" s="15">
        <f ca="1">IFERROR(GETPIVOTDATA("Cuenta de CANT",Tabla9,"PROV",[1]Tablas!$A$88,"SEFIS",D$16,"CANT",[1]Tablas!$A49),0)</f>
        <v>0</v>
      </c>
      <c r="E78" s="15">
        <f ca="1">IFERROR(GETPIVOTDATA("Cuenta de CANT",Tabla9,"PROV",[1]Tablas!$A$88,"SEFIS",E$16,"CANT",[1]Tablas!$A49),0)</f>
        <v>1</v>
      </c>
      <c r="F78" s="15">
        <f ca="1">IFERROR(GETPIVOTDATA("Cuenta de CANT",Tabla9,"PROV",[1]Tablas!$A$88,"SEFIS",F$16,"CANT",[1]Tablas!$A49),0)</f>
        <v>0</v>
      </c>
      <c r="G78" s="15">
        <f ca="1">IFERROR(GETPIVOTDATA("Cuenta de CANT",Tabla9,"PROV",[1]Tablas!$A$88,"SEFIS",G$16,"CANT",[1]Tablas!$A49),0)</f>
        <v>0</v>
      </c>
      <c r="H78" s="15">
        <f ca="1">IFERROR(GETPIVOTDATA("Cuenta de CANT",Tabla9,"PROV",[1]Tablas!$A$88,"SEFIS",H$16,"CANT",[1]Tablas!$A49),0)</f>
        <v>0</v>
      </c>
      <c r="I78" s="15">
        <f ca="1">IFERROR(GETPIVOTDATA("Cuenta de CANT",Tabla9,"PROV",[1]Tablas!$A$88,"SEFIS",I$16,"CANT",[1]Tablas!$A49),0)</f>
        <v>0</v>
      </c>
      <c r="J78" s="15">
        <f ca="1">IFERROR(GETPIVOTDATA("Cuenta de CANT",Tabla9,"PROV",[1]Tablas!$A$88,"SEFIS",J$16,"CANT",[1]Tablas!$A49),0)</f>
        <v>0</v>
      </c>
      <c r="K78" s="15">
        <f ca="1">IFERROR(GETPIVOTDATA("Cuenta de CANT",Tabla9,"PROV",[1]Tablas!$A$88,"SEFIS",K$16,"CANT",[1]Tablas!$A49),0)</f>
        <v>0</v>
      </c>
      <c r="L78" s="15">
        <f ca="1">IFERROR(GETPIVOTDATA("Cuenta de CANT",Tabla9,"PROV",[1]Tablas!$A$88,"SEFIS",L$16,"CANT",[1]Tablas!$A49),0)</f>
        <v>0</v>
      </c>
      <c r="M78" s="15">
        <f ca="1">IFERROR(GETPIVOTDATA("Cuenta de CANT",Tabla9,"PROV",[1]Tablas!$A$88,"SEFIS",M$16,"CANT",[1]Tablas!$A49),0)</f>
        <v>0</v>
      </c>
      <c r="N78" s="15">
        <f ca="1">IFERROR(GETPIVOTDATA("Cuenta de CANT",Tabla9,"PROV",[1]Tablas!$A$88,"SEFIS",N$16,"CANT",[1]Tablas!$A49),0)</f>
        <v>0</v>
      </c>
      <c r="O78" s="15">
        <f ca="1">IFERROR(GETPIVOTDATA("Cuenta de CANT",Tabla9,"PROV",[1]Tablas!$A$88,"SEFIS",O$16,"CANT",[1]Tablas!$A49),0)</f>
        <v>0</v>
      </c>
      <c r="P78" s="15">
        <f ca="1">IFERROR(GETPIVOTDATA("Cuenta de CANT",Tabla9,"PROV",[1]Tablas!$A$88,"SEFIS",P$16,"CANT",[1]Tablas!$A49),0)</f>
        <v>1</v>
      </c>
      <c r="Q78" s="15">
        <f ca="1">IFERROR(GETPIVOTDATA("Cuenta de CANT",Tabla9,"PROV",[1]Tablas!$A$88,"SEFIS",Q$16,"CANT",[1]Tablas!$A49),0)</f>
        <v>0</v>
      </c>
      <c r="R78" s="15">
        <f ca="1">IFERROR(GETPIVOTDATA("Cuenta de CANT",Tabla9,"PROV",[1]Tablas!$A$88,"SEFIS",R$16,"CANT",[1]Tablas!$A49),0)</f>
        <v>0</v>
      </c>
      <c r="S78" s="15">
        <f ca="1">IFERROR(GETPIVOTDATA("Cuenta de CANT",Tabla9,"PROV",[1]Tablas!$A$88,"SEFIS",S$16,"CANT",[1]Tablas!$A49),0)</f>
        <v>0</v>
      </c>
      <c r="T78" s="15">
        <f ca="1">IFERROR(GETPIVOTDATA("Cuenta de CANT",Tabla9,"PROV",[1]Tablas!$A$88,"SEFIS",T$16,"CANT",[1]Tablas!$A49),0)</f>
        <v>0</v>
      </c>
      <c r="U78" s="15">
        <f ca="1">IFERROR(GETPIVOTDATA("Cuenta de CANT",Tabla9,"PROV",[1]Tablas!$A$88,"SEFIS",U$16,"CANT",[1]Tablas!$A49),0)</f>
        <v>0</v>
      </c>
      <c r="V78" s="15">
        <f ca="1">IFERROR(GETPIVOTDATA("Cuenta de CANT",Tabla9,"PROV",[1]Tablas!$A$88,"SEFIS",V$16,"CANT",[1]Tablas!$A49),0)</f>
        <v>0</v>
      </c>
      <c r="W78" s="15">
        <f ca="1">IFERROR(GETPIVOTDATA("Cuenta de CANT",Tabla9,"PROV",[1]Tablas!$A$88,"SEFIS",W$16,"CANT",[1]Tablas!$A49),0)</f>
        <v>0</v>
      </c>
      <c r="X78" s="15">
        <f ca="1">IFERROR(GETPIVOTDATA("Cuenta de CANT",Tabla9,"PROV",[1]Tablas!$A$88,"SEFIS",X$16,"CANT",[1]Tablas!$A49),0)</f>
        <v>1</v>
      </c>
      <c r="Y78" s="15">
        <f ca="1">IFERROR(GETPIVOTDATA("Cuenta de CANT",Tabla9,"PROV",[1]Tablas!$A$88,"SEFIS",Y$16,"CANT",[1]Tablas!$A49),0)</f>
        <v>0</v>
      </c>
      <c r="Z78" s="15">
        <f ca="1">IFERROR(GETPIVOTDATA("Cuenta de CANT",Tabla9,"PROV",[1]Tablas!$A$88,"SEFIS",Z$16,"CANT",[1]Tablas!$A49),0)</f>
        <v>0</v>
      </c>
      <c r="AA78" s="15">
        <f ca="1">IFERROR(GETPIVOTDATA("Cuenta de CANT",Tabla9,"PROV",[1]Tablas!$A$88,"SEFIS",AA$16,"CANT",[1]Tablas!$A49),0)</f>
        <v>0</v>
      </c>
      <c r="AB78" s="15">
        <f ca="1">IFERROR(GETPIVOTDATA("Cuenta de CANT",Tabla9,"PROV",[1]Tablas!$A$88,"SEFIS",AB$16,"CANT",[1]Tablas!$A49),0)</f>
        <v>0</v>
      </c>
      <c r="AC78" s="15">
        <f ca="1">IFERROR(GETPIVOTDATA("Cuenta de CANT",Tabla9,"PROV",[1]Tablas!$A$88,"SEFIS",AC$16,"CANT",[1]Tablas!$A49),0)</f>
        <v>0</v>
      </c>
      <c r="AD78" s="15">
        <f ca="1">IFERROR(GETPIVOTDATA("Cuenta de CANT",Tabla9,"PROV",[1]Tablas!$A$88,"SEFIS",AD$16,"CANT",[1]Tablas!$A49),0)</f>
        <v>0</v>
      </c>
      <c r="AE78" s="15">
        <f ca="1">IFERROR(GETPIVOTDATA("Cuenta de CANT",Tabla9,"PROV",[1]Tablas!$A$88,"SEFIS",AE$16,"CANT",[1]Tablas!$A49),0)</f>
        <v>0</v>
      </c>
      <c r="AF78" s="15">
        <f ca="1">IFERROR(GETPIVOTDATA("Cuenta de CANT",Tabla9,"PROV",[1]Tablas!$A$88,"SEFIS",AF$16,"CANT",[1]Tablas!$A49),0)</f>
        <v>0</v>
      </c>
      <c r="AG78" s="15">
        <f ca="1">IFERROR(GETPIVOTDATA("Cuenta de CANT",Tabla9,"PROV",[1]Tablas!$A$88,"SEFIS",AG$16,"CANT",[1]Tablas!$A49),0)</f>
        <v>0</v>
      </c>
      <c r="AH78" s="15">
        <f ca="1">IFERROR(GETPIVOTDATA("Cuenta de CANT",Tabla9,"PROV",[1]Tablas!$A$88,"SEFIS",AH$16,"CANT",[1]Tablas!$A49),0)</f>
        <v>0</v>
      </c>
      <c r="AI78" s="15">
        <f ca="1">IFERROR(GETPIVOTDATA("Cuenta de CANT",Tabla9,"PROV",[1]Tablas!$A$88,"SEFIS",AI$16,"CANT",[1]Tablas!$A49),0)</f>
        <v>0</v>
      </c>
      <c r="AJ78" s="15">
        <f ca="1">IFERROR(GETPIVOTDATA("Cuenta de CANT",Tabla9,"PROV",[1]Tablas!$A$88,"SEFIS",AJ$16,"CANT",[1]Tablas!$A49),0)</f>
        <v>0</v>
      </c>
      <c r="AK78" s="15">
        <f ca="1">IFERROR(GETPIVOTDATA("Cuenta de CANT",Tabla9,"PROV",[1]Tablas!$A$88,"SEFIS",AK$16,"CANT",[1]Tablas!$A49),0)</f>
        <v>0</v>
      </c>
      <c r="AL78" s="15">
        <f ca="1">IFERROR(GETPIVOTDATA("Cuenta de CANT",Tabla9,"PROV",[1]Tablas!$A$88,"SEFIS",AL$16,"CANT",[1]Tablas!$A49),0)</f>
        <v>0</v>
      </c>
      <c r="AM78" s="15">
        <f ca="1">IFERROR(GETPIVOTDATA("Cuenta de CANT",Tabla9,"PROV",[1]Tablas!$A$88,"SEFIS",AM$16,"CANT",[1]Tablas!$A49),0)</f>
        <v>0</v>
      </c>
      <c r="AN78" s="15">
        <f ca="1">IFERROR(GETPIVOTDATA("Cuenta de CANT",Tabla9,"PROV",[1]Tablas!$A$88,"SEFIS",AN$16,"CANT",[1]Tablas!$A49),0)</f>
        <v>0</v>
      </c>
      <c r="AO78" s="15">
        <f ca="1">IFERROR(GETPIVOTDATA("Cuenta de CANT",Tabla9,"PROV",[1]Tablas!$A$88,"SEFIS",AO$16,"CANT",[1]Tablas!$A49),0)</f>
        <v>0</v>
      </c>
      <c r="AP78" s="15">
        <f ca="1">IFERROR(GETPIVOTDATA("Cuenta de CANT",Tabla9,"PROV",[1]Tablas!$A$88,"SEFIS",AP$16,"CANT",[1]Tablas!$A49),0)</f>
        <v>0</v>
      </c>
      <c r="AQ78" s="15">
        <f ca="1">IFERROR(GETPIVOTDATA("Cuenta de CANT",Tabla9,"PROV",[1]Tablas!$A$88,"SEFIS",AQ$16,"CANT",[1]Tablas!$A49),0)</f>
        <v>0</v>
      </c>
      <c r="AR78" s="15">
        <f ca="1">IFERROR(GETPIVOTDATA("Cuenta de CANT",Tabla9,"PROV",[1]Tablas!$A$88,"SEFIS",AR$16,"CANT",[1]Tablas!$A49),0)</f>
        <v>1</v>
      </c>
      <c r="AS78" s="15">
        <f ca="1">IFERROR(GETPIVOTDATA("Cuenta de CANT",Tabla9,"PROV",[1]Tablas!$A$88,"SEFIS",AS$16,"CANT",[1]Tablas!$A49),0)</f>
        <v>1</v>
      </c>
      <c r="AT78" s="15">
        <f ca="1">IFERROR(GETPIVOTDATA("Cuenta de CANT",Tabla9,"PROV",[1]Tablas!$A$88,"SEFIS",AT$16,"CANT",[1]Tablas!$A49),0)</f>
        <v>1</v>
      </c>
      <c r="AU78" s="15">
        <f ca="1">IFERROR(GETPIVOTDATA("Cuenta de CANT",Tabla9,"PROV",[1]Tablas!$A$88,"SEFIS",AU$16,"CANT",[1]Tablas!$A49),0)</f>
        <v>1</v>
      </c>
      <c r="AV78" s="15">
        <f ca="1">IFERROR(GETPIVOTDATA("Cuenta de CANT",Tabla9,"PROV",[1]Tablas!$A$88,"SEFIS",AV$16,"CANT",[1]Tablas!$A49),0)</f>
        <v>1</v>
      </c>
      <c r="AW78" s="15">
        <f ca="1">IFERROR(GETPIVOTDATA("Cuenta de CANT",Tabla9,"PROV",[1]Tablas!$A$88,"SEFIS",AW$16,"CANT",[1]Tablas!$A49),0)</f>
        <v>0</v>
      </c>
      <c r="AX78" s="15">
        <f ca="1">IFERROR(GETPIVOTDATA("Cuenta de CANT",Tabla9,"PROV",[1]Tablas!$A$88,"SEFIS",AX$16,"CANT",[1]Tablas!$A49),0)</f>
        <v>0</v>
      </c>
      <c r="AY78" s="15">
        <f ca="1">IFERROR(GETPIVOTDATA("Cuenta de CANT",Tabla9,"PROV",[1]Tablas!$A$88,"SEFIS",AY$16,"CANT",[1]Tablas!$A49),0)</f>
        <v>0</v>
      </c>
      <c r="AZ78" s="15">
        <f ca="1">IFERROR(GETPIVOTDATA("Cuenta de CANT",Tabla9,"PROV",[1]Tablas!$A$88,"SEFIS",AZ$16,"CANT",[1]Tablas!$A49),0)</f>
        <v>1</v>
      </c>
      <c r="BA78" s="15">
        <f ca="1">IFERROR(GETPIVOTDATA("Cuenta de CANT",Tabla9,"PROV",[1]Tablas!$A$88,"SEFIS",BA$16,"CANT",[1]Tablas!$A49),0)</f>
        <v>0</v>
      </c>
      <c r="BB78" s="15">
        <f ca="1">IFERROR(GETPIVOTDATA("Cuenta de CANT",Tabla9,"PROV",[1]Tablas!$A$88,"SEFIS",BB$16,"CANT",[1]Tablas!$A49),0)</f>
        <v>0</v>
      </c>
      <c r="BC78" s="15">
        <f ca="1">IFERROR(GETPIVOTDATA("Cuenta de CANT",Tabla9,"PROV",[1]Tablas!$A$88,"SEFIS",BC$16,"CANT",[1]Tablas!$A49),0)</f>
        <v>0</v>
      </c>
    </row>
    <row r="79" spans="1:55" x14ac:dyDescent="0.35">
      <c r="A79" s="14" t="s">
        <v>72</v>
      </c>
      <c r="B79" s="15">
        <f t="shared" ca="1" si="7"/>
        <v>36</v>
      </c>
      <c r="C79" s="16">
        <f ca="1">IFERROR(B79/[1]Tablas!$B50*100000,"N/D")</f>
        <v>81.527277668319854</v>
      </c>
      <c r="D79" s="15">
        <f ca="1">IFERROR(GETPIVOTDATA("Cuenta de CANT",Tabla9,"PROV",[1]Tablas!$A$88,"SEFIS",D$16,"CANT",[1]Tablas!$A50),0)</f>
        <v>0</v>
      </c>
      <c r="E79" s="15">
        <f ca="1">IFERROR(GETPIVOTDATA("Cuenta de CANT",Tabla9,"PROV",[1]Tablas!$A$88,"SEFIS",E$16,"CANT",[1]Tablas!$A50),0)</f>
        <v>0</v>
      </c>
      <c r="F79" s="15">
        <f ca="1">IFERROR(GETPIVOTDATA("Cuenta de CANT",Tabla9,"PROV",[1]Tablas!$A$88,"SEFIS",F$16,"CANT",[1]Tablas!$A50),0)</f>
        <v>0</v>
      </c>
      <c r="G79" s="15">
        <f ca="1">IFERROR(GETPIVOTDATA("Cuenta de CANT",Tabla9,"PROV",[1]Tablas!$A$88,"SEFIS",G$16,"CANT",[1]Tablas!$A50),0)</f>
        <v>0</v>
      </c>
      <c r="H79" s="15">
        <f ca="1">IFERROR(GETPIVOTDATA("Cuenta de CANT",Tabla9,"PROV",[1]Tablas!$A$88,"SEFIS",H$16,"CANT",[1]Tablas!$A50),0)</f>
        <v>1</v>
      </c>
      <c r="I79" s="15">
        <f ca="1">IFERROR(GETPIVOTDATA("Cuenta de CANT",Tabla9,"PROV",[1]Tablas!$A$88,"SEFIS",I$16,"CANT",[1]Tablas!$A50),0)</f>
        <v>1</v>
      </c>
      <c r="J79" s="15">
        <f ca="1">IFERROR(GETPIVOTDATA("Cuenta de CANT",Tabla9,"PROV",[1]Tablas!$A$88,"SEFIS",J$16,"CANT",[1]Tablas!$A50),0)</f>
        <v>0</v>
      </c>
      <c r="K79" s="15">
        <f ca="1">IFERROR(GETPIVOTDATA("Cuenta de CANT",Tabla9,"PROV",[1]Tablas!$A$88,"SEFIS",K$16,"CANT",[1]Tablas!$A50),0)</f>
        <v>0</v>
      </c>
      <c r="L79" s="15">
        <f ca="1">IFERROR(GETPIVOTDATA("Cuenta de CANT",Tabla9,"PROV",[1]Tablas!$A$88,"SEFIS",L$16,"CANT",[1]Tablas!$A50),0)</f>
        <v>1</v>
      </c>
      <c r="M79" s="15">
        <f ca="1">IFERROR(GETPIVOTDATA("Cuenta de CANT",Tabla9,"PROV",[1]Tablas!$A$88,"SEFIS",M$16,"CANT",[1]Tablas!$A50),0)</f>
        <v>1</v>
      </c>
      <c r="N79" s="15">
        <f ca="1">IFERROR(GETPIVOTDATA("Cuenta de CANT",Tabla9,"PROV",[1]Tablas!$A$88,"SEFIS",N$16,"CANT",[1]Tablas!$A50),0)</f>
        <v>1</v>
      </c>
      <c r="O79" s="15">
        <f ca="1">IFERROR(GETPIVOTDATA("Cuenta de CANT",Tabla9,"PROV",[1]Tablas!$A$88,"SEFIS",O$16,"CANT",[1]Tablas!$A50),0)</f>
        <v>0</v>
      </c>
      <c r="P79" s="15">
        <f ca="1">IFERROR(GETPIVOTDATA("Cuenta de CANT",Tabla9,"PROV",[1]Tablas!$A$88,"SEFIS",P$16,"CANT",[1]Tablas!$A50),0)</f>
        <v>0</v>
      </c>
      <c r="Q79" s="15">
        <f ca="1">IFERROR(GETPIVOTDATA("Cuenta de CANT",Tabla9,"PROV",[1]Tablas!$A$88,"SEFIS",Q$16,"CANT",[1]Tablas!$A50),0)</f>
        <v>1</v>
      </c>
      <c r="R79" s="15">
        <f ca="1">IFERROR(GETPIVOTDATA("Cuenta de CANT",Tabla9,"PROV",[1]Tablas!$A$88,"SEFIS",R$16,"CANT",[1]Tablas!$A50),0)</f>
        <v>1</v>
      </c>
      <c r="S79" s="15">
        <f ca="1">IFERROR(GETPIVOTDATA("Cuenta de CANT",Tabla9,"PROV",[1]Tablas!$A$88,"SEFIS",S$16,"CANT",[1]Tablas!$A50),0)</f>
        <v>0</v>
      </c>
      <c r="T79" s="15">
        <f ca="1">IFERROR(GETPIVOTDATA("Cuenta de CANT",Tabla9,"PROV",[1]Tablas!$A$88,"SEFIS",T$16,"CANT",[1]Tablas!$A50),0)</f>
        <v>0</v>
      </c>
      <c r="U79" s="15">
        <f ca="1">IFERROR(GETPIVOTDATA("Cuenta de CANT",Tabla9,"PROV",[1]Tablas!$A$88,"SEFIS",U$16,"CANT",[1]Tablas!$A50),0)</f>
        <v>0</v>
      </c>
      <c r="V79" s="15">
        <f ca="1">IFERROR(GETPIVOTDATA("Cuenta de CANT",Tabla9,"PROV",[1]Tablas!$A$88,"SEFIS",V$16,"CANT",[1]Tablas!$A50),0)</f>
        <v>0</v>
      </c>
      <c r="W79" s="15">
        <f ca="1">IFERROR(GETPIVOTDATA("Cuenta de CANT",Tabla9,"PROV",[1]Tablas!$A$88,"SEFIS",W$16,"CANT",[1]Tablas!$A50),0)</f>
        <v>0</v>
      </c>
      <c r="X79" s="15">
        <f ca="1">IFERROR(GETPIVOTDATA("Cuenta de CANT",Tabla9,"PROV",[1]Tablas!$A$88,"SEFIS",X$16,"CANT",[1]Tablas!$A50),0)</f>
        <v>0</v>
      </c>
      <c r="Y79" s="15">
        <f ca="1">IFERROR(GETPIVOTDATA("Cuenta de CANT",Tabla9,"PROV",[1]Tablas!$A$88,"SEFIS",Y$16,"CANT",[1]Tablas!$A50),0)</f>
        <v>0</v>
      </c>
      <c r="Z79" s="15">
        <f ca="1">IFERROR(GETPIVOTDATA("Cuenta de CANT",Tabla9,"PROV",[1]Tablas!$A$88,"SEFIS",Z$16,"CANT",[1]Tablas!$A50),0)</f>
        <v>0</v>
      </c>
      <c r="AA79" s="15">
        <f ca="1">IFERROR(GETPIVOTDATA("Cuenta de CANT",Tabla9,"PROV",[1]Tablas!$A$88,"SEFIS",AA$16,"CANT",[1]Tablas!$A50),0)</f>
        <v>0</v>
      </c>
      <c r="AB79" s="15">
        <f ca="1">IFERROR(GETPIVOTDATA("Cuenta de CANT",Tabla9,"PROV",[1]Tablas!$A$88,"SEFIS",AB$16,"CANT",[1]Tablas!$A50),0)</f>
        <v>0</v>
      </c>
      <c r="AC79" s="15">
        <f ca="1">IFERROR(GETPIVOTDATA("Cuenta de CANT",Tabla9,"PROV",[1]Tablas!$A$88,"SEFIS",AC$16,"CANT",[1]Tablas!$A50),0)</f>
        <v>4</v>
      </c>
      <c r="AD79" s="15">
        <f ca="1">IFERROR(GETPIVOTDATA("Cuenta de CANT",Tabla9,"PROV",[1]Tablas!$A$88,"SEFIS",AD$16,"CANT",[1]Tablas!$A50),0)</f>
        <v>2</v>
      </c>
      <c r="AE79" s="15">
        <f ca="1">IFERROR(GETPIVOTDATA("Cuenta de CANT",Tabla9,"PROV",[1]Tablas!$A$88,"SEFIS",AE$16,"CANT",[1]Tablas!$A50),0)</f>
        <v>1</v>
      </c>
      <c r="AF79" s="15">
        <f ca="1">IFERROR(GETPIVOTDATA("Cuenta de CANT",Tabla9,"PROV",[1]Tablas!$A$88,"SEFIS",AF$16,"CANT",[1]Tablas!$A50),0)</f>
        <v>1</v>
      </c>
      <c r="AG79" s="15">
        <f ca="1">IFERROR(GETPIVOTDATA("Cuenta de CANT",Tabla9,"PROV",[1]Tablas!$A$88,"SEFIS",AG$16,"CANT",[1]Tablas!$A50),0)</f>
        <v>0</v>
      </c>
      <c r="AH79" s="15">
        <f ca="1">IFERROR(GETPIVOTDATA("Cuenta de CANT",Tabla9,"PROV",[1]Tablas!$A$88,"SEFIS",AH$16,"CANT",[1]Tablas!$A50),0)</f>
        <v>0</v>
      </c>
      <c r="AI79" s="15">
        <f ca="1">IFERROR(GETPIVOTDATA("Cuenta de CANT",Tabla9,"PROV",[1]Tablas!$A$88,"SEFIS",AI$16,"CANT",[1]Tablas!$A50),0)</f>
        <v>1</v>
      </c>
      <c r="AJ79" s="15">
        <f ca="1">IFERROR(GETPIVOTDATA("Cuenta de CANT",Tabla9,"PROV",[1]Tablas!$A$88,"SEFIS",AJ$16,"CANT",[1]Tablas!$A50),0)</f>
        <v>0</v>
      </c>
      <c r="AK79" s="15">
        <f ca="1">IFERROR(GETPIVOTDATA("Cuenta de CANT",Tabla9,"PROV",[1]Tablas!$A$88,"SEFIS",AK$16,"CANT",[1]Tablas!$A50),0)</f>
        <v>1</v>
      </c>
      <c r="AL79" s="15">
        <f ca="1">IFERROR(GETPIVOTDATA("Cuenta de CANT",Tabla9,"PROV",[1]Tablas!$A$88,"SEFIS",AL$16,"CANT",[1]Tablas!$A50),0)</f>
        <v>1</v>
      </c>
      <c r="AM79" s="15">
        <f ca="1">IFERROR(GETPIVOTDATA("Cuenta de CANT",Tabla9,"PROV",[1]Tablas!$A$88,"SEFIS",AM$16,"CANT",[1]Tablas!$A50),0)</f>
        <v>2</v>
      </c>
      <c r="AN79" s="15">
        <f ca="1">IFERROR(GETPIVOTDATA("Cuenta de CANT",Tabla9,"PROV",[1]Tablas!$A$88,"SEFIS",AN$16,"CANT",[1]Tablas!$A50),0)</f>
        <v>0</v>
      </c>
      <c r="AO79" s="15">
        <f ca="1">IFERROR(GETPIVOTDATA("Cuenta de CANT",Tabla9,"PROV",[1]Tablas!$A$88,"SEFIS",AO$16,"CANT",[1]Tablas!$A50),0)</f>
        <v>1</v>
      </c>
      <c r="AP79" s="15">
        <f ca="1">IFERROR(GETPIVOTDATA("Cuenta de CANT",Tabla9,"PROV",[1]Tablas!$A$88,"SEFIS",AP$16,"CANT",[1]Tablas!$A50),0)</f>
        <v>0</v>
      </c>
      <c r="AQ79" s="15">
        <f ca="1">IFERROR(GETPIVOTDATA("Cuenta de CANT",Tabla9,"PROV",[1]Tablas!$A$88,"SEFIS",AQ$16,"CANT",[1]Tablas!$A50),0)</f>
        <v>0</v>
      </c>
      <c r="AR79" s="15">
        <f ca="1">IFERROR(GETPIVOTDATA("Cuenta de CANT",Tabla9,"PROV",[1]Tablas!$A$88,"SEFIS",AR$16,"CANT",[1]Tablas!$A50),0)</f>
        <v>0</v>
      </c>
      <c r="AS79" s="15">
        <f ca="1">IFERROR(GETPIVOTDATA("Cuenta de CANT",Tabla9,"PROV",[1]Tablas!$A$88,"SEFIS",AS$16,"CANT",[1]Tablas!$A50),0)</f>
        <v>0</v>
      </c>
      <c r="AT79" s="15">
        <f ca="1">IFERROR(GETPIVOTDATA("Cuenta de CANT",Tabla9,"PROV",[1]Tablas!$A$88,"SEFIS",AT$16,"CANT",[1]Tablas!$A50),0)</f>
        <v>0</v>
      </c>
      <c r="AU79" s="15">
        <f ca="1">IFERROR(GETPIVOTDATA("Cuenta de CANT",Tabla9,"PROV",[1]Tablas!$A$88,"SEFIS",AU$16,"CANT",[1]Tablas!$A50),0)</f>
        <v>3</v>
      </c>
      <c r="AV79" s="15">
        <f ca="1">IFERROR(GETPIVOTDATA("Cuenta de CANT",Tabla9,"PROV",[1]Tablas!$A$88,"SEFIS",AV$16,"CANT",[1]Tablas!$A50),0)</f>
        <v>0</v>
      </c>
      <c r="AW79" s="15">
        <f ca="1">IFERROR(GETPIVOTDATA("Cuenta de CANT",Tabla9,"PROV",[1]Tablas!$A$88,"SEFIS",AW$16,"CANT",[1]Tablas!$A50),0)</f>
        <v>1</v>
      </c>
      <c r="AX79" s="15">
        <f ca="1">IFERROR(GETPIVOTDATA("Cuenta de CANT",Tabla9,"PROV",[1]Tablas!$A$88,"SEFIS",AX$16,"CANT",[1]Tablas!$A50),0)</f>
        <v>0</v>
      </c>
      <c r="AY79" s="15">
        <f ca="1">IFERROR(GETPIVOTDATA("Cuenta de CANT",Tabla9,"PROV",[1]Tablas!$A$88,"SEFIS",AY$16,"CANT",[1]Tablas!$A50),0)</f>
        <v>2</v>
      </c>
      <c r="AZ79" s="15">
        <f ca="1">IFERROR(GETPIVOTDATA("Cuenta de CANT",Tabla9,"PROV",[1]Tablas!$A$88,"SEFIS",AZ$16,"CANT",[1]Tablas!$A50),0)</f>
        <v>1</v>
      </c>
      <c r="BA79" s="15">
        <f ca="1">IFERROR(GETPIVOTDATA("Cuenta de CANT",Tabla9,"PROV",[1]Tablas!$A$88,"SEFIS",BA$16,"CANT",[1]Tablas!$A50),0)</f>
        <v>3</v>
      </c>
      <c r="BB79" s="15">
        <f ca="1">IFERROR(GETPIVOTDATA("Cuenta de CANT",Tabla9,"PROV",[1]Tablas!$A$88,"SEFIS",BB$16,"CANT",[1]Tablas!$A50),0)</f>
        <v>2</v>
      </c>
      <c r="BC79" s="15">
        <f ca="1">IFERROR(GETPIVOTDATA("Cuenta de CANT",Tabla9,"PROV",[1]Tablas!$A$88,"SEFIS",BC$16,"CANT",[1]Tablas!$A50),0)</f>
        <v>3</v>
      </c>
    </row>
    <row r="80" spans="1:55" x14ac:dyDescent="0.35">
      <c r="A80" s="14" t="s">
        <v>73</v>
      </c>
      <c r="B80" s="15">
        <f t="shared" ca="1" si="7"/>
        <v>45</v>
      </c>
      <c r="C80" s="16">
        <f ca="1">IFERROR(B80/[1]Tablas!$B51*100000,"N/D")</f>
        <v>140.83625438157236</v>
      </c>
      <c r="D80" s="15">
        <f ca="1">IFERROR(GETPIVOTDATA("Cuenta de CANT",Tabla9,"PROV",[1]Tablas!$A$88,"SEFIS",D$16,"CANT",[1]Tablas!$A51),0)</f>
        <v>0</v>
      </c>
      <c r="E80" s="15">
        <f ca="1">IFERROR(GETPIVOTDATA("Cuenta de CANT",Tabla9,"PROV",[1]Tablas!$A$88,"SEFIS",E$16,"CANT",[1]Tablas!$A51),0)</f>
        <v>0</v>
      </c>
      <c r="F80" s="15">
        <f ca="1">IFERROR(GETPIVOTDATA("Cuenta de CANT",Tabla9,"PROV",[1]Tablas!$A$88,"SEFIS",F$16,"CANT",[1]Tablas!$A51),0)</f>
        <v>1</v>
      </c>
      <c r="G80" s="15">
        <f ca="1">IFERROR(GETPIVOTDATA("Cuenta de CANT",Tabla9,"PROV",[1]Tablas!$A$88,"SEFIS",G$16,"CANT",[1]Tablas!$A51),0)</f>
        <v>0</v>
      </c>
      <c r="H80" s="15">
        <f ca="1">IFERROR(GETPIVOTDATA("Cuenta de CANT",Tabla9,"PROV",[1]Tablas!$A$88,"SEFIS",H$16,"CANT",[1]Tablas!$A51),0)</f>
        <v>0</v>
      </c>
      <c r="I80" s="15">
        <f ca="1">IFERROR(GETPIVOTDATA("Cuenta de CANT",Tabla9,"PROV",[1]Tablas!$A$88,"SEFIS",I$16,"CANT",[1]Tablas!$A51),0)</f>
        <v>0</v>
      </c>
      <c r="J80" s="15">
        <f ca="1">IFERROR(GETPIVOTDATA("Cuenta de CANT",Tabla9,"PROV",[1]Tablas!$A$88,"SEFIS",J$16,"CANT",[1]Tablas!$A51),0)</f>
        <v>0</v>
      </c>
      <c r="K80" s="15">
        <f ca="1">IFERROR(GETPIVOTDATA("Cuenta de CANT",Tabla9,"PROV",[1]Tablas!$A$88,"SEFIS",K$16,"CANT",[1]Tablas!$A51),0)</f>
        <v>0</v>
      </c>
      <c r="L80" s="15">
        <f ca="1">IFERROR(GETPIVOTDATA("Cuenta de CANT",Tabla9,"PROV",[1]Tablas!$A$88,"SEFIS",L$16,"CANT",[1]Tablas!$A51),0)</f>
        <v>0</v>
      </c>
      <c r="M80" s="15">
        <f ca="1">IFERROR(GETPIVOTDATA("Cuenta de CANT",Tabla9,"PROV",[1]Tablas!$A$88,"SEFIS",M$16,"CANT",[1]Tablas!$A51),0)</f>
        <v>0</v>
      </c>
      <c r="N80" s="15">
        <f ca="1">IFERROR(GETPIVOTDATA("Cuenta de CANT",Tabla9,"PROV",[1]Tablas!$A$88,"SEFIS",N$16,"CANT",[1]Tablas!$A51),0)</f>
        <v>0</v>
      </c>
      <c r="O80" s="15">
        <f ca="1">IFERROR(GETPIVOTDATA("Cuenta de CANT",Tabla9,"PROV",[1]Tablas!$A$88,"SEFIS",O$16,"CANT",[1]Tablas!$A51),0)</f>
        <v>0</v>
      </c>
      <c r="P80" s="15">
        <f ca="1">IFERROR(GETPIVOTDATA("Cuenta de CANT",Tabla9,"PROV",[1]Tablas!$A$88,"SEFIS",P$16,"CANT",[1]Tablas!$A51),0)</f>
        <v>0</v>
      </c>
      <c r="Q80" s="15">
        <f ca="1">IFERROR(GETPIVOTDATA("Cuenta de CANT",Tabla9,"PROV",[1]Tablas!$A$88,"SEFIS",Q$16,"CANT",[1]Tablas!$A51),0)</f>
        <v>0</v>
      </c>
      <c r="R80" s="15">
        <f ca="1">IFERROR(GETPIVOTDATA("Cuenta de CANT",Tabla9,"PROV",[1]Tablas!$A$88,"SEFIS",R$16,"CANT",[1]Tablas!$A51),0)</f>
        <v>0</v>
      </c>
      <c r="S80" s="15">
        <f ca="1">IFERROR(GETPIVOTDATA("Cuenta de CANT",Tabla9,"PROV",[1]Tablas!$A$88,"SEFIS",S$16,"CANT",[1]Tablas!$A51),0)</f>
        <v>0</v>
      </c>
      <c r="T80" s="15">
        <f ca="1">IFERROR(GETPIVOTDATA("Cuenta de CANT",Tabla9,"PROV",[1]Tablas!$A$88,"SEFIS",T$16,"CANT",[1]Tablas!$A51),0)</f>
        <v>0</v>
      </c>
      <c r="U80" s="15">
        <f ca="1">IFERROR(GETPIVOTDATA("Cuenta de CANT",Tabla9,"PROV",[1]Tablas!$A$88,"SEFIS",U$16,"CANT",[1]Tablas!$A51),0)</f>
        <v>0</v>
      </c>
      <c r="V80" s="15">
        <f ca="1">IFERROR(GETPIVOTDATA("Cuenta de CANT",Tabla9,"PROV",[1]Tablas!$A$88,"SEFIS",V$16,"CANT",[1]Tablas!$A51),0)</f>
        <v>1</v>
      </c>
      <c r="W80" s="15">
        <f ca="1">IFERROR(GETPIVOTDATA("Cuenta de CANT",Tabla9,"PROV",[1]Tablas!$A$88,"SEFIS",W$16,"CANT",[1]Tablas!$A51),0)</f>
        <v>0</v>
      </c>
      <c r="X80" s="15">
        <f ca="1">IFERROR(GETPIVOTDATA("Cuenta de CANT",Tabla9,"PROV",[1]Tablas!$A$88,"SEFIS",X$16,"CANT",[1]Tablas!$A51),0)</f>
        <v>1</v>
      </c>
      <c r="Y80" s="15">
        <f ca="1">IFERROR(GETPIVOTDATA("Cuenta de CANT",Tabla9,"PROV",[1]Tablas!$A$88,"SEFIS",Y$16,"CANT",[1]Tablas!$A51),0)</f>
        <v>0</v>
      </c>
      <c r="Z80" s="15">
        <f ca="1">IFERROR(GETPIVOTDATA("Cuenta de CANT",Tabla9,"PROV",[1]Tablas!$A$88,"SEFIS",Z$16,"CANT",[1]Tablas!$A51),0)</f>
        <v>2</v>
      </c>
      <c r="AA80" s="15">
        <f ca="1">IFERROR(GETPIVOTDATA("Cuenta de CANT",Tabla9,"PROV",[1]Tablas!$A$88,"SEFIS",AA$16,"CANT",[1]Tablas!$A51),0)</f>
        <v>0</v>
      </c>
      <c r="AB80" s="15">
        <f ca="1">IFERROR(GETPIVOTDATA("Cuenta de CANT",Tabla9,"PROV",[1]Tablas!$A$88,"SEFIS",AB$16,"CANT",[1]Tablas!$A51),0)</f>
        <v>0</v>
      </c>
      <c r="AC80" s="15">
        <f ca="1">IFERROR(GETPIVOTDATA("Cuenta de CANT",Tabla9,"PROV",[1]Tablas!$A$88,"SEFIS",AC$16,"CANT",[1]Tablas!$A51),0)</f>
        <v>0</v>
      </c>
      <c r="AD80" s="15">
        <f ca="1">IFERROR(GETPIVOTDATA("Cuenta de CANT",Tabla9,"PROV",[1]Tablas!$A$88,"SEFIS",AD$16,"CANT",[1]Tablas!$A51),0)</f>
        <v>1</v>
      </c>
      <c r="AE80" s="15">
        <f ca="1">IFERROR(GETPIVOTDATA("Cuenta de CANT",Tabla9,"PROV",[1]Tablas!$A$88,"SEFIS",AE$16,"CANT",[1]Tablas!$A51),0)</f>
        <v>0</v>
      </c>
      <c r="AF80" s="15">
        <f ca="1">IFERROR(GETPIVOTDATA("Cuenta de CANT",Tabla9,"PROV",[1]Tablas!$A$88,"SEFIS",AF$16,"CANT",[1]Tablas!$A51),0)</f>
        <v>0</v>
      </c>
      <c r="AG80" s="15">
        <f ca="1">IFERROR(GETPIVOTDATA("Cuenta de CANT",Tabla9,"PROV",[1]Tablas!$A$88,"SEFIS",AG$16,"CANT",[1]Tablas!$A51),0)</f>
        <v>1</v>
      </c>
      <c r="AH80" s="15">
        <f ca="1">IFERROR(GETPIVOTDATA("Cuenta de CANT",Tabla9,"PROV",[1]Tablas!$A$88,"SEFIS",AH$16,"CANT",[1]Tablas!$A51),0)</f>
        <v>0</v>
      </c>
      <c r="AI80" s="15">
        <f ca="1">IFERROR(GETPIVOTDATA("Cuenta de CANT",Tabla9,"PROV",[1]Tablas!$A$88,"SEFIS",AI$16,"CANT",[1]Tablas!$A51),0)</f>
        <v>0</v>
      </c>
      <c r="AJ80" s="15">
        <f ca="1">IFERROR(GETPIVOTDATA("Cuenta de CANT",Tabla9,"PROV",[1]Tablas!$A$88,"SEFIS",AJ$16,"CANT",[1]Tablas!$A51),0)</f>
        <v>0</v>
      </c>
      <c r="AK80" s="15">
        <f ca="1">IFERROR(GETPIVOTDATA("Cuenta de CANT",Tabla9,"PROV",[1]Tablas!$A$88,"SEFIS",AK$16,"CANT",[1]Tablas!$A51),0)</f>
        <v>1</v>
      </c>
      <c r="AL80" s="15">
        <f ca="1">IFERROR(GETPIVOTDATA("Cuenta de CANT",Tabla9,"PROV",[1]Tablas!$A$88,"SEFIS",AL$16,"CANT",[1]Tablas!$A51),0)</f>
        <v>0</v>
      </c>
      <c r="AM80" s="15">
        <f ca="1">IFERROR(GETPIVOTDATA("Cuenta de CANT",Tabla9,"PROV",[1]Tablas!$A$88,"SEFIS",AM$16,"CANT",[1]Tablas!$A51),0)</f>
        <v>0</v>
      </c>
      <c r="AN80" s="15">
        <f ca="1">IFERROR(GETPIVOTDATA("Cuenta de CANT",Tabla9,"PROV",[1]Tablas!$A$88,"SEFIS",AN$16,"CANT",[1]Tablas!$A51),0)</f>
        <v>0</v>
      </c>
      <c r="AO80" s="15">
        <f ca="1">IFERROR(GETPIVOTDATA("Cuenta de CANT",Tabla9,"PROV",[1]Tablas!$A$88,"SEFIS",AO$16,"CANT",[1]Tablas!$A51),0)</f>
        <v>0</v>
      </c>
      <c r="AP80" s="15">
        <f ca="1">IFERROR(GETPIVOTDATA("Cuenta de CANT",Tabla9,"PROV",[1]Tablas!$A$88,"SEFIS",AP$16,"CANT",[1]Tablas!$A51),0)</f>
        <v>0</v>
      </c>
      <c r="AQ80" s="15">
        <f ca="1">IFERROR(GETPIVOTDATA("Cuenta de CANT",Tabla9,"PROV",[1]Tablas!$A$88,"SEFIS",AQ$16,"CANT",[1]Tablas!$A51),0)</f>
        <v>1</v>
      </c>
      <c r="AR80" s="15">
        <f ca="1">IFERROR(GETPIVOTDATA("Cuenta de CANT",Tabla9,"PROV",[1]Tablas!$A$88,"SEFIS",AR$16,"CANT",[1]Tablas!$A51),0)</f>
        <v>0</v>
      </c>
      <c r="AS80" s="15">
        <f ca="1">IFERROR(GETPIVOTDATA("Cuenta de CANT",Tabla9,"PROV",[1]Tablas!$A$88,"SEFIS",AS$16,"CANT",[1]Tablas!$A51),0)</f>
        <v>0</v>
      </c>
      <c r="AT80" s="15">
        <f ca="1">IFERROR(GETPIVOTDATA("Cuenta de CANT",Tabla9,"PROV",[1]Tablas!$A$88,"SEFIS",AT$16,"CANT",[1]Tablas!$A51),0)</f>
        <v>1</v>
      </c>
      <c r="AU80" s="15">
        <f ca="1">IFERROR(GETPIVOTDATA("Cuenta de CANT",Tabla9,"PROV",[1]Tablas!$A$88,"SEFIS",AU$16,"CANT",[1]Tablas!$A51),0)</f>
        <v>0</v>
      </c>
      <c r="AV80" s="15">
        <f ca="1">IFERROR(GETPIVOTDATA("Cuenta de CANT",Tabla9,"PROV",[1]Tablas!$A$88,"SEFIS",AV$16,"CANT",[1]Tablas!$A51),0)</f>
        <v>2</v>
      </c>
      <c r="AW80" s="15">
        <f ca="1">IFERROR(GETPIVOTDATA("Cuenta de CANT",Tabla9,"PROV",[1]Tablas!$A$88,"SEFIS",AW$16,"CANT",[1]Tablas!$A51),0)</f>
        <v>4</v>
      </c>
      <c r="AX80" s="15">
        <f ca="1">IFERROR(GETPIVOTDATA("Cuenta de CANT",Tabla9,"PROV",[1]Tablas!$A$88,"SEFIS",AX$16,"CANT",[1]Tablas!$A51),0)</f>
        <v>10</v>
      </c>
      <c r="AY80" s="15">
        <f ca="1">IFERROR(GETPIVOTDATA("Cuenta de CANT",Tabla9,"PROV",[1]Tablas!$A$88,"SEFIS",AY$16,"CANT",[1]Tablas!$A51),0)</f>
        <v>2</v>
      </c>
      <c r="AZ80" s="15">
        <f ca="1">IFERROR(GETPIVOTDATA("Cuenta de CANT",Tabla9,"PROV",[1]Tablas!$A$88,"SEFIS",AZ$16,"CANT",[1]Tablas!$A51),0)</f>
        <v>7</v>
      </c>
      <c r="BA80" s="15">
        <f ca="1">IFERROR(GETPIVOTDATA("Cuenta de CANT",Tabla9,"PROV",[1]Tablas!$A$88,"SEFIS",BA$16,"CANT",[1]Tablas!$A51),0)</f>
        <v>8</v>
      </c>
      <c r="BB80" s="15">
        <f ca="1">IFERROR(GETPIVOTDATA("Cuenta de CANT",Tabla9,"PROV",[1]Tablas!$A$88,"SEFIS",BB$16,"CANT",[1]Tablas!$A51),0)</f>
        <v>2</v>
      </c>
      <c r="BC80" s="15">
        <f ca="1">IFERROR(GETPIVOTDATA("Cuenta de CANT",Tabla9,"PROV",[1]Tablas!$A$88,"SEFIS",BC$16,"CANT",[1]Tablas!$A51),0)</f>
        <v>0</v>
      </c>
    </row>
    <row r="81" spans="1:55" x14ac:dyDescent="0.35">
      <c r="A81" s="14" t="s">
        <v>74</v>
      </c>
      <c r="B81" s="15">
        <f t="shared" ca="1" si="7"/>
        <v>7</v>
      </c>
      <c r="C81" s="16">
        <f ca="1">IFERROR(B81/[1]Tablas!$B52*100000,"N/D")</f>
        <v>35.473572188719402</v>
      </c>
      <c r="D81" s="15">
        <f ca="1">IFERROR(GETPIVOTDATA("Cuenta de CANT",Tabla9,"PROV",[1]Tablas!$A$88,"SEFIS",D$16,"CANT",[1]Tablas!$A52),0)</f>
        <v>0</v>
      </c>
      <c r="E81" s="15">
        <f ca="1">IFERROR(GETPIVOTDATA("Cuenta de CANT",Tabla9,"PROV",[1]Tablas!$A$88,"SEFIS",E$16,"CANT",[1]Tablas!$A52),0)</f>
        <v>0</v>
      </c>
      <c r="F81" s="15">
        <f ca="1">IFERROR(GETPIVOTDATA("Cuenta de CANT",Tabla9,"PROV",[1]Tablas!$A$88,"SEFIS",F$16,"CANT",[1]Tablas!$A52),0)</f>
        <v>0</v>
      </c>
      <c r="G81" s="15">
        <f ca="1">IFERROR(GETPIVOTDATA("Cuenta de CANT",Tabla9,"PROV",[1]Tablas!$A$88,"SEFIS",G$16,"CANT",[1]Tablas!$A52),0)</f>
        <v>0</v>
      </c>
      <c r="H81" s="15">
        <f ca="1">IFERROR(GETPIVOTDATA("Cuenta de CANT",Tabla9,"PROV",[1]Tablas!$A$88,"SEFIS",H$16,"CANT",[1]Tablas!$A52),0)</f>
        <v>0</v>
      </c>
      <c r="I81" s="15">
        <f ca="1">IFERROR(GETPIVOTDATA("Cuenta de CANT",Tabla9,"PROV",[1]Tablas!$A$88,"SEFIS",I$16,"CANT",[1]Tablas!$A52),0)</f>
        <v>0</v>
      </c>
      <c r="J81" s="15">
        <f ca="1">IFERROR(GETPIVOTDATA("Cuenta de CANT",Tabla9,"PROV",[1]Tablas!$A$88,"SEFIS",J$16,"CANT",[1]Tablas!$A52),0)</f>
        <v>0</v>
      </c>
      <c r="K81" s="15">
        <f ca="1">IFERROR(GETPIVOTDATA("Cuenta de CANT",Tabla9,"PROV",[1]Tablas!$A$88,"SEFIS",K$16,"CANT",[1]Tablas!$A52),0)</f>
        <v>0</v>
      </c>
      <c r="L81" s="15">
        <f ca="1">IFERROR(GETPIVOTDATA("Cuenta de CANT",Tabla9,"PROV",[1]Tablas!$A$88,"SEFIS",L$16,"CANT",[1]Tablas!$A52),0)</f>
        <v>0</v>
      </c>
      <c r="M81" s="15">
        <f ca="1">IFERROR(GETPIVOTDATA("Cuenta de CANT",Tabla9,"PROV",[1]Tablas!$A$88,"SEFIS",M$16,"CANT",[1]Tablas!$A52),0)</f>
        <v>0</v>
      </c>
      <c r="N81" s="15">
        <f ca="1">IFERROR(GETPIVOTDATA("Cuenta de CANT",Tabla9,"PROV",[1]Tablas!$A$88,"SEFIS",N$16,"CANT",[1]Tablas!$A52),0)</f>
        <v>0</v>
      </c>
      <c r="O81" s="15">
        <f ca="1">IFERROR(GETPIVOTDATA("Cuenta de CANT",Tabla9,"PROV",[1]Tablas!$A$88,"SEFIS",O$16,"CANT",[1]Tablas!$A52),0)</f>
        <v>0</v>
      </c>
      <c r="P81" s="15">
        <f ca="1">IFERROR(GETPIVOTDATA("Cuenta de CANT",Tabla9,"PROV",[1]Tablas!$A$88,"SEFIS",P$16,"CANT",[1]Tablas!$A52),0)</f>
        <v>0</v>
      </c>
      <c r="Q81" s="15">
        <f ca="1">IFERROR(GETPIVOTDATA("Cuenta de CANT",Tabla9,"PROV",[1]Tablas!$A$88,"SEFIS",Q$16,"CANT",[1]Tablas!$A52),0)</f>
        <v>0</v>
      </c>
      <c r="R81" s="15">
        <f ca="1">IFERROR(GETPIVOTDATA("Cuenta de CANT",Tabla9,"PROV",[1]Tablas!$A$88,"SEFIS",R$16,"CANT",[1]Tablas!$A52),0)</f>
        <v>0</v>
      </c>
      <c r="S81" s="15">
        <f ca="1">IFERROR(GETPIVOTDATA("Cuenta de CANT",Tabla9,"PROV",[1]Tablas!$A$88,"SEFIS",S$16,"CANT",[1]Tablas!$A52),0)</f>
        <v>0</v>
      </c>
      <c r="T81" s="15">
        <f ca="1">IFERROR(GETPIVOTDATA("Cuenta de CANT",Tabla9,"PROV",[1]Tablas!$A$88,"SEFIS",T$16,"CANT",[1]Tablas!$A52),0)</f>
        <v>0</v>
      </c>
      <c r="U81" s="15">
        <f ca="1">IFERROR(GETPIVOTDATA("Cuenta de CANT",Tabla9,"PROV",[1]Tablas!$A$88,"SEFIS",U$16,"CANT",[1]Tablas!$A52),0)</f>
        <v>0</v>
      </c>
      <c r="V81" s="15">
        <f ca="1">IFERROR(GETPIVOTDATA("Cuenta de CANT",Tabla9,"PROV",[1]Tablas!$A$88,"SEFIS",V$16,"CANT",[1]Tablas!$A52),0)</f>
        <v>0</v>
      </c>
      <c r="W81" s="15">
        <f ca="1">IFERROR(GETPIVOTDATA("Cuenta de CANT",Tabla9,"PROV",[1]Tablas!$A$88,"SEFIS",W$16,"CANT",[1]Tablas!$A52),0)</f>
        <v>0</v>
      </c>
      <c r="X81" s="15">
        <f ca="1">IFERROR(GETPIVOTDATA("Cuenta de CANT",Tabla9,"PROV",[1]Tablas!$A$88,"SEFIS",X$16,"CANT",[1]Tablas!$A52),0)</f>
        <v>0</v>
      </c>
      <c r="Y81" s="15">
        <f ca="1">IFERROR(GETPIVOTDATA("Cuenta de CANT",Tabla9,"PROV",[1]Tablas!$A$88,"SEFIS",Y$16,"CANT",[1]Tablas!$A52),0)</f>
        <v>0</v>
      </c>
      <c r="Z81" s="15">
        <f ca="1">IFERROR(GETPIVOTDATA("Cuenta de CANT",Tabla9,"PROV",[1]Tablas!$A$88,"SEFIS",Z$16,"CANT",[1]Tablas!$A52),0)</f>
        <v>0</v>
      </c>
      <c r="AA81" s="15">
        <f ca="1">IFERROR(GETPIVOTDATA("Cuenta de CANT",Tabla9,"PROV",[1]Tablas!$A$88,"SEFIS",AA$16,"CANT",[1]Tablas!$A52),0)</f>
        <v>0</v>
      </c>
      <c r="AB81" s="15">
        <f ca="1">IFERROR(GETPIVOTDATA("Cuenta de CANT",Tabla9,"PROV",[1]Tablas!$A$88,"SEFIS",AB$16,"CANT",[1]Tablas!$A52),0)</f>
        <v>0</v>
      </c>
      <c r="AC81" s="15">
        <f ca="1">IFERROR(GETPIVOTDATA("Cuenta de CANT",Tabla9,"PROV",[1]Tablas!$A$88,"SEFIS",AC$16,"CANT",[1]Tablas!$A52),0)</f>
        <v>0</v>
      </c>
      <c r="AD81" s="15">
        <f ca="1">IFERROR(GETPIVOTDATA("Cuenta de CANT",Tabla9,"PROV",[1]Tablas!$A$88,"SEFIS",AD$16,"CANT",[1]Tablas!$A52),0)</f>
        <v>0</v>
      </c>
      <c r="AE81" s="15">
        <f ca="1">IFERROR(GETPIVOTDATA("Cuenta de CANT",Tabla9,"PROV",[1]Tablas!$A$88,"SEFIS",AE$16,"CANT",[1]Tablas!$A52),0)</f>
        <v>0</v>
      </c>
      <c r="AF81" s="15">
        <f ca="1">IFERROR(GETPIVOTDATA("Cuenta de CANT",Tabla9,"PROV",[1]Tablas!$A$88,"SEFIS",AF$16,"CANT",[1]Tablas!$A52),0)</f>
        <v>0</v>
      </c>
      <c r="AG81" s="15">
        <f ca="1">IFERROR(GETPIVOTDATA("Cuenta de CANT",Tabla9,"PROV",[1]Tablas!$A$88,"SEFIS",AG$16,"CANT",[1]Tablas!$A52),0)</f>
        <v>0</v>
      </c>
      <c r="AH81" s="15">
        <f ca="1">IFERROR(GETPIVOTDATA("Cuenta de CANT",Tabla9,"PROV",[1]Tablas!$A$88,"SEFIS",AH$16,"CANT",[1]Tablas!$A52),0)</f>
        <v>0</v>
      </c>
      <c r="AI81" s="15">
        <f ca="1">IFERROR(GETPIVOTDATA("Cuenta de CANT",Tabla9,"PROV",[1]Tablas!$A$88,"SEFIS",AI$16,"CANT",[1]Tablas!$A52),0)</f>
        <v>0</v>
      </c>
      <c r="AJ81" s="15">
        <f ca="1">IFERROR(GETPIVOTDATA("Cuenta de CANT",Tabla9,"PROV",[1]Tablas!$A$88,"SEFIS",AJ$16,"CANT",[1]Tablas!$A52),0)</f>
        <v>0</v>
      </c>
      <c r="AK81" s="15">
        <f ca="1">IFERROR(GETPIVOTDATA("Cuenta de CANT",Tabla9,"PROV",[1]Tablas!$A$88,"SEFIS",AK$16,"CANT",[1]Tablas!$A52),0)</f>
        <v>0</v>
      </c>
      <c r="AL81" s="15">
        <f ca="1">IFERROR(GETPIVOTDATA("Cuenta de CANT",Tabla9,"PROV",[1]Tablas!$A$88,"SEFIS",AL$16,"CANT",[1]Tablas!$A52),0)</f>
        <v>0</v>
      </c>
      <c r="AM81" s="15">
        <f ca="1">IFERROR(GETPIVOTDATA("Cuenta de CANT",Tabla9,"PROV",[1]Tablas!$A$88,"SEFIS",AM$16,"CANT",[1]Tablas!$A52),0)</f>
        <v>1</v>
      </c>
      <c r="AN81" s="15">
        <f ca="1">IFERROR(GETPIVOTDATA("Cuenta de CANT",Tabla9,"PROV",[1]Tablas!$A$88,"SEFIS",AN$16,"CANT",[1]Tablas!$A52),0)</f>
        <v>0</v>
      </c>
      <c r="AO81" s="15">
        <f ca="1">IFERROR(GETPIVOTDATA("Cuenta de CANT",Tabla9,"PROV",[1]Tablas!$A$88,"SEFIS",AO$16,"CANT",[1]Tablas!$A52),0)</f>
        <v>1</v>
      </c>
      <c r="AP81" s="15">
        <f ca="1">IFERROR(GETPIVOTDATA("Cuenta de CANT",Tabla9,"PROV",[1]Tablas!$A$88,"SEFIS",AP$16,"CANT",[1]Tablas!$A52),0)</f>
        <v>0</v>
      </c>
      <c r="AQ81" s="15">
        <f ca="1">IFERROR(GETPIVOTDATA("Cuenta de CANT",Tabla9,"PROV",[1]Tablas!$A$88,"SEFIS",AQ$16,"CANT",[1]Tablas!$A52),0)</f>
        <v>0</v>
      </c>
      <c r="AR81" s="15">
        <f ca="1">IFERROR(GETPIVOTDATA("Cuenta de CANT",Tabla9,"PROV",[1]Tablas!$A$88,"SEFIS",AR$16,"CANT",[1]Tablas!$A52),0)</f>
        <v>0</v>
      </c>
      <c r="AS81" s="15">
        <f ca="1">IFERROR(GETPIVOTDATA("Cuenta de CANT",Tabla9,"PROV",[1]Tablas!$A$88,"SEFIS",AS$16,"CANT",[1]Tablas!$A52),0)</f>
        <v>0</v>
      </c>
      <c r="AT81" s="15">
        <f ca="1">IFERROR(GETPIVOTDATA("Cuenta de CANT",Tabla9,"PROV",[1]Tablas!$A$88,"SEFIS",AT$16,"CANT",[1]Tablas!$A52),0)</f>
        <v>0</v>
      </c>
      <c r="AU81" s="15">
        <f ca="1">IFERROR(GETPIVOTDATA("Cuenta de CANT",Tabla9,"PROV",[1]Tablas!$A$88,"SEFIS",AU$16,"CANT",[1]Tablas!$A52),0)</f>
        <v>1</v>
      </c>
      <c r="AV81" s="15">
        <f ca="1">IFERROR(GETPIVOTDATA("Cuenta de CANT",Tabla9,"PROV",[1]Tablas!$A$88,"SEFIS",AV$16,"CANT",[1]Tablas!$A52),0)</f>
        <v>0</v>
      </c>
      <c r="AW81" s="15">
        <f ca="1">IFERROR(GETPIVOTDATA("Cuenta de CANT",Tabla9,"PROV",[1]Tablas!$A$88,"SEFIS",AW$16,"CANT",[1]Tablas!$A52),0)</f>
        <v>3</v>
      </c>
      <c r="AX81" s="15">
        <f ca="1">IFERROR(GETPIVOTDATA("Cuenta de CANT",Tabla9,"PROV",[1]Tablas!$A$88,"SEFIS",AX$16,"CANT",[1]Tablas!$A52),0)</f>
        <v>0</v>
      </c>
      <c r="AY81" s="15">
        <f ca="1">IFERROR(GETPIVOTDATA("Cuenta de CANT",Tabla9,"PROV",[1]Tablas!$A$88,"SEFIS",AY$16,"CANT",[1]Tablas!$A52),0)</f>
        <v>1</v>
      </c>
      <c r="AZ81" s="15">
        <f ca="1">IFERROR(GETPIVOTDATA("Cuenta de CANT",Tabla9,"PROV",[1]Tablas!$A$88,"SEFIS",AZ$16,"CANT",[1]Tablas!$A52),0)</f>
        <v>0</v>
      </c>
      <c r="BA81" s="15">
        <f ca="1">IFERROR(GETPIVOTDATA("Cuenta de CANT",Tabla9,"PROV",[1]Tablas!$A$88,"SEFIS",BA$16,"CANT",[1]Tablas!$A52),0)</f>
        <v>0</v>
      </c>
      <c r="BB81" s="15">
        <f ca="1">IFERROR(GETPIVOTDATA("Cuenta de CANT",Tabla9,"PROV",[1]Tablas!$A$88,"SEFIS",BB$16,"CANT",[1]Tablas!$A52),0)</f>
        <v>0</v>
      </c>
      <c r="BC81" s="15">
        <f ca="1">IFERROR(GETPIVOTDATA("Cuenta de CANT",Tabla9,"PROV",[1]Tablas!$A$88,"SEFIS",BC$16,"CANT",[1]Tablas!$A52),0)</f>
        <v>0</v>
      </c>
    </row>
    <row r="82" spans="1:55" x14ac:dyDescent="0.35">
      <c r="A82" s="14" t="s">
        <v>75</v>
      </c>
      <c r="B82" s="15">
        <f t="shared" ca="1" si="7"/>
        <v>8</v>
      </c>
      <c r="C82" s="16">
        <f ca="1">IFERROR(B82/[1]Tablas!$B53*100000,"N/D")</f>
        <v>37.252619324796278</v>
      </c>
      <c r="D82" s="15">
        <f ca="1">IFERROR(GETPIVOTDATA("Cuenta de CANT",Tabla9,"PROV",[1]Tablas!$A$88,"SEFIS",D$16,"CANT",[1]Tablas!$A53),0)</f>
        <v>0</v>
      </c>
      <c r="E82" s="15">
        <f ca="1">IFERROR(GETPIVOTDATA("Cuenta de CANT",Tabla9,"PROV",[1]Tablas!$A$88,"SEFIS",E$16,"CANT",[1]Tablas!$A53),0)</f>
        <v>0</v>
      </c>
      <c r="F82" s="15">
        <f ca="1">IFERROR(GETPIVOTDATA("Cuenta de CANT",Tabla9,"PROV",[1]Tablas!$A$88,"SEFIS",F$16,"CANT",[1]Tablas!$A53),0)</f>
        <v>0</v>
      </c>
      <c r="G82" s="15">
        <f ca="1">IFERROR(GETPIVOTDATA("Cuenta de CANT",Tabla9,"PROV",[1]Tablas!$A$88,"SEFIS",G$16,"CANT",[1]Tablas!$A53),0)</f>
        <v>0</v>
      </c>
      <c r="H82" s="15">
        <f ca="1">IFERROR(GETPIVOTDATA("Cuenta de CANT",Tabla9,"PROV",[1]Tablas!$A$88,"SEFIS",H$16,"CANT",[1]Tablas!$A53),0)</f>
        <v>0</v>
      </c>
      <c r="I82" s="15">
        <f ca="1">IFERROR(GETPIVOTDATA("Cuenta de CANT",Tabla9,"PROV",[1]Tablas!$A$88,"SEFIS",I$16,"CANT",[1]Tablas!$A53),0)</f>
        <v>0</v>
      </c>
      <c r="J82" s="15">
        <f ca="1">IFERROR(GETPIVOTDATA("Cuenta de CANT",Tabla9,"PROV",[1]Tablas!$A$88,"SEFIS",J$16,"CANT",[1]Tablas!$A53),0)</f>
        <v>0</v>
      </c>
      <c r="K82" s="15">
        <f ca="1">IFERROR(GETPIVOTDATA("Cuenta de CANT",Tabla9,"PROV",[1]Tablas!$A$88,"SEFIS",K$16,"CANT",[1]Tablas!$A53),0)</f>
        <v>0</v>
      </c>
      <c r="L82" s="15">
        <f ca="1">IFERROR(GETPIVOTDATA("Cuenta de CANT",Tabla9,"PROV",[1]Tablas!$A$88,"SEFIS",L$16,"CANT",[1]Tablas!$A53),0)</f>
        <v>1</v>
      </c>
      <c r="M82" s="15">
        <f ca="1">IFERROR(GETPIVOTDATA("Cuenta de CANT",Tabla9,"PROV",[1]Tablas!$A$88,"SEFIS",M$16,"CANT",[1]Tablas!$A53),0)</f>
        <v>0</v>
      </c>
      <c r="N82" s="15">
        <f ca="1">IFERROR(GETPIVOTDATA("Cuenta de CANT",Tabla9,"PROV",[1]Tablas!$A$88,"SEFIS",N$16,"CANT",[1]Tablas!$A53),0)</f>
        <v>0</v>
      </c>
      <c r="O82" s="15">
        <f ca="1">IFERROR(GETPIVOTDATA("Cuenta de CANT",Tabla9,"PROV",[1]Tablas!$A$88,"SEFIS",O$16,"CANT",[1]Tablas!$A53),0)</f>
        <v>0</v>
      </c>
      <c r="P82" s="15">
        <f ca="1">IFERROR(GETPIVOTDATA("Cuenta de CANT",Tabla9,"PROV",[1]Tablas!$A$88,"SEFIS",P$16,"CANT",[1]Tablas!$A53),0)</f>
        <v>0</v>
      </c>
      <c r="Q82" s="15">
        <f ca="1">IFERROR(GETPIVOTDATA("Cuenta de CANT",Tabla9,"PROV",[1]Tablas!$A$88,"SEFIS",Q$16,"CANT",[1]Tablas!$A53),0)</f>
        <v>0</v>
      </c>
      <c r="R82" s="15">
        <f ca="1">IFERROR(GETPIVOTDATA("Cuenta de CANT",Tabla9,"PROV",[1]Tablas!$A$88,"SEFIS",R$16,"CANT",[1]Tablas!$A53),0)</f>
        <v>0</v>
      </c>
      <c r="S82" s="15">
        <f ca="1">IFERROR(GETPIVOTDATA("Cuenta de CANT",Tabla9,"PROV",[1]Tablas!$A$88,"SEFIS",S$16,"CANT",[1]Tablas!$A53),0)</f>
        <v>0</v>
      </c>
      <c r="T82" s="15">
        <f ca="1">IFERROR(GETPIVOTDATA("Cuenta de CANT",Tabla9,"PROV",[1]Tablas!$A$88,"SEFIS",T$16,"CANT",[1]Tablas!$A53),0)</f>
        <v>0</v>
      </c>
      <c r="U82" s="15">
        <f ca="1">IFERROR(GETPIVOTDATA("Cuenta de CANT",Tabla9,"PROV",[1]Tablas!$A$88,"SEFIS",U$16,"CANT",[1]Tablas!$A53),0)</f>
        <v>0</v>
      </c>
      <c r="V82" s="15">
        <f ca="1">IFERROR(GETPIVOTDATA("Cuenta de CANT",Tabla9,"PROV",[1]Tablas!$A$88,"SEFIS",V$16,"CANT",[1]Tablas!$A53),0)</f>
        <v>0</v>
      </c>
      <c r="W82" s="15">
        <f ca="1">IFERROR(GETPIVOTDATA("Cuenta de CANT",Tabla9,"PROV",[1]Tablas!$A$88,"SEFIS",W$16,"CANT",[1]Tablas!$A53),0)</f>
        <v>0</v>
      </c>
      <c r="X82" s="15">
        <f ca="1">IFERROR(GETPIVOTDATA("Cuenta de CANT",Tabla9,"PROV",[1]Tablas!$A$88,"SEFIS",X$16,"CANT",[1]Tablas!$A53),0)</f>
        <v>0</v>
      </c>
      <c r="Y82" s="15">
        <f ca="1">IFERROR(GETPIVOTDATA("Cuenta de CANT",Tabla9,"PROV",[1]Tablas!$A$88,"SEFIS",Y$16,"CANT",[1]Tablas!$A53),0)</f>
        <v>0</v>
      </c>
      <c r="Z82" s="15">
        <f ca="1">IFERROR(GETPIVOTDATA("Cuenta de CANT",Tabla9,"PROV",[1]Tablas!$A$88,"SEFIS",Z$16,"CANT",[1]Tablas!$A53),0)</f>
        <v>0</v>
      </c>
      <c r="AA82" s="15">
        <f ca="1">IFERROR(GETPIVOTDATA("Cuenta de CANT",Tabla9,"PROV",[1]Tablas!$A$88,"SEFIS",AA$16,"CANT",[1]Tablas!$A53),0)</f>
        <v>0</v>
      </c>
      <c r="AB82" s="15">
        <f ca="1">IFERROR(GETPIVOTDATA("Cuenta de CANT",Tabla9,"PROV",[1]Tablas!$A$88,"SEFIS",AB$16,"CANT",[1]Tablas!$A53),0)</f>
        <v>0</v>
      </c>
      <c r="AC82" s="15">
        <f ca="1">IFERROR(GETPIVOTDATA("Cuenta de CANT",Tabla9,"PROV",[1]Tablas!$A$88,"SEFIS",AC$16,"CANT",[1]Tablas!$A53),0)</f>
        <v>0</v>
      </c>
      <c r="AD82" s="15">
        <f ca="1">IFERROR(GETPIVOTDATA("Cuenta de CANT",Tabla9,"PROV",[1]Tablas!$A$88,"SEFIS",AD$16,"CANT",[1]Tablas!$A53),0)</f>
        <v>0</v>
      </c>
      <c r="AE82" s="15">
        <f ca="1">IFERROR(GETPIVOTDATA("Cuenta de CANT",Tabla9,"PROV",[1]Tablas!$A$88,"SEFIS",AE$16,"CANT",[1]Tablas!$A53),0)</f>
        <v>0</v>
      </c>
      <c r="AF82" s="15">
        <f ca="1">IFERROR(GETPIVOTDATA("Cuenta de CANT",Tabla9,"PROV",[1]Tablas!$A$88,"SEFIS",AF$16,"CANT",[1]Tablas!$A53),0)</f>
        <v>0</v>
      </c>
      <c r="AG82" s="15">
        <f ca="1">IFERROR(GETPIVOTDATA("Cuenta de CANT",Tabla9,"PROV",[1]Tablas!$A$88,"SEFIS",AG$16,"CANT",[1]Tablas!$A53),0)</f>
        <v>0</v>
      </c>
      <c r="AH82" s="15">
        <f ca="1">IFERROR(GETPIVOTDATA("Cuenta de CANT",Tabla9,"PROV",[1]Tablas!$A$88,"SEFIS",AH$16,"CANT",[1]Tablas!$A53),0)</f>
        <v>0</v>
      </c>
      <c r="AI82" s="15">
        <f ca="1">IFERROR(GETPIVOTDATA("Cuenta de CANT",Tabla9,"PROV",[1]Tablas!$A$88,"SEFIS",AI$16,"CANT",[1]Tablas!$A53),0)</f>
        <v>0</v>
      </c>
      <c r="AJ82" s="15">
        <f ca="1">IFERROR(GETPIVOTDATA("Cuenta de CANT",Tabla9,"PROV",[1]Tablas!$A$88,"SEFIS",AJ$16,"CANT",[1]Tablas!$A53),0)</f>
        <v>0</v>
      </c>
      <c r="AK82" s="15">
        <f ca="1">IFERROR(GETPIVOTDATA("Cuenta de CANT",Tabla9,"PROV",[1]Tablas!$A$88,"SEFIS",AK$16,"CANT",[1]Tablas!$A53),0)</f>
        <v>0</v>
      </c>
      <c r="AL82" s="15">
        <f ca="1">IFERROR(GETPIVOTDATA("Cuenta de CANT",Tabla9,"PROV",[1]Tablas!$A$88,"SEFIS",AL$16,"CANT",[1]Tablas!$A53),0)</f>
        <v>0</v>
      </c>
      <c r="AM82" s="15">
        <f ca="1">IFERROR(GETPIVOTDATA("Cuenta de CANT",Tabla9,"PROV",[1]Tablas!$A$88,"SEFIS",AM$16,"CANT",[1]Tablas!$A53),0)</f>
        <v>0</v>
      </c>
      <c r="AN82" s="15">
        <f ca="1">IFERROR(GETPIVOTDATA("Cuenta de CANT",Tabla9,"PROV",[1]Tablas!$A$88,"SEFIS",AN$16,"CANT",[1]Tablas!$A53),0)</f>
        <v>0</v>
      </c>
      <c r="AO82" s="15">
        <f ca="1">IFERROR(GETPIVOTDATA("Cuenta de CANT",Tabla9,"PROV",[1]Tablas!$A$88,"SEFIS",AO$16,"CANT",[1]Tablas!$A53),0)</f>
        <v>0</v>
      </c>
      <c r="AP82" s="15">
        <f ca="1">IFERROR(GETPIVOTDATA("Cuenta de CANT",Tabla9,"PROV",[1]Tablas!$A$88,"SEFIS",AP$16,"CANT",[1]Tablas!$A53),0)</f>
        <v>0</v>
      </c>
      <c r="AQ82" s="15">
        <f ca="1">IFERROR(GETPIVOTDATA("Cuenta de CANT",Tabla9,"PROV",[1]Tablas!$A$88,"SEFIS",AQ$16,"CANT",[1]Tablas!$A53),0)</f>
        <v>0</v>
      </c>
      <c r="AR82" s="15">
        <f ca="1">IFERROR(GETPIVOTDATA("Cuenta de CANT",Tabla9,"PROV",[1]Tablas!$A$88,"SEFIS",AR$16,"CANT",[1]Tablas!$A53),0)</f>
        <v>0</v>
      </c>
      <c r="AS82" s="15">
        <f ca="1">IFERROR(GETPIVOTDATA("Cuenta de CANT",Tabla9,"PROV",[1]Tablas!$A$88,"SEFIS",AS$16,"CANT",[1]Tablas!$A53),0)</f>
        <v>0</v>
      </c>
      <c r="AT82" s="15">
        <f ca="1">IFERROR(GETPIVOTDATA("Cuenta de CANT",Tabla9,"PROV",[1]Tablas!$A$88,"SEFIS",AT$16,"CANT",[1]Tablas!$A53),0)</f>
        <v>0</v>
      </c>
      <c r="AU82" s="15">
        <f ca="1">IFERROR(GETPIVOTDATA("Cuenta de CANT",Tabla9,"PROV",[1]Tablas!$A$88,"SEFIS",AU$16,"CANT",[1]Tablas!$A53),0)</f>
        <v>2</v>
      </c>
      <c r="AV82" s="15">
        <f ca="1">IFERROR(GETPIVOTDATA("Cuenta de CANT",Tabla9,"PROV",[1]Tablas!$A$88,"SEFIS",AV$16,"CANT",[1]Tablas!$A53),0)</f>
        <v>0</v>
      </c>
      <c r="AW82" s="15">
        <f ca="1">IFERROR(GETPIVOTDATA("Cuenta de CANT",Tabla9,"PROV",[1]Tablas!$A$88,"SEFIS",AW$16,"CANT",[1]Tablas!$A53),0)</f>
        <v>0</v>
      </c>
      <c r="AX82" s="15">
        <f ca="1">IFERROR(GETPIVOTDATA("Cuenta de CANT",Tabla9,"PROV",[1]Tablas!$A$88,"SEFIS",AX$16,"CANT",[1]Tablas!$A53),0)</f>
        <v>1</v>
      </c>
      <c r="AY82" s="15">
        <f ca="1">IFERROR(GETPIVOTDATA("Cuenta de CANT",Tabla9,"PROV",[1]Tablas!$A$88,"SEFIS",AY$16,"CANT",[1]Tablas!$A53),0)</f>
        <v>1</v>
      </c>
      <c r="AZ82" s="15">
        <f ca="1">IFERROR(GETPIVOTDATA("Cuenta de CANT",Tabla9,"PROV",[1]Tablas!$A$88,"SEFIS",AZ$16,"CANT",[1]Tablas!$A53),0)</f>
        <v>0</v>
      </c>
      <c r="BA82" s="15">
        <f ca="1">IFERROR(GETPIVOTDATA("Cuenta de CANT",Tabla9,"PROV",[1]Tablas!$A$88,"SEFIS",BA$16,"CANT",[1]Tablas!$A53),0)</f>
        <v>1</v>
      </c>
      <c r="BB82" s="15">
        <f ca="1">IFERROR(GETPIVOTDATA("Cuenta de CANT",Tabla9,"PROV",[1]Tablas!$A$88,"SEFIS",BB$16,"CANT",[1]Tablas!$A53),0)</f>
        <v>1</v>
      </c>
      <c r="BC82" s="15">
        <f ca="1">IFERROR(GETPIVOTDATA("Cuenta de CANT",Tabla9,"PROV",[1]Tablas!$A$88,"SEFIS",BC$16,"CANT",[1]Tablas!$A53),0)</f>
        <v>1</v>
      </c>
    </row>
    <row r="83" spans="1:55" x14ac:dyDescent="0.35">
      <c r="A83" s="14" t="s">
        <v>76</v>
      </c>
      <c r="B83" s="15">
        <f t="shared" ca="1" si="7"/>
        <v>7</v>
      </c>
      <c r="C83" s="16">
        <f ca="1">IFERROR(B83/[1]Tablas!$B54*100000,"N/D")</f>
        <v>59.762656876974297</v>
      </c>
      <c r="D83" s="15">
        <f ca="1">IFERROR(GETPIVOTDATA("Cuenta de CANT",Tabla9,"PROV",[1]Tablas!$A$88,"SEFIS",D$16,"CANT",[1]Tablas!$A54),0)</f>
        <v>0</v>
      </c>
      <c r="E83" s="15">
        <f ca="1">IFERROR(GETPIVOTDATA("Cuenta de CANT",Tabla9,"PROV",[1]Tablas!$A$88,"SEFIS",E$16,"CANT",[1]Tablas!$A54),0)</f>
        <v>0</v>
      </c>
      <c r="F83" s="15">
        <f ca="1">IFERROR(GETPIVOTDATA("Cuenta de CANT",Tabla9,"PROV",[1]Tablas!$A$88,"SEFIS",F$16,"CANT",[1]Tablas!$A54),0)</f>
        <v>0</v>
      </c>
      <c r="G83" s="15">
        <f ca="1">IFERROR(GETPIVOTDATA("Cuenta de CANT",Tabla9,"PROV",[1]Tablas!$A$88,"SEFIS",G$16,"CANT",[1]Tablas!$A54),0)</f>
        <v>0</v>
      </c>
      <c r="H83" s="15">
        <f ca="1">IFERROR(GETPIVOTDATA("Cuenta de CANT",Tabla9,"PROV",[1]Tablas!$A$88,"SEFIS",H$16,"CANT",[1]Tablas!$A54),0)</f>
        <v>0</v>
      </c>
      <c r="I83" s="15">
        <f ca="1">IFERROR(GETPIVOTDATA("Cuenta de CANT",Tabla9,"PROV",[1]Tablas!$A$88,"SEFIS",I$16,"CANT",[1]Tablas!$A54),0)</f>
        <v>0</v>
      </c>
      <c r="J83" s="15">
        <f ca="1">IFERROR(GETPIVOTDATA("Cuenta de CANT",Tabla9,"PROV",[1]Tablas!$A$88,"SEFIS",J$16,"CANT",[1]Tablas!$A54),0)</f>
        <v>0</v>
      </c>
      <c r="K83" s="15">
        <f ca="1">IFERROR(GETPIVOTDATA("Cuenta de CANT",Tabla9,"PROV",[1]Tablas!$A$88,"SEFIS",K$16,"CANT",[1]Tablas!$A54),0)</f>
        <v>0</v>
      </c>
      <c r="L83" s="15">
        <f ca="1">IFERROR(GETPIVOTDATA("Cuenta de CANT",Tabla9,"PROV",[1]Tablas!$A$88,"SEFIS",L$16,"CANT",[1]Tablas!$A54),0)</f>
        <v>0</v>
      </c>
      <c r="M83" s="15">
        <f ca="1">IFERROR(GETPIVOTDATA("Cuenta de CANT",Tabla9,"PROV",[1]Tablas!$A$88,"SEFIS",M$16,"CANT",[1]Tablas!$A54),0)</f>
        <v>0</v>
      </c>
      <c r="N83" s="15">
        <f ca="1">IFERROR(GETPIVOTDATA("Cuenta de CANT",Tabla9,"PROV",[1]Tablas!$A$88,"SEFIS",N$16,"CANT",[1]Tablas!$A54),0)</f>
        <v>0</v>
      </c>
      <c r="O83" s="15">
        <f ca="1">IFERROR(GETPIVOTDATA("Cuenta de CANT",Tabla9,"PROV",[1]Tablas!$A$88,"SEFIS",O$16,"CANT",[1]Tablas!$A54),0)</f>
        <v>0</v>
      </c>
      <c r="P83" s="15">
        <f ca="1">IFERROR(GETPIVOTDATA("Cuenta de CANT",Tabla9,"PROV",[1]Tablas!$A$88,"SEFIS",P$16,"CANT",[1]Tablas!$A54),0)</f>
        <v>0</v>
      </c>
      <c r="Q83" s="15">
        <f ca="1">IFERROR(GETPIVOTDATA("Cuenta de CANT",Tabla9,"PROV",[1]Tablas!$A$88,"SEFIS",Q$16,"CANT",[1]Tablas!$A54),0)</f>
        <v>0</v>
      </c>
      <c r="R83" s="15">
        <f ca="1">IFERROR(GETPIVOTDATA("Cuenta de CANT",Tabla9,"PROV",[1]Tablas!$A$88,"SEFIS",R$16,"CANT",[1]Tablas!$A54),0)</f>
        <v>0</v>
      </c>
      <c r="S83" s="15">
        <f ca="1">IFERROR(GETPIVOTDATA("Cuenta de CANT",Tabla9,"PROV",[1]Tablas!$A$88,"SEFIS",S$16,"CANT",[1]Tablas!$A54),0)</f>
        <v>0</v>
      </c>
      <c r="T83" s="15">
        <f ca="1">IFERROR(GETPIVOTDATA("Cuenta de CANT",Tabla9,"PROV",[1]Tablas!$A$88,"SEFIS",T$16,"CANT",[1]Tablas!$A54),0)</f>
        <v>0</v>
      </c>
      <c r="U83" s="15">
        <f ca="1">IFERROR(GETPIVOTDATA("Cuenta de CANT",Tabla9,"PROV",[1]Tablas!$A$88,"SEFIS",U$16,"CANT",[1]Tablas!$A54),0)</f>
        <v>0</v>
      </c>
      <c r="V83" s="15">
        <f ca="1">IFERROR(GETPIVOTDATA("Cuenta de CANT",Tabla9,"PROV",[1]Tablas!$A$88,"SEFIS",V$16,"CANT",[1]Tablas!$A54),0)</f>
        <v>0</v>
      </c>
      <c r="W83" s="15">
        <f ca="1">IFERROR(GETPIVOTDATA("Cuenta de CANT",Tabla9,"PROV",[1]Tablas!$A$88,"SEFIS",W$16,"CANT",[1]Tablas!$A54),0)</f>
        <v>0</v>
      </c>
      <c r="X83" s="15">
        <f ca="1">IFERROR(GETPIVOTDATA("Cuenta de CANT",Tabla9,"PROV",[1]Tablas!$A$88,"SEFIS",X$16,"CANT",[1]Tablas!$A54),0)</f>
        <v>0</v>
      </c>
      <c r="Y83" s="15">
        <f ca="1">IFERROR(GETPIVOTDATA("Cuenta de CANT",Tabla9,"PROV",[1]Tablas!$A$88,"SEFIS",Y$16,"CANT",[1]Tablas!$A54),0)</f>
        <v>0</v>
      </c>
      <c r="Z83" s="15">
        <f ca="1">IFERROR(GETPIVOTDATA("Cuenta de CANT",Tabla9,"PROV",[1]Tablas!$A$88,"SEFIS",Z$16,"CANT",[1]Tablas!$A54),0)</f>
        <v>0</v>
      </c>
      <c r="AA83" s="15">
        <f ca="1">IFERROR(GETPIVOTDATA("Cuenta de CANT",Tabla9,"PROV",[1]Tablas!$A$88,"SEFIS",AA$16,"CANT",[1]Tablas!$A54),0)</f>
        <v>0</v>
      </c>
      <c r="AB83" s="15">
        <f ca="1">IFERROR(GETPIVOTDATA("Cuenta de CANT",Tabla9,"PROV",[1]Tablas!$A$88,"SEFIS",AB$16,"CANT",[1]Tablas!$A54),0)</f>
        <v>0</v>
      </c>
      <c r="AC83" s="15">
        <f ca="1">IFERROR(GETPIVOTDATA("Cuenta de CANT",Tabla9,"PROV",[1]Tablas!$A$88,"SEFIS",AC$16,"CANT",[1]Tablas!$A54),0)</f>
        <v>0</v>
      </c>
      <c r="AD83" s="15">
        <f ca="1">IFERROR(GETPIVOTDATA("Cuenta de CANT",Tabla9,"PROV",[1]Tablas!$A$88,"SEFIS",AD$16,"CANT",[1]Tablas!$A54),0)</f>
        <v>0</v>
      </c>
      <c r="AE83" s="15">
        <f ca="1">IFERROR(GETPIVOTDATA("Cuenta de CANT",Tabla9,"PROV",[1]Tablas!$A$88,"SEFIS",AE$16,"CANT",[1]Tablas!$A54),0)</f>
        <v>0</v>
      </c>
      <c r="AF83" s="15">
        <f ca="1">IFERROR(GETPIVOTDATA("Cuenta de CANT",Tabla9,"PROV",[1]Tablas!$A$88,"SEFIS",AF$16,"CANT",[1]Tablas!$A54),0)</f>
        <v>1</v>
      </c>
      <c r="AG83" s="15">
        <f ca="1">IFERROR(GETPIVOTDATA("Cuenta de CANT",Tabla9,"PROV",[1]Tablas!$A$88,"SEFIS",AG$16,"CANT",[1]Tablas!$A54),0)</f>
        <v>0</v>
      </c>
      <c r="AH83" s="15">
        <f ca="1">IFERROR(GETPIVOTDATA("Cuenta de CANT",Tabla9,"PROV",[1]Tablas!$A$88,"SEFIS",AH$16,"CANT",[1]Tablas!$A54),0)</f>
        <v>1</v>
      </c>
      <c r="AI83" s="15">
        <f ca="1">IFERROR(GETPIVOTDATA("Cuenta de CANT",Tabla9,"PROV",[1]Tablas!$A$88,"SEFIS",AI$16,"CANT",[1]Tablas!$A54),0)</f>
        <v>0</v>
      </c>
      <c r="AJ83" s="15">
        <f ca="1">IFERROR(GETPIVOTDATA("Cuenta de CANT",Tabla9,"PROV",[1]Tablas!$A$88,"SEFIS",AJ$16,"CANT",[1]Tablas!$A54),0)</f>
        <v>0</v>
      </c>
      <c r="AK83" s="15">
        <f ca="1">IFERROR(GETPIVOTDATA("Cuenta de CANT",Tabla9,"PROV",[1]Tablas!$A$88,"SEFIS",AK$16,"CANT",[1]Tablas!$A54),0)</f>
        <v>0</v>
      </c>
      <c r="AL83" s="15">
        <f ca="1">IFERROR(GETPIVOTDATA("Cuenta de CANT",Tabla9,"PROV",[1]Tablas!$A$88,"SEFIS",AL$16,"CANT",[1]Tablas!$A54),0)</f>
        <v>0</v>
      </c>
      <c r="AM83" s="15">
        <f ca="1">IFERROR(GETPIVOTDATA("Cuenta de CANT",Tabla9,"PROV",[1]Tablas!$A$88,"SEFIS",AM$16,"CANT",[1]Tablas!$A54),0)</f>
        <v>0</v>
      </c>
      <c r="AN83" s="15">
        <f ca="1">IFERROR(GETPIVOTDATA("Cuenta de CANT",Tabla9,"PROV",[1]Tablas!$A$88,"SEFIS",AN$16,"CANT",[1]Tablas!$A54),0)</f>
        <v>1</v>
      </c>
      <c r="AO83" s="15">
        <f ca="1">IFERROR(GETPIVOTDATA("Cuenta de CANT",Tabla9,"PROV",[1]Tablas!$A$88,"SEFIS",AO$16,"CANT",[1]Tablas!$A54),0)</f>
        <v>0</v>
      </c>
      <c r="AP83" s="15">
        <f ca="1">IFERROR(GETPIVOTDATA("Cuenta de CANT",Tabla9,"PROV",[1]Tablas!$A$88,"SEFIS",AP$16,"CANT",[1]Tablas!$A54),0)</f>
        <v>0</v>
      </c>
      <c r="AQ83" s="15">
        <f ca="1">IFERROR(GETPIVOTDATA("Cuenta de CANT",Tabla9,"PROV",[1]Tablas!$A$88,"SEFIS",AQ$16,"CANT",[1]Tablas!$A54),0)</f>
        <v>1</v>
      </c>
      <c r="AR83" s="15">
        <f ca="1">IFERROR(GETPIVOTDATA("Cuenta de CANT",Tabla9,"PROV",[1]Tablas!$A$88,"SEFIS",AR$16,"CANT",[1]Tablas!$A54),0)</f>
        <v>0</v>
      </c>
      <c r="AS83" s="15">
        <f ca="1">IFERROR(GETPIVOTDATA("Cuenta de CANT",Tabla9,"PROV",[1]Tablas!$A$88,"SEFIS",AS$16,"CANT",[1]Tablas!$A54),0)</f>
        <v>1</v>
      </c>
      <c r="AT83" s="15">
        <f ca="1">IFERROR(GETPIVOTDATA("Cuenta de CANT",Tabla9,"PROV",[1]Tablas!$A$88,"SEFIS",AT$16,"CANT",[1]Tablas!$A54),0)</f>
        <v>0</v>
      </c>
      <c r="AU83" s="15">
        <f ca="1">IFERROR(GETPIVOTDATA("Cuenta de CANT",Tabla9,"PROV",[1]Tablas!$A$88,"SEFIS",AU$16,"CANT",[1]Tablas!$A54),0)</f>
        <v>0</v>
      </c>
      <c r="AV83" s="15">
        <f ca="1">IFERROR(GETPIVOTDATA("Cuenta de CANT",Tabla9,"PROV",[1]Tablas!$A$88,"SEFIS",AV$16,"CANT",[1]Tablas!$A54),0)</f>
        <v>1</v>
      </c>
      <c r="AW83" s="15">
        <f ca="1">IFERROR(GETPIVOTDATA("Cuenta de CANT",Tabla9,"PROV",[1]Tablas!$A$88,"SEFIS",AW$16,"CANT",[1]Tablas!$A54),0)</f>
        <v>0</v>
      </c>
      <c r="AX83" s="15">
        <f ca="1">IFERROR(GETPIVOTDATA("Cuenta de CANT",Tabla9,"PROV",[1]Tablas!$A$88,"SEFIS",AX$16,"CANT",[1]Tablas!$A54),0)</f>
        <v>0</v>
      </c>
      <c r="AY83" s="15">
        <f ca="1">IFERROR(GETPIVOTDATA("Cuenta de CANT",Tabla9,"PROV",[1]Tablas!$A$88,"SEFIS",AY$16,"CANT",[1]Tablas!$A54),0)</f>
        <v>0</v>
      </c>
      <c r="AZ83" s="15">
        <f ca="1">IFERROR(GETPIVOTDATA("Cuenta de CANT",Tabla9,"PROV",[1]Tablas!$A$88,"SEFIS",AZ$16,"CANT",[1]Tablas!$A54),0)</f>
        <v>1</v>
      </c>
      <c r="BA83" s="15">
        <f ca="1">IFERROR(GETPIVOTDATA("Cuenta de CANT",Tabla9,"PROV",[1]Tablas!$A$88,"SEFIS",BA$16,"CANT",[1]Tablas!$A54),0)</f>
        <v>0</v>
      </c>
      <c r="BB83" s="15">
        <f ca="1">IFERROR(GETPIVOTDATA("Cuenta de CANT",Tabla9,"PROV",[1]Tablas!$A$88,"SEFIS",BB$16,"CANT",[1]Tablas!$A54),0)</f>
        <v>0</v>
      </c>
      <c r="BC83" s="15">
        <f ca="1">IFERROR(GETPIVOTDATA("Cuenta de CANT",Tabla9,"PROV",[1]Tablas!$A$88,"SEFIS",BC$16,"CANT",[1]Tablas!$A54),0)</f>
        <v>0</v>
      </c>
    </row>
    <row r="84" spans="1:55" x14ac:dyDescent="0.35">
      <c r="A84" s="14" t="s">
        <v>77</v>
      </c>
      <c r="B84" s="15">
        <f t="shared" ca="1" si="7"/>
        <v>14</v>
      </c>
      <c r="C84" s="16">
        <f ca="1">IFERROR(B84/[1]Tablas!$B55*100000,"N/D")</f>
        <v>53.64601295168027</v>
      </c>
      <c r="D84" s="15">
        <f ca="1">IFERROR(GETPIVOTDATA("Cuenta de CANT",Tabla9,"PROV",[1]Tablas!$A$88,"SEFIS",D$16,"CANT",[1]Tablas!$A55),0)</f>
        <v>2</v>
      </c>
      <c r="E84" s="15">
        <f ca="1">IFERROR(GETPIVOTDATA("Cuenta de CANT",Tabla9,"PROV",[1]Tablas!$A$88,"SEFIS",E$16,"CANT",[1]Tablas!$A55),0)</f>
        <v>0</v>
      </c>
      <c r="F84" s="15">
        <f ca="1">IFERROR(GETPIVOTDATA("Cuenta de CANT",Tabla9,"PROV",[1]Tablas!$A$88,"SEFIS",F$16,"CANT",[1]Tablas!$A55),0)</f>
        <v>0</v>
      </c>
      <c r="G84" s="15">
        <f ca="1">IFERROR(GETPIVOTDATA("Cuenta de CANT",Tabla9,"PROV",[1]Tablas!$A$88,"SEFIS",G$16,"CANT",[1]Tablas!$A55),0)</f>
        <v>0</v>
      </c>
      <c r="H84" s="15">
        <f ca="1">IFERROR(GETPIVOTDATA("Cuenta de CANT",Tabla9,"PROV",[1]Tablas!$A$88,"SEFIS",H$16,"CANT",[1]Tablas!$A55),0)</f>
        <v>0</v>
      </c>
      <c r="I84" s="15">
        <f ca="1">IFERROR(GETPIVOTDATA("Cuenta de CANT",Tabla9,"PROV",[1]Tablas!$A$88,"SEFIS",I$16,"CANT",[1]Tablas!$A55),0)</f>
        <v>1</v>
      </c>
      <c r="J84" s="15">
        <f ca="1">IFERROR(GETPIVOTDATA("Cuenta de CANT",Tabla9,"PROV",[1]Tablas!$A$88,"SEFIS",J$16,"CANT",[1]Tablas!$A55),0)</f>
        <v>1</v>
      </c>
      <c r="K84" s="15">
        <f ca="1">IFERROR(GETPIVOTDATA("Cuenta de CANT",Tabla9,"PROV",[1]Tablas!$A$88,"SEFIS",K$16,"CANT",[1]Tablas!$A55),0)</f>
        <v>0</v>
      </c>
      <c r="L84" s="15">
        <f ca="1">IFERROR(GETPIVOTDATA("Cuenta de CANT",Tabla9,"PROV",[1]Tablas!$A$88,"SEFIS",L$16,"CANT",[1]Tablas!$A55),0)</f>
        <v>0</v>
      </c>
      <c r="M84" s="15">
        <f ca="1">IFERROR(GETPIVOTDATA("Cuenta de CANT",Tabla9,"PROV",[1]Tablas!$A$88,"SEFIS",M$16,"CANT",[1]Tablas!$A55),0)</f>
        <v>0</v>
      </c>
      <c r="N84" s="15">
        <f ca="1">IFERROR(GETPIVOTDATA("Cuenta de CANT",Tabla9,"PROV",[1]Tablas!$A$88,"SEFIS",N$16,"CANT",[1]Tablas!$A55),0)</f>
        <v>0</v>
      </c>
      <c r="O84" s="15">
        <f ca="1">IFERROR(GETPIVOTDATA("Cuenta de CANT",Tabla9,"PROV",[1]Tablas!$A$88,"SEFIS",O$16,"CANT",[1]Tablas!$A55),0)</f>
        <v>0</v>
      </c>
      <c r="P84" s="15">
        <f ca="1">IFERROR(GETPIVOTDATA("Cuenta de CANT",Tabla9,"PROV",[1]Tablas!$A$88,"SEFIS",P$16,"CANT",[1]Tablas!$A55),0)</f>
        <v>1</v>
      </c>
      <c r="Q84" s="15">
        <f ca="1">IFERROR(GETPIVOTDATA("Cuenta de CANT",Tabla9,"PROV",[1]Tablas!$A$88,"SEFIS",Q$16,"CANT",[1]Tablas!$A55),0)</f>
        <v>0</v>
      </c>
      <c r="R84" s="15">
        <f ca="1">IFERROR(GETPIVOTDATA("Cuenta de CANT",Tabla9,"PROV",[1]Tablas!$A$88,"SEFIS",R$16,"CANT",[1]Tablas!$A55),0)</f>
        <v>1</v>
      </c>
      <c r="S84" s="15">
        <f ca="1">IFERROR(GETPIVOTDATA("Cuenta de CANT",Tabla9,"PROV",[1]Tablas!$A$88,"SEFIS",S$16,"CANT",[1]Tablas!$A55),0)</f>
        <v>0</v>
      </c>
      <c r="T84" s="15">
        <f ca="1">IFERROR(GETPIVOTDATA("Cuenta de CANT",Tabla9,"PROV",[1]Tablas!$A$88,"SEFIS",T$16,"CANT",[1]Tablas!$A55),0)</f>
        <v>0</v>
      </c>
      <c r="U84" s="15">
        <f ca="1">IFERROR(GETPIVOTDATA("Cuenta de CANT",Tabla9,"PROV",[1]Tablas!$A$88,"SEFIS",U$16,"CANT",[1]Tablas!$A55),0)</f>
        <v>0</v>
      </c>
      <c r="V84" s="15">
        <f ca="1">IFERROR(GETPIVOTDATA("Cuenta de CANT",Tabla9,"PROV",[1]Tablas!$A$88,"SEFIS",V$16,"CANT",[1]Tablas!$A55),0)</f>
        <v>1</v>
      </c>
      <c r="W84" s="15">
        <f ca="1">IFERROR(GETPIVOTDATA("Cuenta de CANT",Tabla9,"PROV",[1]Tablas!$A$88,"SEFIS",W$16,"CANT",[1]Tablas!$A55),0)</f>
        <v>0</v>
      </c>
      <c r="X84" s="15">
        <f ca="1">IFERROR(GETPIVOTDATA("Cuenta de CANT",Tabla9,"PROV",[1]Tablas!$A$88,"SEFIS",X$16,"CANT",[1]Tablas!$A55),0)</f>
        <v>0</v>
      </c>
      <c r="Y84" s="15">
        <f ca="1">IFERROR(GETPIVOTDATA("Cuenta de CANT",Tabla9,"PROV",[1]Tablas!$A$88,"SEFIS",Y$16,"CANT",[1]Tablas!$A55),0)</f>
        <v>0</v>
      </c>
      <c r="Z84" s="15">
        <f ca="1">IFERROR(GETPIVOTDATA("Cuenta de CANT",Tabla9,"PROV",[1]Tablas!$A$88,"SEFIS",Z$16,"CANT",[1]Tablas!$A55),0)</f>
        <v>0</v>
      </c>
      <c r="AA84" s="15">
        <f ca="1">IFERROR(GETPIVOTDATA("Cuenta de CANT",Tabla9,"PROV",[1]Tablas!$A$88,"SEFIS",AA$16,"CANT",[1]Tablas!$A55),0)</f>
        <v>1</v>
      </c>
      <c r="AB84" s="15">
        <f ca="1">IFERROR(GETPIVOTDATA("Cuenta de CANT",Tabla9,"PROV",[1]Tablas!$A$88,"SEFIS",AB$16,"CANT",[1]Tablas!$A55),0)</f>
        <v>0</v>
      </c>
      <c r="AC84" s="15">
        <f ca="1">IFERROR(GETPIVOTDATA("Cuenta de CANT",Tabla9,"PROV",[1]Tablas!$A$88,"SEFIS",AC$16,"CANT",[1]Tablas!$A55),0)</f>
        <v>0</v>
      </c>
      <c r="AD84" s="15">
        <f ca="1">IFERROR(GETPIVOTDATA("Cuenta de CANT",Tabla9,"PROV",[1]Tablas!$A$88,"SEFIS",AD$16,"CANT",[1]Tablas!$A55),0)</f>
        <v>2</v>
      </c>
      <c r="AE84" s="15">
        <f ca="1">IFERROR(GETPIVOTDATA("Cuenta de CANT",Tabla9,"PROV",[1]Tablas!$A$88,"SEFIS",AE$16,"CANT",[1]Tablas!$A55),0)</f>
        <v>1</v>
      </c>
      <c r="AF84" s="15">
        <f ca="1">IFERROR(GETPIVOTDATA("Cuenta de CANT",Tabla9,"PROV",[1]Tablas!$A$88,"SEFIS",AF$16,"CANT",[1]Tablas!$A55),0)</f>
        <v>1</v>
      </c>
      <c r="AG84" s="15">
        <f ca="1">IFERROR(GETPIVOTDATA("Cuenta de CANT",Tabla9,"PROV",[1]Tablas!$A$88,"SEFIS",AG$16,"CANT",[1]Tablas!$A55),0)</f>
        <v>0</v>
      </c>
      <c r="AH84" s="15">
        <f ca="1">IFERROR(GETPIVOTDATA("Cuenta de CANT",Tabla9,"PROV",[1]Tablas!$A$88,"SEFIS",AH$16,"CANT",[1]Tablas!$A55),0)</f>
        <v>1</v>
      </c>
      <c r="AI84" s="15">
        <f ca="1">IFERROR(GETPIVOTDATA("Cuenta de CANT",Tabla9,"PROV",[1]Tablas!$A$88,"SEFIS",AI$16,"CANT",[1]Tablas!$A55),0)</f>
        <v>0</v>
      </c>
      <c r="AJ84" s="15">
        <f ca="1">IFERROR(GETPIVOTDATA("Cuenta de CANT",Tabla9,"PROV",[1]Tablas!$A$88,"SEFIS",AJ$16,"CANT",[1]Tablas!$A55),0)</f>
        <v>0</v>
      </c>
      <c r="AK84" s="15">
        <f ca="1">IFERROR(GETPIVOTDATA("Cuenta de CANT",Tabla9,"PROV",[1]Tablas!$A$88,"SEFIS",AK$16,"CANT",[1]Tablas!$A55),0)</f>
        <v>0</v>
      </c>
      <c r="AL84" s="15">
        <f ca="1">IFERROR(GETPIVOTDATA("Cuenta de CANT",Tabla9,"PROV",[1]Tablas!$A$88,"SEFIS",AL$16,"CANT",[1]Tablas!$A55),0)</f>
        <v>0</v>
      </c>
      <c r="AM84" s="15">
        <f ca="1">IFERROR(GETPIVOTDATA("Cuenta de CANT",Tabla9,"PROV",[1]Tablas!$A$88,"SEFIS",AM$16,"CANT",[1]Tablas!$A55),0)</f>
        <v>0</v>
      </c>
      <c r="AN84" s="15">
        <f ca="1">IFERROR(GETPIVOTDATA("Cuenta de CANT",Tabla9,"PROV",[1]Tablas!$A$88,"SEFIS",AN$16,"CANT",[1]Tablas!$A55),0)</f>
        <v>0</v>
      </c>
      <c r="AO84" s="15">
        <f ca="1">IFERROR(GETPIVOTDATA("Cuenta de CANT",Tabla9,"PROV",[1]Tablas!$A$88,"SEFIS",AO$16,"CANT",[1]Tablas!$A55),0)</f>
        <v>0</v>
      </c>
      <c r="AP84" s="15">
        <f ca="1">IFERROR(GETPIVOTDATA("Cuenta de CANT",Tabla9,"PROV",[1]Tablas!$A$88,"SEFIS",AP$16,"CANT",[1]Tablas!$A55),0)</f>
        <v>0</v>
      </c>
      <c r="AQ84" s="15">
        <f ca="1">IFERROR(GETPIVOTDATA("Cuenta de CANT",Tabla9,"PROV",[1]Tablas!$A$88,"SEFIS",AQ$16,"CANT",[1]Tablas!$A55),0)</f>
        <v>0</v>
      </c>
      <c r="AR84" s="15">
        <f ca="1">IFERROR(GETPIVOTDATA("Cuenta de CANT",Tabla9,"PROV",[1]Tablas!$A$88,"SEFIS",AR$16,"CANT",[1]Tablas!$A55),0)</f>
        <v>0</v>
      </c>
      <c r="AS84" s="15">
        <f ca="1">IFERROR(GETPIVOTDATA("Cuenta de CANT",Tabla9,"PROV",[1]Tablas!$A$88,"SEFIS",AS$16,"CANT",[1]Tablas!$A55),0)</f>
        <v>0</v>
      </c>
      <c r="AT84" s="15">
        <f ca="1">IFERROR(GETPIVOTDATA("Cuenta de CANT",Tabla9,"PROV",[1]Tablas!$A$88,"SEFIS",AT$16,"CANT",[1]Tablas!$A55),0)</f>
        <v>1</v>
      </c>
      <c r="AU84" s="15">
        <f ca="1">IFERROR(GETPIVOTDATA("Cuenta de CANT",Tabla9,"PROV",[1]Tablas!$A$88,"SEFIS",AU$16,"CANT",[1]Tablas!$A55),0)</f>
        <v>0</v>
      </c>
      <c r="AV84" s="15">
        <f ca="1">IFERROR(GETPIVOTDATA("Cuenta de CANT",Tabla9,"PROV",[1]Tablas!$A$88,"SEFIS",AV$16,"CANT",[1]Tablas!$A55),0)</f>
        <v>0</v>
      </c>
      <c r="AW84" s="15">
        <f ca="1">IFERROR(GETPIVOTDATA("Cuenta de CANT",Tabla9,"PROV",[1]Tablas!$A$88,"SEFIS",AW$16,"CANT",[1]Tablas!$A55),0)</f>
        <v>0</v>
      </c>
      <c r="AX84" s="15">
        <f ca="1">IFERROR(GETPIVOTDATA("Cuenta de CANT",Tabla9,"PROV",[1]Tablas!$A$88,"SEFIS",AX$16,"CANT",[1]Tablas!$A55),0)</f>
        <v>0</v>
      </c>
      <c r="AY84" s="15">
        <f ca="1">IFERROR(GETPIVOTDATA("Cuenta de CANT",Tabla9,"PROV",[1]Tablas!$A$88,"SEFIS",AY$16,"CANT",[1]Tablas!$A55),0)</f>
        <v>0</v>
      </c>
      <c r="AZ84" s="15">
        <f ca="1">IFERROR(GETPIVOTDATA("Cuenta de CANT",Tabla9,"PROV",[1]Tablas!$A$88,"SEFIS",AZ$16,"CANT",[1]Tablas!$A55),0)</f>
        <v>0</v>
      </c>
      <c r="BA84" s="15">
        <f ca="1">IFERROR(GETPIVOTDATA("Cuenta de CANT",Tabla9,"PROV",[1]Tablas!$A$88,"SEFIS",BA$16,"CANT",[1]Tablas!$A55),0)</f>
        <v>0</v>
      </c>
      <c r="BB84" s="15">
        <f ca="1">IFERROR(GETPIVOTDATA("Cuenta de CANT",Tabla9,"PROV",[1]Tablas!$A$88,"SEFIS",BB$16,"CANT",[1]Tablas!$A55),0)</f>
        <v>0</v>
      </c>
      <c r="BC84" s="15">
        <f ca="1">IFERROR(GETPIVOTDATA("Cuenta de CANT",Tabla9,"PROV",[1]Tablas!$A$88,"SEFIS",BC$16,"CANT",[1]Tablas!$A55),0)</f>
        <v>0</v>
      </c>
    </row>
    <row r="85" spans="1:55" x14ac:dyDescent="0.35">
      <c r="A85" s="14" t="s">
        <v>78</v>
      </c>
      <c r="B85" s="15">
        <f t="shared" ca="1" si="7"/>
        <v>4</v>
      </c>
      <c r="C85" s="16">
        <f ca="1">IFERROR(B85/[1]Tablas!$B56*100000,"N/D")</f>
        <v>50.620096178182742</v>
      </c>
      <c r="D85" s="15">
        <f ca="1">IFERROR(GETPIVOTDATA("Cuenta de CANT",Tabla9,"PROV",[1]Tablas!$A$88,"SEFIS",D$16,"CANT",[1]Tablas!$A56),0)</f>
        <v>0</v>
      </c>
      <c r="E85" s="15">
        <f ca="1">IFERROR(GETPIVOTDATA("Cuenta de CANT",Tabla9,"PROV",[1]Tablas!$A$88,"SEFIS",E$16,"CANT",[1]Tablas!$A56),0)</f>
        <v>0</v>
      </c>
      <c r="F85" s="15">
        <f ca="1">IFERROR(GETPIVOTDATA("Cuenta de CANT",Tabla9,"PROV",[1]Tablas!$A$88,"SEFIS",F$16,"CANT",[1]Tablas!$A56),0)</f>
        <v>0</v>
      </c>
      <c r="G85" s="15">
        <f ca="1">IFERROR(GETPIVOTDATA("Cuenta de CANT",Tabla9,"PROV",[1]Tablas!$A$88,"SEFIS",G$16,"CANT",[1]Tablas!$A56),0)</f>
        <v>0</v>
      </c>
      <c r="H85" s="15">
        <f ca="1">IFERROR(GETPIVOTDATA("Cuenta de CANT",Tabla9,"PROV",[1]Tablas!$A$88,"SEFIS",H$16,"CANT",[1]Tablas!$A56),0)</f>
        <v>0</v>
      </c>
      <c r="I85" s="15">
        <f ca="1">IFERROR(GETPIVOTDATA("Cuenta de CANT",Tabla9,"PROV",[1]Tablas!$A$88,"SEFIS",I$16,"CANT",[1]Tablas!$A56),0)</f>
        <v>0</v>
      </c>
      <c r="J85" s="15">
        <f ca="1">IFERROR(GETPIVOTDATA("Cuenta de CANT",Tabla9,"PROV",[1]Tablas!$A$88,"SEFIS",J$16,"CANT",[1]Tablas!$A56),0)</f>
        <v>0</v>
      </c>
      <c r="K85" s="15">
        <f ca="1">IFERROR(GETPIVOTDATA("Cuenta de CANT",Tabla9,"PROV",[1]Tablas!$A$88,"SEFIS",K$16,"CANT",[1]Tablas!$A56),0)</f>
        <v>0</v>
      </c>
      <c r="L85" s="15">
        <f ca="1">IFERROR(GETPIVOTDATA("Cuenta de CANT",Tabla9,"PROV",[1]Tablas!$A$88,"SEFIS",L$16,"CANT",[1]Tablas!$A56),0)</f>
        <v>0</v>
      </c>
      <c r="M85" s="15">
        <f ca="1">IFERROR(GETPIVOTDATA("Cuenta de CANT",Tabla9,"PROV",[1]Tablas!$A$88,"SEFIS",M$16,"CANT",[1]Tablas!$A56),0)</f>
        <v>0</v>
      </c>
      <c r="N85" s="15">
        <f ca="1">IFERROR(GETPIVOTDATA("Cuenta de CANT",Tabla9,"PROV",[1]Tablas!$A$88,"SEFIS",N$16,"CANT",[1]Tablas!$A56),0)</f>
        <v>0</v>
      </c>
      <c r="O85" s="15">
        <f ca="1">IFERROR(GETPIVOTDATA("Cuenta de CANT",Tabla9,"PROV",[1]Tablas!$A$88,"SEFIS",O$16,"CANT",[1]Tablas!$A56),0)</f>
        <v>0</v>
      </c>
      <c r="P85" s="15">
        <f ca="1">IFERROR(GETPIVOTDATA("Cuenta de CANT",Tabla9,"PROV",[1]Tablas!$A$88,"SEFIS",P$16,"CANT",[1]Tablas!$A56),0)</f>
        <v>0</v>
      </c>
      <c r="Q85" s="15">
        <f ca="1">IFERROR(GETPIVOTDATA("Cuenta de CANT",Tabla9,"PROV",[1]Tablas!$A$88,"SEFIS",Q$16,"CANT",[1]Tablas!$A56),0)</f>
        <v>0</v>
      </c>
      <c r="R85" s="15">
        <f ca="1">IFERROR(GETPIVOTDATA("Cuenta de CANT",Tabla9,"PROV",[1]Tablas!$A$88,"SEFIS",R$16,"CANT",[1]Tablas!$A56),0)</f>
        <v>0</v>
      </c>
      <c r="S85" s="15">
        <f ca="1">IFERROR(GETPIVOTDATA("Cuenta de CANT",Tabla9,"PROV",[1]Tablas!$A$88,"SEFIS",S$16,"CANT",[1]Tablas!$A56),0)</f>
        <v>0</v>
      </c>
      <c r="T85" s="15">
        <f ca="1">IFERROR(GETPIVOTDATA("Cuenta de CANT",Tabla9,"PROV",[1]Tablas!$A$88,"SEFIS",T$16,"CANT",[1]Tablas!$A56),0)</f>
        <v>0</v>
      </c>
      <c r="U85" s="15">
        <f ca="1">IFERROR(GETPIVOTDATA("Cuenta de CANT",Tabla9,"PROV",[1]Tablas!$A$88,"SEFIS",U$16,"CANT",[1]Tablas!$A56),0)</f>
        <v>0</v>
      </c>
      <c r="V85" s="15">
        <f ca="1">IFERROR(GETPIVOTDATA("Cuenta de CANT",Tabla9,"PROV",[1]Tablas!$A$88,"SEFIS",V$16,"CANT",[1]Tablas!$A56),0)</f>
        <v>1</v>
      </c>
      <c r="W85" s="15">
        <f ca="1">IFERROR(GETPIVOTDATA("Cuenta de CANT",Tabla9,"PROV",[1]Tablas!$A$88,"SEFIS",W$16,"CANT",[1]Tablas!$A56),0)</f>
        <v>0</v>
      </c>
      <c r="X85" s="15">
        <f ca="1">IFERROR(GETPIVOTDATA("Cuenta de CANT",Tabla9,"PROV",[1]Tablas!$A$88,"SEFIS",X$16,"CANT",[1]Tablas!$A56),0)</f>
        <v>0</v>
      </c>
      <c r="Y85" s="15">
        <f ca="1">IFERROR(GETPIVOTDATA("Cuenta de CANT",Tabla9,"PROV",[1]Tablas!$A$88,"SEFIS",Y$16,"CANT",[1]Tablas!$A56),0)</f>
        <v>0</v>
      </c>
      <c r="Z85" s="15">
        <f ca="1">IFERROR(GETPIVOTDATA("Cuenta de CANT",Tabla9,"PROV",[1]Tablas!$A$88,"SEFIS",Z$16,"CANT",[1]Tablas!$A56),0)</f>
        <v>0</v>
      </c>
      <c r="AA85" s="15">
        <f ca="1">IFERROR(GETPIVOTDATA("Cuenta de CANT",Tabla9,"PROV",[1]Tablas!$A$88,"SEFIS",AA$16,"CANT",[1]Tablas!$A56),0)</f>
        <v>0</v>
      </c>
      <c r="AB85" s="15">
        <f ca="1">IFERROR(GETPIVOTDATA("Cuenta de CANT",Tabla9,"PROV",[1]Tablas!$A$88,"SEFIS",AB$16,"CANT",[1]Tablas!$A56),0)</f>
        <v>0</v>
      </c>
      <c r="AC85" s="15">
        <f ca="1">IFERROR(GETPIVOTDATA("Cuenta de CANT",Tabla9,"PROV",[1]Tablas!$A$88,"SEFIS",AC$16,"CANT",[1]Tablas!$A56),0)</f>
        <v>0</v>
      </c>
      <c r="AD85" s="15">
        <f ca="1">IFERROR(GETPIVOTDATA("Cuenta de CANT",Tabla9,"PROV",[1]Tablas!$A$88,"SEFIS",AD$16,"CANT",[1]Tablas!$A56),0)</f>
        <v>0</v>
      </c>
      <c r="AE85" s="15">
        <f ca="1">IFERROR(GETPIVOTDATA("Cuenta de CANT",Tabla9,"PROV",[1]Tablas!$A$88,"SEFIS",AE$16,"CANT",[1]Tablas!$A56),0)</f>
        <v>0</v>
      </c>
      <c r="AF85" s="15">
        <f ca="1">IFERROR(GETPIVOTDATA("Cuenta de CANT",Tabla9,"PROV",[1]Tablas!$A$88,"SEFIS",AF$16,"CANT",[1]Tablas!$A56),0)</f>
        <v>0</v>
      </c>
      <c r="AG85" s="15">
        <f ca="1">IFERROR(GETPIVOTDATA("Cuenta de CANT",Tabla9,"PROV",[1]Tablas!$A$88,"SEFIS",AG$16,"CANT",[1]Tablas!$A56),0)</f>
        <v>0</v>
      </c>
      <c r="AH85" s="15">
        <f ca="1">IFERROR(GETPIVOTDATA("Cuenta de CANT",Tabla9,"PROV",[1]Tablas!$A$88,"SEFIS",AH$16,"CANT",[1]Tablas!$A56),0)</f>
        <v>0</v>
      </c>
      <c r="AI85" s="15">
        <f ca="1">IFERROR(GETPIVOTDATA("Cuenta de CANT",Tabla9,"PROV",[1]Tablas!$A$88,"SEFIS",AI$16,"CANT",[1]Tablas!$A56),0)</f>
        <v>0</v>
      </c>
      <c r="AJ85" s="15">
        <f ca="1">IFERROR(GETPIVOTDATA("Cuenta de CANT",Tabla9,"PROV",[1]Tablas!$A$88,"SEFIS",AJ$16,"CANT",[1]Tablas!$A56),0)</f>
        <v>0</v>
      </c>
      <c r="AK85" s="15">
        <f ca="1">IFERROR(GETPIVOTDATA("Cuenta de CANT",Tabla9,"PROV",[1]Tablas!$A$88,"SEFIS",AK$16,"CANT",[1]Tablas!$A56),0)</f>
        <v>0</v>
      </c>
      <c r="AL85" s="15">
        <f ca="1">IFERROR(GETPIVOTDATA("Cuenta de CANT",Tabla9,"PROV",[1]Tablas!$A$88,"SEFIS",AL$16,"CANT",[1]Tablas!$A56),0)</f>
        <v>0</v>
      </c>
      <c r="AM85" s="15">
        <f ca="1">IFERROR(GETPIVOTDATA("Cuenta de CANT",Tabla9,"PROV",[1]Tablas!$A$88,"SEFIS",AM$16,"CANT",[1]Tablas!$A56),0)</f>
        <v>0</v>
      </c>
      <c r="AN85" s="15">
        <f ca="1">IFERROR(GETPIVOTDATA("Cuenta de CANT",Tabla9,"PROV",[1]Tablas!$A$88,"SEFIS",AN$16,"CANT",[1]Tablas!$A56),0)</f>
        <v>0</v>
      </c>
      <c r="AO85" s="15">
        <f ca="1">IFERROR(GETPIVOTDATA("Cuenta de CANT",Tabla9,"PROV",[1]Tablas!$A$88,"SEFIS",AO$16,"CANT",[1]Tablas!$A56),0)</f>
        <v>0</v>
      </c>
      <c r="AP85" s="15">
        <f ca="1">IFERROR(GETPIVOTDATA("Cuenta de CANT",Tabla9,"PROV",[1]Tablas!$A$88,"SEFIS",AP$16,"CANT",[1]Tablas!$A56),0)</f>
        <v>0</v>
      </c>
      <c r="AQ85" s="15">
        <f ca="1">IFERROR(GETPIVOTDATA("Cuenta de CANT",Tabla9,"PROV",[1]Tablas!$A$88,"SEFIS",AQ$16,"CANT",[1]Tablas!$A56),0)</f>
        <v>0</v>
      </c>
      <c r="AR85" s="15">
        <f ca="1">IFERROR(GETPIVOTDATA("Cuenta de CANT",Tabla9,"PROV",[1]Tablas!$A$88,"SEFIS",AR$16,"CANT",[1]Tablas!$A56),0)</f>
        <v>0</v>
      </c>
      <c r="AS85" s="15">
        <f ca="1">IFERROR(GETPIVOTDATA("Cuenta de CANT",Tabla9,"PROV",[1]Tablas!$A$88,"SEFIS",AS$16,"CANT",[1]Tablas!$A56),0)</f>
        <v>0</v>
      </c>
      <c r="AT85" s="15">
        <f ca="1">IFERROR(GETPIVOTDATA("Cuenta de CANT",Tabla9,"PROV",[1]Tablas!$A$88,"SEFIS",AT$16,"CANT",[1]Tablas!$A56),0)</f>
        <v>0</v>
      </c>
      <c r="AU85" s="15">
        <f ca="1">IFERROR(GETPIVOTDATA("Cuenta de CANT",Tabla9,"PROV",[1]Tablas!$A$88,"SEFIS",AU$16,"CANT",[1]Tablas!$A56),0)</f>
        <v>0</v>
      </c>
      <c r="AV85" s="15">
        <f ca="1">IFERROR(GETPIVOTDATA("Cuenta de CANT",Tabla9,"PROV",[1]Tablas!$A$88,"SEFIS",AV$16,"CANT",[1]Tablas!$A56),0)</f>
        <v>1</v>
      </c>
      <c r="AW85" s="15">
        <f ca="1">IFERROR(GETPIVOTDATA("Cuenta de CANT",Tabla9,"PROV",[1]Tablas!$A$88,"SEFIS",AW$16,"CANT",[1]Tablas!$A56),0)</f>
        <v>0</v>
      </c>
      <c r="AX85" s="15">
        <f ca="1">IFERROR(GETPIVOTDATA("Cuenta de CANT",Tabla9,"PROV",[1]Tablas!$A$88,"SEFIS",AX$16,"CANT",[1]Tablas!$A56),0)</f>
        <v>1</v>
      </c>
      <c r="AY85" s="15">
        <f ca="1">IFERROR(GETPIVOTDATA("Cuenta de CANT",Tabla9,"PROV",[1]Tablas!$A$88,"SEFIS",AY$16,"CANT",[1]Tablas!$A56),0)</f>
        <v>0</v>
      </c>
      <c r="AZ85" s="15">
        <f ca="1">IFERROR(GETPIVOTDATA("Cuenta de CANT",Tabla9,"PROV",[1]Tablas!$A$88,"SEFIS",AZ$16,"CANT",[1]Tablas!$A56),0)</f>
        <v>0</v>
      </c>
      <c r="BA85" s="15">
        <f ca="1">IFERROR(GETPIVOTDATA("Cuenta de CANT",Tabla9,"PROV",[1]Tablas!$A$88,"SEFIS",BA$16,"CANT",[1]Tablas!$A56),0)</f>
        <v>0</v>
      </c>
      <c r="BB85" s="15">
        <f ca="1">IFERROR(GETPIVOTDATA("Cuenta de CANT",Tabla9,"PROV",[1]Tablas!$A$88,"SEFIS",BB$16,"CANT",[1]Tablas!$A56),0)</f>
        <v>1</v>
      </c>
      <c r="BC85" s="15">
        <f ca="1">IFERROR(GETPIVOTDATA("Cuenta de CANT",Tabla9,"PROV",[1]Tablas!$A$88,"SEFIS",BC$16,"CANT",[1]Tablas!$A56),0)</f>
        <v>0</v>
      </c>
    </row>
    <row r="86" spans="1:55" x14ac:dyDescent="0.35">
      <c r="A86" s="14"/>
      <c r="B86" s="12"/>
      <c r="C86" s="13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</row>
    <row r="87" spans="1:55" x14ac:dyDescent="0.35">
      <c r="A87" s="1" t="s">
        <v>79</v>
      </c>
      <c r="B87" s="10">
        <f t="shared" ca="1" si="7"/>
        <v>391</v>
      </c>
      <c r="C87" s="11">
        <f ca="1">IFERROR(B87/[1]Tablas!$B58*100000,"N/D")</f>
        <v>80.326565494912316</v>
      </c>
      <c r="D87" s="10">
        <f ca="1">SUM(D88:D98)</f>
        <v>10</v>
      </c>
      <c r="E87" s="10">
        <f t="shared" ref="E87:BC87" ca="1" si="8">SUM(E88:E98)</f>
        <v>2</v>
      </c>
      <c r="F87" s="10">
        <f t="shared" ca="1" si="8"/>
        <v>6</v>
      </c>
      <c r="G87" s="10">
        <f t="shared" ca="1" si="8"/>
        <v>3</v>
      </c>
      <c r="H87" s="10">
        <f t="shared" ca="1" si="8"/>
        <v>2</v>
      </c>
      <c r="I87" s="10">
        <f t="shared" ca="1" si="8"/>
        <v>3</v>
      </c>
      <c r="J87" s="10">
        <f t="shared" ca="1" si="8"/>
        <v>6</v>
      </c>
      <c r="K87" s="10">
        <f t="shared" ca="1" si="8"/>
        <v>4</v>
      </c>
      <c r="L87" s="10">
        <f t="shared" ca="1" si="8"/>
        <v>2</v>
      </c>
      <c r="M87" s="10">
        <f t="shared" ca="1" si="8"/>
        <v>4</v>
      </c>
      <c r="N87" s="10">
        <f t="shared" ca="1" si="8"/>
        <v>5</v>
      </c>
      <c r="O87" s="10">
        <f t="shared" ca="1" si="8"/>
        <v>3</v>
      </c>
      <c r="P87" s="10">
        <f t="shared" ca="1" si="8"/>
        <v>1</v>
      </c>
      <c r="Q87" s="10">
        <f t="shared" ca="1" si="8"/>
        <v>3</v>
      </c>
      <c r="R87" s="10">
        <f t="shared" ca="1" si="8"/>
        <v>2</v>
      </c>
      <c r="S87" s="10">
        <f t="shared" ca="1" si="8"/>
        <v>5</v>
      </c>
      <c r="T87" s="10">
        <f t="shared" ca="1" si="8"/>
        <v>3</v>
      </c>
      <c r="U87" s="10">
        <f t="shared" ca="1" si="8"/>
        <v>3</v>
      </c>
      <c r="V87" s="10">
        <f t="shared" ca="1" si="8"/>
        <v>3</v>
      </c>
      <c r="W87" s="10">
        <f t="shared" ca="1" si="8"/>
        <v>3</v>
      </c>
      <c r="X87" s="10">
        <f t="shared" ca="1" si="8"/>
        <v>1</v>
      </c>
      <c r="Y87" s="10">
        <f t="shared" ca="1" si="8"/>
        <v>7</v>
      </c>
      <c r="Z87" s="10">
        <f t="shared" ca="1" si="8"/>
        <v>10</v>
      </c>
      <c r="AA87" s="10">
        <f t="shared" ca="1" si="8"/>
        <v>2</v>
      </c>
      <c r="AB87" s="10">
        <f t="shared" ca="1" si="8"/>
        <v>8</v>
      </c>
      <c r="AC87" s="10">
        <f t="shared" ca="1" si="8"/>
        <v>8</v>
      </c>
      <c r="AD87" s="10">
        <f t="shared" ca="1" si="8"/>
        <v>4</v>
      </c>
      <c r="AE87" s="10">
        <f t="shared" ca="1" si="8"/>
        <v>6</v>
      </c>
      <c r="AF87" s="10">
        <f t="shared" ca="1" si="8"/>
        <v>15</v>
      </c>
      <c r="AG87" s="10">
        <f t="shared" ca="1" si="8"/>
        <v>9</v>
      </c>
      <c r="AH87" s="10">
        <f t="shared" ca="1" si="8"/>
        <v>5</v>
      </c>
      <c r="AI87" s="10">
        <f t="shared" ca="1" si="8"/>
        <v>8</v>
      </c>
      <c r="AJ87" s="10">
        <f t="shared" ca="1" si="8"/>
        <v>11</v>
      </c>
      <c r="AK87" s="10">
        <f t="shared" ca="1" si="8"/>
        <v>16</v>
      </c>
      <c r="AL87" s="10">
        <f t="shared" ca="1" si="8"/>
        <v>12</v>
      </c>
      <c r="AM87" s="10">
        <f t="shared" ca="1" si="8"/>
        <v>12</v>
      </c>
      <c r="AN87" s="10">
        <f t="shared" ca="1" si="8"/>
        <v>8</v>
      </c>
      <c r="AO87" s="10">
        <f t="shared" ca="1" si="8"/>
        <v>8</v>
      </c>
      <c r="AP87" s="10">
        <f t="shared" ca="1" si="8"/>
        <v>9</v>
      </c>
      <c r="AQ87" s="10">
        <f t="shared" ca="1" si="8"/>
        <v>8</v>
      </c>
      <c r="AR87" s="10">
        <f t="shared" ca="1" si="8"/>
        <v>10</v>
      </c>
      <c r="AS87" s="10">
        <f t="shared" ca="1" si="8"/>
        <v>15</v>
      </c>
      <c r="AT87" s="10">
        <f t="shared" ca="1" si="8"/>
        <v>7</v>
      </c>
      <c r="AU87" s="10">
        <f t="shared" ca="1" si="8"/>
        <v>17</v>
      </c>
      <c r="AV87" s="10">
        <f t="shared" ca="1" si="8"/>
        <v>17</v>
      </c>
      <c r="AW87" s="10">
        <f t="shared" ca="1" si="8"/>
        <v>14</v>
      </c>
      <c r="AX87" s="10">
        <f t="shared" ca="1" si="8"/>
        <v>11</v>
      </c>
      <c r="AY87" s="10">
        <f t="shared" ca="1" si="8"/>
        <v>10</v>
      </c>
      <c r="AZ87" s="10">
        <f t="shared" ca="1" si="8"/>
        <v>13</v>
      </c>
      <c r="BA87" s="10">
        <f t="shared" ca="1" si="8"/>
        <v>18</v>
      </c>
      <c r="BB87" s="10">
        <f t="shared" ca="1" si="8"/>
        <v>8</v>
      </c>
      <c r="BC87" s="10">
        <f t="shared" ca="1" si="8"/>
        <v>11</v>
      </c>
    </row>
    <row r="88" spans="1:55" x14ac:dyDescent="0.35">
      <c r="A88" s="14" t="s">
        <v>80</v>
      </c>
      <c r="B88" s="15">
        <f t="shared" ca="1" si="7"/>
        <v>150</v>
      </c>
      <c r="C88" s="16">
        <f ca="1">IFERROR(B88/[1]Tablas!$B59*100000,"N/D")</f>
        <v>110.02875418109265</v>
      </c>
      <c r="D88" s="15">
        <f ca="1">IFERROR(GETPIVOTDATA("Cuenta de CANT",Tabla9,"PROV",[1]Tablas!$A$101,"SEFIS",D$16,"CANT",[1]Tablas!$A59),0)</f>
        <v>1</v>
      </c>
      <c r="E88" s="15">
        <f ca="1">IFERROR(GETPIVOTDATA("Cuenta de CANT",Tabla9,"PROV",[1]Tablas!$A$101,"SEFIS",E$16,"CANT",[1]Tablas!$A59),0)</f>
        <v>0</v>
      </c>
      <c r="F88" s="15">
        <f ca="1">IFERROR(GETPIVOTDATA("Cuenta de CANT",Tabla9,"PROV",[1]Tablas!$A$101,"SEFIS",F$16,"CANT",[1]Tablas!$A59),0)</f>
        <v>0</v>
      </c>
      <c r="G88" s="15">
        <f ca="1">IFERROR(GETPIVOTDATA("Cuenta de CANT",Tabla9,"PROV",[1]Tablas!$A$101,"SEFIS",G$16,"CANT",[1]Tablas!$A59),0)</f>
        <v>0</v>
      </c>
      <c r="H88" s="15">
        <f ca="1">IFERROR(GETPIVOTDATA("Cuenta de CANT",Tabla9,"PROV",[1]Tablas!$A$101,"SEFIS",H$16,"CANT",[1]Tablas!$A59),0)</f>
        <v>0</v>
      </c>
      <c r="I88" s="15">
        <f ca="1">IFERROR(GETPIVOTDATA("Cuenta de CANT",Tabla9,"PROV",[1]Tablas!$A$101,"SEFIS",I$16,"CANT",[1]Tablas!$A59),0)</f>
        <v>0</v>
      </c>
      <c r="J88" s="15">
        <f ca="1">IFERROR(GETPIVOTDATA("Cuenta de CANT",Tabla9,"PROV",[1]Tablas!$A$101,"SEFIS",J$16,"CANT",[1]Tablas!$A59),0)</f>
        <v>4</v>
      </c>
      <c r="K88" s="15">
        <f ca="1">IFERROR(GETPIVOTDATA("Cuenta de CANT",Tabla9,"PROV",[1]Tablas!$A$101,"SEFIS",K$16,"CANT",[1]Tablas!$A59),0)</f>
        <v>1</v>
      </c>
      <c r="L88" s="15">
        <f ca="1">IFERROR(GETPIVOTDATA("Cuenta de CANT",Tabla9,"PROV",[1]Tablas!$A$101,"SEFIS",L$16,"CANT",[1]Tablas!$A59),0)</f>
        <v>2</v>
      </c>
      <c r="M88" s="15">
        <f ca="1">IFERROR(GETPIVOTDATA("Cuenta de CANT",Tabla9,"PROV",[1]Tablas!$A$101,"SEFIS",M$16,"CANT",[1]Tablas!$A59),0)</f>
        <v>2</v>
      </c>
      <c r="N88" s="15">
        <f ca="1">IFERROR(GETPIVOTDATA("Cuenta de CANT",Tabla9,"PROV",[1]Tablas!$A$101,"SEFIS",N$16,"CANT",[1]Tablas!$A59),0)</f>
        <v>1</v>
      </c>
      <c r="O88" s="15">
        <f ca="1">IFERROR(GETPIVOTDATA("Cuenta de CANT",Tabla9,"PROV",[1]Tablas!$A$101,"SEFIS",O$16,"CANT",[1]Tablas!$A59),0)</f>
        <v>0</v>
      </c>
      <c r="P88" s="15">
        <f ca="1">IFERROR(GETPIVOTDATA("Cuenta de CANT",Tabla9,"PROV",[1]Tablas!$A$101,"SEFIS",P$16,"CANT",[1]Tablas!$A59),0)</f>
        <v>0</v>
      </c>
      <c r="Q88" s="15">
        <f ca="1">IFERROR(GETPIVOTDATA("Cuenta de CANT",Tabla9,"PROV",[1]Tablas!$A$101,"SEFIS",Q$16,"CANT",[1]Tablas!$A59),0)</f>
        <v>2</v>
      </c>
      <c r="R88" s="15">
        <f ca="1">IFERROR(GETPIVOTDATA("Cuenta de CANT",Tabla9,"PROV",[1]Tablas!$A$101,"SEFIS",R$16,"CANT",[1]Tablas!$A59),0)</f>
        <v>0</v>
      </c>
      <c r="S88" s="15">
        <f ca="1">IFERROR(GETPIVOTDATA("Cuenta de CANT",Tabla9,"PROV",[1]Tablas!$A$101,"SEFIS",S$16,"CANT",[1]Tablas!$A59),0)</f>
        <v>2</v>
      </c>
      <c r="T88" s="15">
        <f ca="1">IFERROR(GETPIVOTDATA("Cuenta de CANT",Tabla9,"PROV",[1]Tablas!$A$101,"SEFIS",T$16,"CANT",[1]Tablas!$A59),0)</f>
        <v>1</v>
      </c>
      <c r="U88" s="15">
        <f ca="1">IFERROR(GETPIVOTDATA("Cuenta de CANT",Tabla9,"PROV",[1]Tablas!$A$101,"SEFIS",U$16,"CANT",[1]Tablas!$A59),0)</f>
        <v>0</v>
      </c>
      <c r="V88" s="15">
        <f ca="1">IFERROR(GETPIVOTDATA("Cuenta de CANT",Tabla9,"PROV",[1]Tablas!$A$101,"SEFIS",V$16,"CANT",[1]Tablas!$A59),0)</f>
        <v>1</v>
      </c>
      <c r="W88" s="15">
        <f ca="1">IFERROR(GETPIVOTDATA("Cuenta de CANT",Tabla9,"PROV",[1]Tablas!$A$101,"SEFIS",W$16,"CANT",[1]Tablas!$A59),0)</f>
        <v>2</v>
      </c>
      <c r="X88" s="15">
        <f ca="1">IFERROR(GETPIVOTDATA("Cuenta de CANT",Tabla9,"PROV",[1]Tablas!$A$101,"SEFIS",X$16,"CANT",[1]Tablas!$A59),0)</f>
        <v>0</v>
      </c>
      <c r="Y88" s="15">
        <f ca="1">IFERROR(GETPIVOTDATA("Cuenta de CANT",Tabla9,"PROV",[1]Tablas!$A$101,"SEFIS",Y$16,"CANT",[1]Tablas!$A59),0)</f>
        <v>1</v>
      </c>
      <c r="Z88" s="15">
        <f ca="1">IFERROR(GETPIVOTDATA("Cuenta de CANT",Tabla9,"PROV",[1]Tablas!$A$101,"SEFIS",Z$16,"CANT",[1]Tablas!$A59),0)</f>
        <v>2</v>
      </c>
      <c r="AA88" s="15">
        <f ca="1">IFERROR(GETPIVOTDATA("Cuenta de CANT",Tabla9,"PROV",[1]Tablas!$A$101,"SEFIS",AA$16,"CANT",[1]Tablas!$A59),0)</f>
        <v>1</v>
      </c>
      <c r="AB88" s="15">
        <f ca="1">IFERROR(GETPIVOTDATA("Cuenta de CANT",Tabla9,"PROV",[1]Tablas!$A$101,"SEFIS",AB$16,"CANT",[1]Tablas!$A59),0)</f>
        <v>3</v>
      </c>
      <c r="AC88" s="15">
        <f ca="1">IFERROR(GETPIVOTDATA("Cuenta de CANT",Tabla9,"PROV",[1]Tablas!$A$101,"SEFIS",AC$16,"CANT",[1]Tablas!$A59),0)</f>
        <v>1</v>
      </c>
      <c r="AD88" s="15">
        <f ca="1">IFERROR(GETPIVOTDATA("Cuenta de CANT",Tabla9,"PROV",[1]Tablas!$A$101,"SEFIS",AD$16,"CANT",[1]Tablas!$A59),0)</f>
        <v>2</v>
      </c>
      <c r="AE88" s="15">
        <f ca="1">IFERROR(GETPIVOTDATA("Cuenta de CANT",Tabla9,"PROV",[1]Tablas!$A$101,"SEFIS",AE$16,"CANT",[1]Tablas!$A59),0)</f>
        <v>4</v>
      </c>
      <c r="AF88" s="15">
        <f ca="1">IFERROR(GETPIVOTDATA("Cuenta de CANT",Tabla9,"PROV",[1]Tablas!$A$101,"SEFIS",AF$16,"CANT",[1]Tablas!$A59),0)</f>
        <v>5</v>
      </c>
      <c r="AG88" s="15">
        <f ca="1">IFERROR(GETPIVOTDATA("Cuenta de CANT",Tabla9,"PROV",[1]Tablas!$A$101,"SEFIS",AG$16,"CANT",[1]Tablas!$A59),0)</f>
        <v>4</v>
      </c>
      <c r="AH88" s="15">
        <f ca="1">IFERROR(GETPIVOTDATA("Cuenta de CANT",Tabla9,"PROV",[1]Tablas!$A$101,"SEFIS",AH$16,"CANT",[1]Tablas!$A59),0)</f>
        <v>3</v>
      </c>
      <c r="AI88" s="15">
        <f ca="1">IFERROR(GETPIVOTDATA("Cuenta de CANT",Tabla9,"PROV",[1]Tablas!$A$101,"SEFIS",AI$16,"CANT",[1]Tablas!$A59),0)</f>
        <v>2</v>
      </c>
      <c r="AJ88" s="15">
        <f ca="1">IFERROR(GETPIVOTDATA("Cuenta de CANT",Tabla9,"PROV",[1]Tablas!$A$101,"SEFIS",AJ$16,"CANT",[1]Tablas!$A59),0)</f>
        <v>5</v>
      </c>
      <c r="AK88" s="15">
        <f ca="1">IFERROR(GETPIVOTDATA("Cuenta de CANT",Tabla9,"PROV",[1]Tablas!$A$101,"SEFIS",AK$16,"CANT",[1]Tablas!$A59),0)</f>
        <v>12</v>
      </c>
      <c r="AL88" s="15">
        <f ca="1">IFERROR(GETPIVOTDATA("Cuenta de CANT",Tabla9,"PROV",[1]Tablas!$A$101,"SEFIS",AL$16,"CANT",[1]Tablas!$A59),0)</f>
        <v>6</v>
      </c>
      <c r="AM88" s="15">
        <f ca="1">IFERROR(GETPIVOTDATA("Cuenta de CANT",Tabla9,"PROV",[1]Tablas!$A$101,"SEFIS",AM$16,"CANT",[1]Tablas!$A59),0)</f>
        <v>6</v>
      </c>
      <c r="AN88" s="15">
        <f ca="1">IFERROR(GETPIVOTDATA("Cuenta de CANT",Tabla9,"PROV",[1]Tablas!$A$101,"SEFIS",AN$16,"CANT",[1]Tablas!$A59),0)</f>
        <v>1</v>
      </c>
      <c r="AO88" s="15">
        <f ca="1">IFERROR(GETPIVOTDATA("Cuenta de CANT",Tabla9,"PROV",[1]Tablas!$A$101,"SEFIS",AO$16,"CANT",[1]Tablas!$A59),0)</f>
        <v>3</v>
      </c>
      <c r="AP88" s="15">
        <f ca="1">IFERROR(GETPIVOTDATA("Cuenta de CANT",Tabla9,"PROV",[1]Tablas!$A$101,"SEFIS",AP$16,"CANT",[1]Tablas!$A59),0)</f>
        <v>5</v>
      </c>
      <c r="AQ88" s="15">
        <f ca="1">IFERROR(GETPIVOTDATA("Cuenta de CANT",Tabla9,"PROV",[1]Tablas!$A$101,"SEFIS",AQ$16,"CANT",[1]Tablas!$A59),0)</f>
        <v>4</v>
      </c>
      <c r="AR88" s="15">
        <f ca="1">IFERROR(GETPIVOTDATA("Cuenta de CANT",Tabla9,"PROV",[1]Tablas!$A$101,"SEFIS",AR$16,"CANT",[1]Tablas!$A59),0)</f>
        <v>3</v>
      </c>
      <c r="AS88" s="15">
        <f ca="1">IFERROR(GETPIVOTDATA("Cuenta de CANT",Tabla9,"PROV",[1]Tablas!$A$101,"SEFIS",AS$16,"CANT",[1]Tablas!$A59),0)</f>
        <v>10</v>
      </c>
      <c r="AT88" s="15">
        <f ca="1">IFERROR(GETPIVOTDATA("Cuenta de CANT",Tabla9,"PROV",[1]Tablas!$A$101,"SEFIS",AT$16,"CANT",[1]Tablas!$A59),0)</f>
        <v>2</v>
      </c>
      <c r="AU88" s="15">
        <f ca="1">IFERROR(GETPIVOTDATA("Cuenta de CANT",Tabla9,"PROV",[1]Tablas!$A$101,"SEFIS",AU$16,"CANT",[1]Tablas!$A59),0)</f>
        <v>9</v>
      </c>
      <c r="AV88" s="15">
        <f ca="1">IFERROR(GETPIVOTDATA("Cuenta de CANT",Tabla9,"PROV",[1]Tablas!$A$101,"SEFIS",AV$16,"CANT",[1]Tablas!$A59),0)</f>
        <v>5</v>
      </c>
      <c r="AW88" s="15">
        <f ca="1">IFERROR(GETPIVOTDATA("Cuenta de CANT",Tabla9,"PROV",[1]Tablas!$A$101,"SEFIS",AW$16,"CANT",[1]Tablas!$A59),0)</f>
        <v>3</v>
      </c>
      <c r="AX88" s="15">
        <f ca="1">IFERROR(GETPIVOTDATA("Cuenta de CANT",Tabla9,"PROV",[1]Tablas!$A$101,"SEFIS",AX$16,"CANT",[1]Tablas!$A59),0)</f>
        <v>3</v>
      </c>
      <c r="AY88" s="15">
        <f ca="1">IFERROR(GETPIVOTDATA("Cuenta de CANT",Tabla9,"PROV",[1]Tablas!$A$101,"SEFIS",AY$16,"CANT",[1]Tablas!$A59),0)</f>
        <v>5</v>
      </c>
      <c r="AZ88" s="15">
        <f ca="1">IFERROR(GETPIVOTDATA("Cuenta de CANT",Tabla9,"PROV",[1]Tablas!$A$101,"SEFIS",AZ$16,"CANT",[1]Tablas!$A59),0)</f>
        <v>5</v>
      </c>
      <c r="BA88" s="15">
        <f ca="1">IFERROR(GETPIVOTDATA("Cuenta de CANT",Tabla9,"PROV",[1]Tablas!$A$101,"SEFIS",BA$16,"CANT",[1]Tablas!$A59),0)</f>
        <v>6</v>
      </c>
      <c r="BB88" s="15">
        <f ca="1">IFERROR(GETPIVOTDATA("Cuenta de CANT",Tabla9,"PROV",[1]Tablas!$A$101,"SEFIS",BB$16,"CANT",[1]Tablas!$A59),0)</f>
        <v>4</v>
      </c>
      <c r="BC88" s="15">
        <f ca="1">IFERROR(GETPIVOTDATA("Cuenta de CANT",Tabla9,"PROV",[1]Tablas!$A$101,"SEFIS",BC$16,"CANT",[1]Tablas!$A59),0)</f>
        <v>6</v>
      </c>
    </row>
    <row r="89" spans="1:55" x14ac:dyDescent="0.35">
      <c r="A89" s="14" t="s">
        <v>81</v>
      </c>
      <c r="B89" s="15">
        <f t="shared" ca="1" si="7"/>
        <v>44</v>
      </c>
      <c r="C89" s="16">
        <f ca="1">IFERROR(B89/[1]Tablas!$B60*100000,"N/D")</f>
        <v>118.56961922983643</v>
      </c>
      <c r="D89" s="15">
        <f ca="1">IFERROR(GETPIVOTDATA("Cuenta de CANT",Tabla9,"PROV",[1]Tablas!$A$101,"SEFIS",D$16,"CANT",[1]Tablas!$A60),0)</f>
        <v>1</v>
      </c>
      <c r="E89" s="15">
        <f ca="1">IFERROR(GETPIVOTDATA("Cuenta de CANT",Tabla9,"PROV",[1]Tablas!$A$101,"SEFIS",E$16,"CANT",[1]Tablas!$A60),0)</f>
        <v>0</v>
      </c>
      <c r="F89" s="15">
        <f ca="1">IFERROR(GETPIVOTDATA("Cuenta de CANT",Tabla9,"PROV",[1]Tablas!$A$101,"SEFIS",F$16,"CANT",[1]Tablas!$A60),0)</f>
        <v>0</v>
      </c>
      <c r="G89" s="15">
        <f ca="1">IFERROR(GETPIVOTDATA("Cuenta de CANT",Tabla9,"PROV",[1]Tablas!$A$101,"SEFIS",G$16,"CANT",[1]Tablas!$A60),0)</f>
        <v>0</v>
      </c>
      <c r="H89" s="15">
        <f ca="1">IFERROR(GETPIVOTDATA("Cuenta de CANT",Tabla9,"PROV",[1]Tablas!$A$101,"SEFIS",H$16,"CANT",[1]Tablas!$A60),0)</f>
        <v>1</v>
      </c>
      <c r="I89" s="15">
        <f ca="1">IFERROR(GETPIVOTDATA("Cuenta de CANT",Tabla9,"PROV",[1]Tablas!$A$101,"SEFIS",I$16,"CANT",[1]Tablas!$A60),0)</f>
        <v>1</v>
      </c>
      <c r="J89" s="15">
        <f ca="1">IFERROR(GETPIVOTDATA("Cuenta de CANT",Tabla9,"PROV",[1]Tablas!$A$101,"SEFIS",J$16,"CANT",[1]Tablas!$A60),0)</f>
        <v>1</v>
      </c>
      <c r="K89" s="15">
        <f ca="1">IFERROR(GETPIVOTDATA("Cuenta de CANT",Tabla9,"PROV",[1]Tablas!$A$101,"SEFIS",K$16,"CANT",[1]Tablas!$A60),0)</f>
        <v>0</v>
      </c>
      <c r="L89" s="15">
        <f ca="1">IFERROR(GETPIVOTDATA("Cuenta de CANT",Tabla9,"PROV",[1]Tablas!$A$101,"SEFIS",L$16,"CANT",[1]Tablas!$A60),0)</f>
        <v>0</v>
      </c>
      <c r="M89" s="15">
        <f ca="1">IFERROR(GETPIVOTDATA("Cuenta de CANT",Tabla9,"PROV",[1]Tablas!$A$101,"SEFIS",M$16,"CANT",[1]Tablas!$A60),0)</f>
        <v>1</v>
      </c>
      <c r="N89" s="15">
        <f ca="1">IFERROR(GETPIVOTDATA("Cuenta de CANT",Tabla9,"PROV",[1]Tablas!$A$101,"SEFIS",N$16,"CANT",[1]Tablas!$A60),0)</f>
        <v>1</v>
      </c>
      <c r="O89" s="15">
        <f ca="1">IFERROR(GETPIVOTDATA("Cuenta de CANT",Tabla9,"PROV",[1]Tablas!$A$101,"SEFIS",O$16,"CANT",[1]Tablas!$A60),0)</f>
        <v>1</v>
      </c>
      <c r="P89" s="15">
        <f ca="1">IFERROR(GETPIVOTDATA("Cuenta de CANT",Tabla9,"PROV",[1]Tablas!$A$101,"SEFIS",P$16,"CANT",[1]Tablas!$A60),0)</f>
        <v>0</v>
      </c>
      <c r="Q89" s="15">
        <f ca="1">IFERROR(GETPIVOTDATA("Cuenta de CANT",Tabla9,"PROV",[1]Tablas!$A$101,"SEFIS",Q$16,"CANT",[1]Tablas!$A60),0)</f>
        <v>1</v>
      </c>
      <c r="R89" s="15">
        <f ca="1">IFERROR(GETPIVOTDATA("Cuenta de CANT",Tabla9,"PROV",[1]Tablas!$A$101,"SEFIS",R$16,"CANT",[1]Tablas!$A60),0)</f>
        <v>0</v>
      </c>
      <c r="S89" s="15">
        <f ca="1">IFERROR(GETPIVOTDATA("Cuenta de CANT",Tabla9,"PROV",[1]Tablas!$A$101,"SEFIS",S$16,"CANT",[1]Tablas!$A60),0)</f>
        <v>2</v>
      </c>
      <c r="T89" s="15">
        <f ca="1">IFERROR(GETPIVOTDATA("Cuenta de CANT",Tabla9,"PROV",[1]Tablas!$A$101,"SEFIS",T$16,"CANT",[1]Tablas!$A60),0)</f>
        <v>0</v>
      </c>
      <c r="U89" s="15">
        <f ca="1">IFERROR(GETPIVOTDATA("Cuenta de CANT",Tabla9,"PROV",[1]Tablas!$A$101,"SEFIS",U$16,"CANT",[1]Tablas!$A60),0)</f>
        <v>0</v>
      </c>
      <c r="V89" s="15">
        <f ca="1">IFERROR(GETPIVOTDATA("Cuenta de CANT",Tabla9,"PROV",[1]Tablas!$A$101,"SEFIS",V$16,"CANT",[1]Tablas!$A60),0)</f>
        <v>1</v>
      </c>
      <c r="W89" s="15">
        <f ca="1">IFERROR(GETPIVOTDATA("Cuenta de CANT",Tabla9,"PROV",[1]Tablas!$A$101,"SEFIS",W$16,"CANT",[1]Tablas!$A60),0)</f>
        <v>0</v>
      </c>
      <c r="X89" s="15">
        <f ca="1">IFERROR(GETPIVOTDATA("Cuenta de CANT",Tabla9,"PROV",[1]Tablas!$A$101,"SEFIS",X$16,"CANT",[1]Tablas!$A60),0)</f>
        <v>0</v>
      </c>
      <c r="Y89" s="15">
        <f ca="1">IFERROR(GETPIVOTDATA("Cuenta de CANT",Tabla9,"PROV",[1]Tablas!$A$101,"SEFIS",Y$16,"CANT",[1]Tablas!$A60),0)</f>
        <v>0</v>
      </c>
      <c r="Z89" s="15">
        <f ca="1">IFERROR(GETPIVOTDATA("Cuenta de CANT",Tabla9,"PROV",[1]Tablas!$A$101,"SEFIS",Z$16,"CANT",[1]Tablas!$A60),0)</f>
        <v>0</v>
      </c>
      <c r="AA89" s="15">
        <f ca="1">IFERROR(GETPIVOTDATA("Cuenta de CANT",Tabla9,"PROV",[1]Tablas!$A$101,"SEFIS",AA$16,"CANT",[1]Tablas!$A60),0)</f>
        <v>0</v>
      </c>
      <c r="AB89" s="15">
        <f ca="1">IFERROR(GETPIVOTDATA("Cuenta de CANT",Tabla9,"PROV",[1]Tablas!$A$101,"SEFIS",AB$16,"CANT",[1]Tablas!$A60),0)</f>
        <v>2</v>
      </c>
      <c r="AC89" s="15">
        <f ca="1">IFERROR(GETPIVOTDATA("Cuenta de CANT",Tabla9,"PROV",[1]Tablas!$A$101,"SEFIS",AC$16,"CANT",[1]Tablas!$A60),0)</f>
        <v>0</v>
      </c>
      <c r="AD89" s="15">
        <f ca="1">IFERROR(GETPIVOTDATA("Cuenta de CANT",Tabla9,"PROV",[1]Tablas!$A$101,"SEFIS",AD$16,"CANT",[1]Tablas!$A60),0)</f>
        <v>0</v>
      </c>
      <c r="AE89" s="15">
        <f ca="1">IFERROR(GETPIVOTDATA("Cuenta de CANT",Tabla9,"PROV",[1]Tablas!$A$101,"SEFIS",AE$16,"CANT",[1]Tablas!$A60),0)</f>
        <v>0</v>
      </c>
      <c r="AF89" s="15">
        <f ca="1">IFERROR(GETPIVOTDATA("Cuenta de CANT",Tabla9,"PROV",[1]Tablas!$A$101,"SEFIS",AF$16,"CANT",[1]Tablas!$A60),0)</f>
        <v>2</v>
      </c>
      <c r="AG89" s="15">
        <f ca="1">IFERROR(GETPIVOTDATA("Cuenta de CANT",Tabla9,"PROV",[1]Tablas!$A$101,"SEFIS",AG$16,"CANT",[1]Tablas!$A60),0)</f>
        <v>2</v>
      </c>
      <c r="AH89" s="15">
        <f ca="1">IFERROR(GETPIVOTDATA("Cuenta de CANT",Tabla9,"PROV",[1]Tablas!$A$101,"SEFIS",AH$16,"CANT",[1]Tablas!$A60),0)</f>
        <v>0</v>
      </c>
      <c r="AI89" s="15">
        <f ca="1">IFERROR(GETPIVOTDATA("Cuenta de CANT",Tabla9,"PROV",[1]Tablas!$A$101,"SEFIS",AI$16,"CANT",[1]Tablas!$A60),0)</f>
        <v>3</v>
      </c>
      <c r="AJ89" s="15">
        <f ca="1">IFERROR(GETPIVOTDATA("Cuenta de CANT",Tabla9,"PROV",[1]Tablas!$A$101,"SEFIS",AJ$16,"CANT",[1]Tablas!$A60),0)</f>
        <v>1</v>
      </c>
      <c r="AK89" s="15">
        <f ca="1">IFERROR(GETPIVOTDATA("Cuenta de CANT",Tabla9,"PROV",[1]Tablas!$A$101,"SEFIS",AK$16,"CANT",[1]Tablas!$A60),0)</f>
        <v>1</v>
      </c>
      <c r="AL89" s="15">
        <f ca="1">IFERROR(GETPIVOTDATA("Cuenta de CANT",Tabla9,"PROV",[1]Tablas!$A$101,"SEFIS",AL$16,"CANT",[1]Tablas!$A60),0)</f>
        <v>0</v>
      </c>
      <c r="AM89" s="15">
        <f ca="1">IFERROR(GETPIVOTDATA("Cuenta de CANT",Tabla9,"PROV",[1]Tablas!$A$101,"SEFIS",AM$16,"CANT",[1]Tablas!$A60),0)</f>
        <v>1</v>
      </c>
      <c r="AN89" s="15">
        <f ca="1">IFERROR(GETPIVOTDATA("Cuenta de CANT",Tabla9,"PROV",[1]Tablas!$A$101,"SEFIS",AN$16,"CANT",[1]Tablas!$A60),0)</f>
        <v>2</v>
      </c>
      <c r="AO89" s="15">
        <f ca="1">IFERROR(GETPIVOTDATA("Cuenta de CANT",Tabla9,"PROV",[1]Tablas!$A$101,"SEFIS",AO$16,"CANT",[1]Tablas!$A60),0)</f>
        <v>3</v>
      </c>
      <c r="AP89" s="15">
        <f ca="1">IFERROR(GETPIVOTDATA("Cuenta de CANT",Tabla9,"PROV",[1]Tablas!$A$101,"SEFIS",AP$16,"CANT",[1]Tablas!$A60),0)</f>
        <v>1</v>
      </c>
      <c r="AQ89" s="15">
        <f ca="1">IFERROR(GETPIVOTDATA("Cuenta de CANT",Tabla9,"PROV",[1]Tablas!$A$101,"SEFIS",AQ$16,"CANT",[1]Tablas!$A60),0)</f>
        <v>0</v>
      </c>
      <c r="AR89" s="15">
        <f ca="1">IFERROR(GETPIVOTDATA("Cuenta de CANT",Tabla9,"PROV",[1]Tablas!$A$101,"SEFIS",AR$16,"CANT",[1]Tablas!$A60),0)</f>
        <v>2</v>
      </c>
      <c r="AS89" s="15">
        <f ca="1">IFERROR(GETPIVOTDATA("Cuenta de CANT",Tabla9,"PROV",[1]Tablas!$A$101,"SEFIS",AS$16,"CANT",[1]Tablas!$A60),0)</f>
        <v>1</v>
      </c>
      <c r="AT89" s="15">
        <f ca="1">IFERROR(GETPIVOTDATA("Cuenta de CANT",Tabla9,"PROV",[1]Tablas!$A$101,"SEFIS",AT$16,"CANT",[1]Tablas!$A60),0)</f>
        <v>1</v>
      </c>
      <c r="AU89" s="15">
        <f ca="1">IFERROR(GETPIVOTDATA("Cuenta de CANT",Tabla9,"PROV",[1]Tablas!$A$101,"SEFIS",AU$16,"CANT",[1]Tablas!$A60),0)</f>
        <v>2</v>
      </c>
      <c r="AV89" s="15">
        <f ca="1">IFERROR(GETPIVOTDATA("Cuenta de CANT",Tabla9,"PROV",[1]Tablas!$A$101,"SEFIS",AV$16,"CANT",[1]Tablas!$A60),0)</f>
        <v>2</v>
      </c>
      <c r="AW89" s="15">
        <f ca="1">IFERROR(GETPIVOTDATA("Cuenta de CANT",Tabla9,"PROV",[1]Tablas!$A$101,"SEFIS",AW$16,"CANT",[1]Tablas!$A60),0)</f>
        <v>1</v>
      </c>
      <c r="AX89" s="15">
        <f ca="1">IFERROR(GETPIVOTDATA("Cuenta de CANT",Tabla9,"PROV",[1]Tablas!$A$101,"SEFIS",AX$16,"CANT",[1]Tablas!$A60),0)</f>
        <v>1</v>
      </c>
      <c r="AY89" s="15">
        <f ca="1">IFERROR(GETPIVOTDATA("Cuenta de CANT",Tabla9,"PROV",[1]Tablas!$A$101,"SEFIS",AY$16,"CANT",[1]Tablas!$A60),0)</f>
        <v>0</v>
      </c>
      <c r="AZ89" s="15">
        <f ca="1">IFERROR(GETPIVOTDATA("Cuenta de CANT",Tabla9,"PROV",[1]Tablas!$A$101,"SEFIS",AZ$16,"CANT",[1]Tablas!$A60),0)</f>
        <v>0</v>
      </c>
      <c r="BA89" s="15">
        <f ca="1">IFERROR(GETPIVOTDATA("Cuenta de CANT",Tabla9,"PROV",[1]Tablas!$A$101,"SEFIS",BA$16,"CANT",[1]Tablas!$A60),0)</f>
        <v>3</v>
      </c>
      <c r="BB89" s="15">
        <f ca="1">IFERROR(GETPIVOTDATA("Cuenta de CANT",Tabla9,"PROV",[1]Tablas!$A$101,"SEFIS",BB$16,"CANT",[1]Tablas!$A60),0)</f>
        <v>1</v>
      </c>
      <c r="BC89" s="15">
        <f ca="1">IFERROR(GETPIVOTDATA("Cuenta de CANT",Tabla9,"PROV",[1]Tablas!$A$101,"SEFIS",BC$16,"CANT",[1]Tablas!$A60),0)</f>
        <v>1</v>
      </c>
    </row>
    <row r="90" spans="1:55" x14ac:dyDescent="0.35">
      <c r="A90" s="14" t="s">
        <v>82</v>
      </c>
      <c r="B90" s="15">
        <f t="shared" ca="1" si="7"/>
        <v>28</v>
      </c>
      <c r="C90" s="16">
        <f ca="1">IFERROR(B90/[1]Tablas!$B61*100000,"N/D")</f>
        <v>53.715995856194603</v>
      </c>
      <c r="D90" s="15">
        <f ca="1">IFERROR(GETPIVOTDATA("Cuenta de CANT",Tabla9,"PROV",[1]Tablas!$A$101,"SEFIS",D$16,"CANT",[1]Tablas!$A61),0)</f>
        <v>4</v>
      </c>
      <c r="E90" s="15">
        <f ca="1">IFERROR(GETPIVOTDATA("Cuenta de CANT",Tabla9,"PROV",[1]Tablas!$A$101,"SEFIS",E$16,"CANT",[1]Tablas!$A61),0)</f>
        <v>2</v>
      </c>
      <c r="F90" s="15">
        <f ca="1">IFERROR(GETPIVOTDATA("Cuenta de CANT",Tabla9,"PROV",[1]Tablas!$A$101,"SEFIS",F$16,"CANT",[1]Tablas!$A61),0)</f>
        <v>1</v>
      </c>
      <c r="G90" s="15">
        <f ca="1">IFERROR(GETPIVOTDATA("Cuenta de CANT",Tabla9,"PROV",[1]Tablas!$A$101,"SEFIS",G$16,"CANT",[1]Tablas!$A61),0)</f>
        <v>0</v>
      </c>
      <c r="H90" s="15">
        <f ca="1">IFERROR(GETPIVOTDATA("Cuenta de CANT",Tabla9,"PROV",[1]Tablas!$A$101,"SEFIS",H$16,"CANT",[1]Tablas!$A61),0)</f>
        <v>0</v>
      </c>
      <c r="I90" s="15">
        <f ca="1">IFERROR(GETPIVOTDATA("Cuenta de CANT",Tabla9,"PROV",[1]Tablas!$A$101,"SEFIS",I$16,"CANT",[1]Tablas!$A61),0)</f>
        <v>0</v>
      </c>
      <c r="J90" s="15">
        <f ca="1">IFERROR(GETPIVOTDATA("Cuenta de CANT",Tabla9,"PROV",[1]Tablas!$A$101,"SEFIS",J$16,"CANT",[1]Tablas!$A61),0)</f>
        <v>0</v>
      </c>
      <c r="K90" s="15">
        <f ca="1">IFERROR(GETPIVOTDATA("Cuenta de CANT",Tabla9,"PROV",[1]Tablas!$A$101,"SEFIS",K$16,"CANT",[1]Tablas!$A61),0)</f>
        <v>0</v>
      </c>
      <c r="L90" s="15">
        <f ca="1">IFERROR(GETPIVOTDATA("Cuenta de CANT",Tabla9,"PROV",[1]Tablas!$A$101,"SEFIS",L$16,"CANT",[1]Tablas!$A61),0)</f>
        <v>0</v>
      </c>
      <c r="M90" s="15">
        <f ca="1">IFERROR(GETPIVOTDATA("Cuenta de CANT",Tabla9,"PROV",[1]Tablas!$A$101,"SEFIS",M$16,"CANT",[1]Tablas!$A61),0)</f>
        <v>1</v>
      </c>
      <c r="N90" s="15">
        <f ca="1">IFERROR(GETPIVOTDATA("Cuenta de CANT",Tabla9,"PROV",[1]Tablas!$A$101,"SEFIS",N$16,"CANT",[1]Tablas!$A61),0)</f>
        <v>1</v>
      </c>
      <c r="O90" s="15">
        <f ca="1">IFERROR(GETPIVOTDATA("Cuenta de CANT",Tabla9,"PROV",[1]Tablas!$A$101,"SEFIS",O$16,"CANT",[1]Tablas!$A61),0)</f>
        <v>0</v>
      </c>
      <c r="P90" s="15">
        <f ca="1">IFERROR(GETPIVOTDATA("Cuenta de CANT",Tabla9,"PROV",[1]Tablas!$A$101,"SEFIS",P$16,"CANT",[1]Tablas!$A61),0)</f>
        <v>0</v>
      </c>
      <c r="Q90" s="15">
        <f ca="1">IFERROR(GETPIVOTDATA("Cuenta de CANT",Tabla9,"PROV",[1]Tablas!$A$101,"SEFIS",Q$16,"CANT",[1]Tablas!$A61),0)</f>
        <v>0</v>
      </c>
      <c r="R90" s="15">
        <f ca="1">IFERROR(GETPIVOTDATA("Cuenta de CANT",Tabla9,"PROV",[1]Tablas!$A$101,"SEFIS",R$16,"CANT",[1]Tablas!$A61),0)</f>
        <v>0</v>
      </c>
      <c r="S90" s="15">
        <f ca="1">IFERROR(GETPIVOTDATA("Cuenta de CANT",Tabla9,"PROV",[1]Tablas!$A$101,"SEFIS",S$16,"CANT",[1]Tablas!$A61),0)</f>
        <v>0</v>
      </c>
      <c r="T90" s="15">
        <f ca="1">IFERROR(GETPIVOTDATA("Cuenta de CANT",Tabla9,"PROV",[1]Tablas!$A$101,"SEFIS",T$16,"CANT",[1]Tablas!$A61),0)</f>
        <v>0</v>
      </c>
      <c r="U90" s="15">
        <f ca="1">IFERROR(GETPIVOTDATA("Cuenta de CANT",Tabla9,"PROV",[1]Tablas!$A$101,"SEFIS",U$16,"CANT",[1]Tablas!$A61),0)</f>
        <v>0</v>
      </c>
      <c r="V90" s="15">
        <f ca="1">IFERROR(GETPIVOTDATA("Cuenta de CANT",Tabla9,"PROV",[1]Tablas!$A$101,"SEFIS",V$16,"CANT",[1]Tablas!$A61),0)</f>
        <v>1</v>
      </c>
      <c r="W90" s="15">
        <f ca="1">IFERROR(GETPIVOTDATA("Cuenta de CANT",Tabla9,"PROV",[1]Tablas!$A$101,"SEFIS",W$16,"CANT",[1]Tablas!$A61),0)</f>
        <v>0</v>
      </c>
      <c r="X90" s="15">
        <f ca="1">IFERROR(GETPIVOTDATA("Cuenta de CANT",Tabla9,"PROV",[1]Tablas!$A$101,"SEFIS",X$16,"CANT",[1]Tablas!$A61),0)</f>
        <v>0</v>
      </c>
      <c r="Y90" s="15">
        <f ca="1">IFERROR(GETPIVOTDATA("Cuenta de CANT",Tabla9,"PROV",[1]Tablas!$A$101,"SEFIS",Y$16,"CANT",[1]Tablas!$A61),0)</f>
        <v>0</v>
      </c>
      <c r="Z90" s="15">
        <f ca="1">IFERROR(GETPIVOTDATA("Cuenta de CANT",Tabla9,"PROV",[1]Tablas!$A$101,"SEFIS",Z$16,"CANT",[1]Tablas!$A61),0)</f>
        <v>0</v>
      </c>
      <c r="AA90" s="15">
        <f ca="1">IFERROR(GETPIVOTDATA("Cuenta de CANT",Tabla9,"PROV",[1]Tablas!$A$101,"SEFIS",AA$16,"CANT",[1]Tablas!$A61),0)</f>
        <v>0</v>
      </c>
      <c r="AB90" s="15">
        <f ca="1">IFERROR(GETPIVOTDATA("Cuenta de CANT",Tabla9,"PROV",[1]Tablas!$A$101,"SEFIS",AB$16,"CANT",[1]Tablas!$A61),0)</f>
        <v>0</v>
      </c>
      <c r="AC90" s="15">
        <f ca="1">IFERROR(GETPIVOTDATA("Cuenta de CANT",Tabla9,"PROV",[1]Tablas!$A$101,"SEFIS",AC$16,"CANT",[1]Tablas!$A61),0)</f>
        <v>3</v>
      </c>
      <c r="AD90" s="15">
        <f ca="1">IFERROR(GETPIVOTDATA("Cuenta de CANT",Tabla9,"PROV",[1]Tablas!$A$101,"SEFIS",AD$16,"CANT",[1]Tablas!$A61),0)</f>
        <v>1</v>
      </c>
      <c r="AE90" s="15">
        <f ca="1">IFERROR(GETPIVOTDATA("Cuenta de CANT",Tabla9,"PROV",[1]Tablas!$A$101,"SEFIS",AE$16,"CANT",[1]Tablas!$A61),0)</f>
        <v>0</v>
      </c>
      <c r="AF90" s="15">
        <f ca="1">IFERROR(GETPIVOTDATA("Cuenta de CANT",Tabla9,"PROV",[1]Tablas!$A$101,"SEFIS",AF$16,"CANT",[1]Tablas!$A61),0)</f>
        <v>2</v>
      </c>
      <c r="AG90" s="15">
        <f ca="1">IFERROR(GETPIVOTDATA("Cuenta de CANT",Tabla9,"PROV",[1]Tablas!$A$101,"SEFIS",AG$16,"CANT",[1]Tablas!$A61),0)</f>
        <v>0</v>
      </c>
      <c r="AH90" s="15">
        <f ca="1">IFERROR(GETPIVOTDATA("Cuenta de CANT",Tabla9,"PROV",[1]Tablas!$A$101,"SEFIS",AH$16,"CANT",[1]Tablas!$A61),0)</f>
        <v>0</v>
      </c>
      <c r="AI90" s="15">
        <f ca="1">IFERROR(GETPIVOTDATA("Cuenta de CANT",Tabla9,"PROV",[1]Tablas!$A$101,"SEFIS",AI$16,"CANT",[1]Tablas!$A61),0)</f>
        <v>0</v>
      </c>
      <c r="AJ90" s="15">
        <f ca="1">IFERROR(GETPIVOTDATA("Cuenta de CANT",Tabla9,"PROV",[1]Tablas!$A$101,"SEFIS",AJ$16,"CANT",[1]Tablas!$A61),0)</f>
        <v>1</v>
      </c>
      <c r="AK90" s="15">
        <f ca="1">IFERROR(GETPIVOTDATA("Cuenta de CANT",Tabla9,"PROV",[1]Tablas!$A$101,"SEFIS",AK$16,"CANT",[1]Tablas!$A61),0)</f>
        <v>0</v>
      </c>
      <c r="AL90" s="15">
        <f ca="1">IFERROR(GETPIVOTDATA("Cuenta de CANT",Tabla9,"PROV",[1]Tablas!$A$101,"SEFIS",AL$16,"CANT",[1]Tablas!$A61),0)</f>
        <v>0</v>
      </c>
      <c r="AM90" s="15">
        <f ca="1">IFERROR(GETPIVOTDATA("Cuenta de CANT",Tabla9,"PROV",[1]Tablas!$A$101,"SEFIS",AM$16,"CANT",[1]Tablas!$A61),0)</f>
        <v>0</v>
      </c>
      <c r="AN90" s="15">
        <f ca="1">IFERROR(GETPIVOTDATA("Cuenta de CANT",Tabla9,"PROV",[1]Tablas!$A$101,"SEFIS",AN$16,"CANT",[1]Tablas!$A61),0)</f>
        <v>0</v>
      </c>
      <c r="AO90" s="15">
        <f ca="1">IFERROR(GETPIVOTDATA("Cuenta de CANT",Tabla9,"PROV",[1]Tablas!$A$101,"SEFIS",AO$16,"CANT",[1]Tablas!$A61),0)</f>
        <v>0</v>
      </c>
      <c r="AP90" s="15">
        <f ca="1">IFERROR(GETPIVOTDATA("Cuenta de CANT",Tabla9,"PROV",[1]Tablas!$A$101,"SEFIS",AP$16,"CANT",[1]Tablas!$A61),0)</f>
        <v>0</v>
      </c>
      <c r="AQ90" s="15">
        <f ca="1">IFERROR(GETPIVOTDATA("Cuenta de CANT",Tabla9,"PROV",[1]Tablas!$A$101,"SEFIS",AQ$16,"CANT",[1]Tablas!$A61),0)</f>
        <v>0</v>
      </c>
      <c r="AR90" s="15">
        <f ca="1">IFERROR(GETPIVOTDATA("Cuenta de CANT",Tabla9,"PROV",[1]Tablas!$A$101,"SEFIS",AR$16,"CANT",[1]Tablas!$A61),0)</f>
        <v>1</v>
      </c>
      <c r="AS90" s="15">
        <f ca="1">IFERROR(GETPIVOTDATA("Cuenta de CANT",Tabla9,"PROV",[1]Tablas!$A$101,"SEFIS",AS$16,"CANT",[1]Tablas!$A61),0)</f>
        <v>0</v>
      </c>
      <c r="AT90" s="15">
        <f ca="1">IFERROR(GETPIVOTDATA("Cuenta de CANT",Tabla9,"PROV",[1]Tablas!$A$101,"SEFIS",AT$16,"CANT",[1]Tablas!$A61),0)</f>
        <v>0</v>
      </c>
      <c r="AU90" s="15">
        <f ca="1">IFERROR(GETPIVOTDATA("Cuenta de CANT",Tabla9,"PROV",[1]Tablas!$A$101,"SEFIS",AU$16,"CANT",[1]Tablas!$A61),0)</f>
        <v>1</v>
      </c>
      <c r="AV90" s="15">
        <f ca="1">IFERROR(GETPIVOTDATA("Cuenta de CANT",Tabla9,"PROV",[1]Tablas!$A$101,"SEFIS",AV$16,"CANT",[1]Tablas!$A61),0)</f>
        <v>1</v>
      </c>
      <c r="AW90" s="15">
        <f ca="1">IFERROR(GETPIVOTDATA("Cuenta de CANT",Tabla9,"PROV",[1]Tablas!$A$101,"SEFIS",AW$16,"CANT",[1]Tablas!$A61),0)</f>
        <v>1</v>
      </c>
      <c r="AX90" s="15">
        <f ca="1">IFERROR(GETPIVOTDATA("Cuenta de CANT",Tabla9,"PROV",[1]Tablas!$A$101,"SEFIS",AX$16,"CANT",[1]Tablas!$A61),0)</f>
        <v>1</v>
      </c>
      <c r="AY90" s="15">
        <f ca="1">IFERROR(GETPIVOTDATA("Cuenta de CANT",Tabla9,"PROV",[1]Tablas!$A$101,"SEFIS",AY$16,"CANT",[1]Tablas!$A61),0)</f>
        <v>1</v>
      </c>
      <c r="AZ90" s="15">
        <f ca="1">IFERROR(GETPIVOTDATA("Cuenta de CANT",Tabla9,"PROV",[1]Tablas!$A$101,"SEFIS",AZ$16,"CANT",[1]Tablas!$A61),0)</f>
        <v>1</v>
      </c>
      <c r="BA90" s="15">
        <f ca="1">IFERROR(GETPIVOTDATA("Cuenta de CANT",Tabla9,"PROV",[1]Tablas!$A$101,"SEFIS",BA$16,"CANT",[1]Tablas!$A61),0)</f>
        <v>2</v>
      </c>
      <c r="BB90" s="15">
        <f ca="1">IFERROR(GETPIVOTDATA("Cuenta de CANT",Tabla9,"PROV",[1]Tablas!$A$101,"SEFIS",BB$16,"CANT",[1]Tablas!$A61),0)</f>
        <v>2</v>
      </c>
      <c r="BC90" s="15">
        <f ca="1">IFERROR(GETPIVOTDATA("Cuenta de CANT",Tabla9,"PROV",[1]Tablas!$A$101,"SEFIS",BC$16,"CANT",[1]Tablas!$A61),0)</f>
        <v>0</v>
      </c>
    </row>
    <row r="91" spans="1:55" x14ac:dyDescent="0.35">
      <c r="A91" s="14" t="s">
        <v>83</v>
      </c>
      <c r="B91" s="15">
        <f t="shared" ca="1" si="7"/>
        <v>10</v>
      </c>
      <c r="C91" s="16">
        <f ca="1">IFERROR(B91/[1]Tablas!$B62*100000,"N/D")</f>
        <v>71.285999429712007</v>
      </c>
      <c r="D91" s="15">
        <f ca="1">IFERROR(GETPIVOTDATA("Cuenta de CANT",Tabla9,"PROV",[1]Tablas!$A$101,"SEFIS",D$16,"CANT",[1]Tablas!$A62),0)</f>
        <v>0</v>
      </c>
      <c r="E91" s="15">
        <f ca="1">IFERROR(GETPIVOTDATA("Cuenta de CANT",Tabla9,"PROV",[1]Tablas!$A$101,"SEFIS",E$16,"CANT",[1]Tablas!$A62),0)</f>
        <v>0</v>
      </c>
      <c r="F91" s="15">
        <f ca="1">IFERROR(GETPIVOTDATA("Cuenta de CANT",Tabla9,"PROV",[1]Tablas!$A$101,"SEFIS",F$16,"CANT",[1]Tablas!$A62),0)</f>
        <v>0</v>
      </c>
      <c r="G91" s="15">
        <f ca="1">IFERROR(GETPIVOTDATA("Cuenta de CANT",Tabla9,"PROV",[1]Tablas!$A$101,"SEFIS",G$16,"CANT",[1]Tablas!$A62),0)</f>
        <v>0</v>
      </c>
      <c r="H91" s="15">
        <f ca="1">IFERROR(GETPIVOTDATA("Cuenta de CANT",Tabla9,"PROV",[1]Tablas!$A$101,"SEFIS",H$16,"CANT",[1]Tablas!$A62),0)</f>
        <v>0</v>
      </c>
      <c r="I91" s="15">
        <f ca="1">IFERROR(GETPIVOTDATA("Cuenta de CANT",Tabla9,"PROV",[1]Tablas!$A$101,"SEFIS",I$16,"CANT",[1]Tablas!$A62),0)</f>
        <v>0</v>
      </c>
      <c r="J91" s="15">
        <f ca="1">IFERROR(GETPIVOTDATA("Cuenta de CANT",Tabla9,"PROV",[1]Tablas!$A$101,"SEFIS",J$16,"CANT",[1]Tablas!$A62),0)</f>
        <v>0</v>
      </c>
      <c r="K91" s="15">
        <f ca="1">IFERROR(GETPIVOTDATA("Cuenta de CANT",Tabla9,"PROV",[1]Tablas!$A$101,"SEFIS",K$16,"CANT",[1]Tablas!$A62),0)</f>
        <v>0</v>
      </c>
      <c r="L91" s="15">
        <f ca="1">IFERROR(GETPIVOTDATA("Cuenta de CANT",Tabla9,"PROV",[1]Tablas!$A$101,"SEFIS",L$16,"CANT",[1]Tablas!$A62),0)</f>
        <v>0</v>
      </c>
      <c r="M91" s="15">
        <f ca="1">IFERROR(GETPIVOTDATA("Cuenta de CANT",Tabla9,"PROV",[1]Tablas!$A$101,"SEFIS",M$16,"CANT",[1]Tablas!$A62),0)</f>
        <v>0</v>
      </c>
      <c r="N91" s="15">
        <f ca="1">IFERROR(GETPIVOTDATA("Cuenta de CANT",Tabla9,"PROV",[1]Tablas!$A$101,"SEFIS",N$16,"CANT",[1]Tablas!$A62),0)</f>
        <v>0</v>
      </c>
      <c r="O91" s="15">
        <f ca="1">IFERROR(GETPIVOTDATA("Cuenta de CANT",Tabla9,"PROV",[1]Tablas!$A$101,"SEFIS",O$16,"CANT",[1]Tablas!$A62),0)</f>
        <v>0</v>
      </c>
      <c r="P91" s="15">
        <f ca="1">IFERROR(GETPIVOTDATA("Cuenta de CANT",Tabla9,"PROV",[1]Tablas!$A$101,"SEFIS",P$16,"CANT",[1]Tablas!$A62),0)</f>
        <v>0</v>
      </c>
      <c r="Q91" s="15">
        <f ca="1">IFERROR(GETPIVOTDATA("Cuenta de CANT",Tabla9,"PROV",[1]Tablas!$A$101,"SEFIS",Q$16,"CANT",[1]Tablas!$A62),0)</f>
        <v>0</v>
      </c>
      <c r="R91" s="15">
        <f ca="1">IFERROR(GETPIVOTDATA("Cuenta de CANT",Tabla9,"PROV",[1]Tablas!$A$101,"SEFIS",R$16,"CANT",[1]Tablas!$A62),0)</f>
        <v>0</v>
      </c>
      <c r="S91" s="15">
        <f ca="1">IFERROR(GETPIVOTDATA("Cuenta de CANT",Tabla9,"PROV",[1]Tablas!$A$101,"SEFIS",S$16,"CANT",[1]Tablas!$A62),0)</f>
        <v>0</v>
      </c>
      <c r="T91" s="15">
        <f ca="1">IFERROR(GETPIVOTDATA("Cuenta de CANT",Tabla9,"PROV",[1]Tablas!$A$101,"SEFIS",T$16,"CANT",[1]Tablas!$A62),0)</f>
        <v>0</v>
      </c>
      <c r="U91" s="15">
        <f ca="1">IFERROR(GETPIVOTDATA("Cuenta de CANT",Tabla9,"PROV",[1]Tablas!$A$101,"SEFIS",U$16,"CANT",[1]Tablas!$A62),0)</f>
        <v>1</v>
      </c>
      <c r="V91" s="15">
        <f ca="1">IFERROR(GETPIVOTDATA("Cuenta de CANT",Tabla9,"PROV",[1]Tablas!$A$101,"SEFIS",V$16,"CANT",[1]Tablas!$A62),0)</f>
        <v>0</v>
      </c>
      <c r="W91" s="15">
        <f ca="1">IFERROR(GETPIVOTDATA("Cuenta de CANT",Tabla9,"PROV",[1]Tablas!$A$101,"SEFIS",W$16,"CANT",[1]Tablas!$A62),0)</f>
        <v>0</v>
      </c>
      <c r="X91" s="15">
        <f ca="1">IFERROR(GETPIVOTDATA("Cuenta de CANT",Tabla9,"PROV",[1]Tablas!$A$101,"SEFIS",X$16,"CANT",[1]Tablas!$A62),0)</f>
        <v>0</v>
      </c>
      <c r="Y91" s="15">
        <f ca="1">IFERROR(GETPIVOTDATA("Cuenta de CANT",Tabla9,"PROV",[1]Tablas!$A$101,"SEFIS",Y$16,"CANT",[1]Tablas!$A62),0)</f>
        <v>0</v>
      </c>
      <c r="Z91" s="15">
        <f ca="1">IFERROR(GETPIVOTDATA("Cuenta de CANT",Tabla9,"PROV",[1]Tablas!$A$101,"SEFIS",Z$16,"CANT",[1]Tablas!$A62),0)</f>
        <v>1</v>
      </c>
      <c r="AA91" s="15">
        <f ca="1">IFERROR(GETPIVOTDATA("Cuenta de CANT",Tabla9,"PROV",[1]Tablas!$A$101,"SEFIS",AA$16,"CANT",[1]Tablas!$A62),0)</f>
        <v>0</v>
      </c>
      <c r="AB91" s="15">
        <f ca="1">IFERROR(GETPIVOTDATA("Cuenta de CANT",Tabla9,"PROV",[1]Tablas!$A$101,"SEFIS",AB$16,"CANT",[1]Tablas!$A62),0)</f>
        <v>0</v>
      </c>
      <c r="AC91" s="15">
        <f ca="1">IFERROR(GETPIVOTDATA("Cuenta de CANT",Tabla9,"PROV",[1]Tablas!$A$101,"SEFIS",AC$16,"CANT",[1]Tablas!$A62),0)</f>
        <v>0</v>
      </c>
      <c r="AD91" s="15">
        <f ca="1">IFERROR(GETPIVOTDATA("Cuenta de CANT",Tabla9,"PROV",[1]Tablas!$A$101,"SEFIS",AD$16,"CANT",[1]Tablas!$A62),0)</f>
        <v>0</v>
      </c>
      <c r="AE91" s="15">
        <f ca="1">IFERROR(GETPIVOTDATA("Cuenta de CANT",Tabla9,"PROV",[1]Tablas!$A$101,"SEFIS",AE$16,"CANT",[1]Tablas!$A62),0)</f>
        <v>0</v>
      </c>
      <c r="AF91" s="15">
        <f ca="1">IFERROR(GETPIVOTDATA("Cuenta de CANT",Tabla9,"PROV",[1]Tablas!$A$101,"SEFIS",AF$16,"CANT",[1]Tablas!$A62),0)</f>
        <v>0</v>
      </c>
      <c r="AG91" s="15">
        <f ca="1">IFERROR(GETPIVOTDATA("Cuenta de CANT",Tabla9,"PROV",[1]Tablas!$A$101,"SEFIS",AG$16,"CANT",[1]Tablas!$A62),0)</f>
        <v>0</v>
      </c>
      <c r="AH91" s="15">
        <f ca="1">IFERROR(GETPIVOTDATA("Cuenta de CANT",Tabla9,"PROV",[1]Tablas!$A$101,"SEFIS",AH$16,"CANT",[1]Tablas!$A62),0)</f>
        <v>0</v>
      </c>
      <c r="AI91" s="15">
        <f ca="1">IFERROR(GETPIVOTDATA("Cuenta de CANT",Tabla9,"PROV",[1]Tablas!$A$101,"SEFIS",AI$16,"CANT",[1]Tablas!$A62),0)</f>
        <v>0</v>
      </c>
      <c r="AJ91" s="15">
        <f ca="1">IFERROR(GETPIVOTDATA("Cuenta de CANT",Tabla9,"PROV",[1]Tablas!$A$101,"SEFIS",AJ$16,"CANT",[1]Tablas!$A62),0)</f>
        <v>0</v>
      </c>
      <c r="AK91" s="15">
        <f ca="1">IFERROR(GETPIVOTDATA("Cuenta de CANT",Tabla9,"PROV",[1]Tablas!$A$101,"SEFIS",AK$16,"CANT",[1]Tablas!$A62),0)</f>
        <v>0</v>
      </c>
      <c r="AL91" s="15">
        <f ca="1">IFERROR(GETPIVOTDATA("Cuenta de CANT",Tabla9,"PROV",[1]Tablas!$A$101,"SEFIS",AL$16,"CANT",[1]Tablas!$A62),0)</f>
        <v>2</v>
      </c>
      <c r="AM91" s="15">
        <f ca="1">IFERROR(GETPIVOTDATA("Cuenta de CANT",Tabla9,"PROV",[1]Tablas!$A$101,"SEFIS",AM$16,"CANT",[1]Tablas!$A62),0)</f>
        <v>0</v>
      </c>
      <c r="AN91" s="15">
        <f ca="1">IFERROR(GETPIVOTDATA("Cuenta de CANT",Tabla9,"PROV",[1]Tablas!$A$101,"SEFIS",AN$16,"CANT",[1]Tablas!$A62),0)</f>
        <v>1</v>
      </c>
      <c r="AO91" s="15">
        <f ca="1">IFERROR(GETPIVOTDATA("Cuenta de CANT",Tabla9,"PROV",[1]Tablas!$A$101,"SEFIS",AO$16,"CANT",[1]Tablas!$A62),0)</f>
        <v>0</v>
      </c>
      <c r="AP91" s="15">
        <f ca="1">IFERROR(GETPIVOTDATA("Cuenta de CANT",Tabla9,"PROV",[1]Tablas!$A$101,"SEFIS",AP$16,"CANT",[1]Tablas!$A62),0)</f>
        <v>0</v>
      </c>
      <c r="AQ91" s="15">
        <f ca="1">IFERROR(GETPIVOTDATA("Cuenta de CANT",Tabla9,"PROV",[1]Tablas!$A$101,"SEFIS",AQ$16,"CANT",[1]Tablas!$A62),0)</f>
        <v>0</v>
      </c>
      <c r="AR91" s="15">
        <f ca="1">IFERROR(GETPIVOTDATA("Cuenta de CANT",Tabla9,"PROV",[1]Tablas!$A$101,"SEFIS",AR$16,"CANT",[1]Tablas!$A62),0)</f>
        <v>0</v>
      </c>
      <c r="AS91" s="15">
        <f ca="1">IFERROR(GETPIVOTDATA("Cuenta de CANT",Tabla9,"PROV",[1]Tablas!$A$101,"SEFIS",AS$16,"CANT",[1]Tablas!$A62),0)</f>
        <v>0</v>
      </c>
      <c r="AT91" s="15">
        <f ca="1">IFERROR(GETPIVOTDATA("Cuenta de CANT",Tabla9,"PROV",[1]Tablas!$A$101,"SEFIS",AT$16,"CANT",[1]Tablas!$A62),0)</f>
        <v>0</v>
      </c>
      <c r="AU91" s="15">
        <f ca="1">IFERROR(GETPIVOTDATA("Cuenta de CANT",Tabla9,"PROV",[1]Tablas!$A$101,"SEFIS",AU$16,"CANT",[1]Tablas!$A62),0)</f>
        <v>0</v>
      </c>
      <c r="AV91" s="15">
        <f ca="1">IFERROR(GETPIVOTDATA("Cuenta de CANT",Tabla9,"PROV",[1]Tablas!$A$101,"SEFIS",AV$16,"CANT",[1]Tablas!$A62),0)</f>
        <v>1</v>
      </c>
      <c r="AW91" s="15">
        <f ca="1">IFERROR(GETPIVOTDATA("Cuenta de CANT",Tabla9,"PROV",[1]Tablas!$A$101,"SEFIS",AW$16,"CANT",[1]Tablas!$A62),0)</f>
        <v>0</v>
      </c>
      <c r="AX91" s="15">
        <f ca="1">IFERROR(GETPIVOTDATA("Cuenta de CANT",Tabla9,"PROV",[1]Tablas!$A$101,"SEFIS",AX$16,"CANT",[1]Tablas!$A62),0)</f>
        <v>2</v>
      </c>
      <c r="AY91" s="15">
        <f ca="1">IFERROR(GETPIVOTDATA("Cuenta de CANT",Tabla9,"PROV",[1]Tablas!$A$101,"SEFIS",AY$16,"CANT",[1]Tablas!$A62),0)</f>
        <v>0</v>
      </c>
      <c r="AZ91" s="15">
        <f ca="1">IFERROR(GETPIVOTDATA("Cuenta de CANT",Tabla9,"PROV",[1]Tablas!$A$101,"SEFIS",AZ$16,"CANT",[1]Tablas!$A62),0)</f>
        <v>1</v>
      </c>
      <c r="BA91" s="15">
        <f ca="1">IFERROR(GETPIVOTDATA("Cuenta de CANT",Tabla9,"PROV",[1]Tablas!$A$101,"SEFIS",BA$16,"CANT",[1]Tablas!$A62),0)</f>
        <v>0</v>
      </c>
      <c r="BB91" s="15">
        <f ca="1">IFERROR(GETPIVOTDATA("Cuenta de CANT",Tabla9,"PROV",[1]Tablas!$A$101,"SEFIS",BB$16,"CANT",[1]Tablas!$A62),0)</f>
        <v>0</v>
      </c>
      <c r="BC91" s="15">
        <f ca="1">IFERROR(GETPIVOTDATA("Cuenta de CANT",Tabla9,"PROV",[1]Tablas!$A$101,"SEFIS",BC$16,"CANT",[1]Tablas!$A62),0)</f>
        <v>1</v>
      </c>
    </row>
    <row r="92" spans="1:55" x14ac:dyDescent="0.35">
      <c r="A92" s="14" t="s">
        <v>84</v>
      </c>
      <c r="B92" s="15">
        <f t="shared" ca="1" si="7"/>
        <v>35</v>
      </c>
      <c r="C92" s="16">
        <f ca="1">IFERROR(B92/[1]Tablas!$B63*100000,"N/D")</f>
        <v>113.56999156337206</v>
      </c>
      <c r="D92" s="15">
        <f ca="1">IFERROR(GETPIVOTDATA("Cuenta de CANT",Tabla9,"PROV",[1]Tablas!$A$101,"SEFIS",D$16,"CANT",[1]Tablas!$A63),0)</f>
        <v>0</v>
      </c>
      <c r="E92" s="15">
        <f ca="1">IFERROR(GETPIVOTDATA("Cuenta de CANT",Tabla9,"PROV",[1]Tablas!$A$101,"SEFIS",E$16,"CANT",[1]Tablas!$A63),0)</f>
        <v>0</v>
      </c>
      <c r="F92" s="15">
        <f ca="1">IFERROR(GETPIVOTDATA("Cuenta de CANT",Tabla9,"PROV",[1]Tablas!$A$101,"SEFIS",F$16,"CANT",[1]Tablas!$A63),0)</f>
        <v>0</v>
      </c>
      <c r="G92" s="15">
        <f ca="1">IFERROR(GETPIVOTDATA("Cuenta de CANT",Tabla9,"PROV",[1]Tablas!$A$101,"SEFIS",G$16,"CANT",[1]Tablas!$A63),0)</f>
        <v>0</v>
      </c>
      <c r="H92" s="15">
        <f ca="1">IFERROR(GETPIVOTDATA("Cuenta de CANT",Tabla9,"PROV",[1]Tablas!$A$101,"SEFIS",H$16,"CANT",[1]Tablas!$A63),0)</f>
        <v>0</v>
      </c>
      <c r="I92" s="15">
        <f ca="1">IFERROR(GETPIVOTDATA("Cuenta de CANT",Tabla9,"PROV",[1]Tablas!$A$101,"SEFIS",I$16,"CANT",[1]Tablas!$A63),0)</f>
        <v>0</v>
      </c>
      <c r="J92" s="15">
        <f ca="1">IFERROR(GETPIVOTDATA("Cuenta de CANT",Tabla9,"PROV",[1]Tablas!$A$101,"SEFIS",J$16,"CANT",[1]Tablas!$A63),0)</f>
        <v>0</v>
      </c>
      <c r="K92" s="15">
        <f ca="1">IFERROR(GETPIVOTDATA("Cuenta de CANT",Tabla9,"PROV",[1]Tablas!$A$101,"SEFIS",K$16,"CANT",[1]Tablas!$A63),0)</f>
        <v>1</v>
      </c>
      <c r="L92" s="15">
        <f ca="1">IFERROR(GETPIVOTDATA("Cuenta de CANT",Tabla9,"PROV",[1]Tablas!$A$101,"SEFIS",L$16,"CANT",[1]Tablas!$A63),0)</f>
        <v>0</v>
      </c>
      <c r="M92" s="15">
        <f ca="1">IFERROR(GETPIVOTDATA("Cuenta de CANT",Tabla9,"PROV",[1]Tablas!$A$101,"SEFIS",M$16,"CANT",[1]Tablas!$A63),0)</f>
        <v>0</v>
      </c>
      <c r="N92" s="15">
        <f ca="1">IFERROR(GETPIVOTDATA("Cuenta de CANT",Tabla9,"PROV",[1]Tablas!$A$101,"SEFIS",N$16,"CANT",[1]Tablas!$A63),0)</f>
        <v>0</v>
      </c>
      <c r="O92" s="15">
        <f ca="1">IFERROR(GETPIVOTDATA("Cuenta de CANT",Tabla9,"PROV",[1]Tablas!$A$101,"SEFIS",O$16,"CANT",[1]Tablas!$A63),0)</f>
        <v>0</v>
      </c>
      <c r="P92" s="15">
        <f ca="1">IFERROR(GETPIVOTDATA("Cuenta de CANT",Tabla9,"PROV",[1]Tablas!$A$101,"SEFIS",P$16,"CANT",[1]Tablas!$A63),0)</f>
        <v>0</v>
      </c>
      <c r="Q92" s="15">
        <f ca="1">IFERROR(GETPIVOTDATA("Cuenta de CANT",Tabla9,"PROV",[1]Tablas!$A$101,"SEFIS",Q$16,"CANT",[1]Tablas!$A63),0)</f>
        <v>0</v>
      </c>
      <c r="R92" s="15">
        <f ca="1">IFERROR(GETPIVOTDATA("Cuenta de CANT",Tabla9,"PROV",[1]Tablas!$A$101,"SEFIS",R$16,"CANT",[1]Tablas!$A63),0)</f>
        <v>0</v>
      </c>
      <c r="S92" s="15">
        <f ca="1">IFERROR(GETPIVOTDATA("Cuenta de CANT",Tabla9,"PROV",[1]Tablas!$A$101,"SEFIS",S$16,"CANT",[1]Tablas!$A63),0)</f>
        <v>0</v>
      </c>
      <c r="T92" s="15">
        <f ca="1">IFERROR(GETPIVOTDATA("Cuenta de CANT",Tabla9,"PROV",[1]Tablas!$A$101,"SEFIS",T$16,"CANT",[1]Tablas!$A63),0)</f>
        <v>0</v>
      </c>
      <c r="U92" s="15">
        <f ca="1">IFERROR(GETPIVOTDATA("Cuenta de CANT",Tabla9,"PROV",[1]Tablas!$A$101,"SEFIS",U$16,"CANT",[1]Tablas!$A63),0)</f>
        <v>0</v>
      </c>
      <c r="V92" s="15">
        <f ca="1">IFERROR(GETPIVOTDATA("Cuenta de CANT",Tabla9,"PROV",[1]Tablas!$A$101,"SEFIS",V$16,"CANT",[1]Tablas!$A63),0)</f>
        <v>0</v>
      </c>
      <c r="W92" s="15">
        <f ca="1">IFERROR(GETPIVOTDATA("Cuenta de CANT",Tabla9,"PROV",[1]Tablas!$A$101,"SEFIS",W$16,"CANT",[1]Tablas!$A63),0)</f>
        <v>0</v>
      </c>
      <c r="X92" s="15">
        <f ca="1">IFERROR(GETPIVOTDATA("Cuenta de CANT",Tabla9,"PROV",[1]Tablas!$A$101,"SEFIS",X$16,"CANT",[1]Tablas!$A63),0)</f>
        <v>0</v>
      </c>
      <c r="Y92" s="15">
        <f ca="1">IFERROR(GETPIVOTDATA("Cuenta de CANT",Tabla9,"PROV",[1]Tablas!$A$101,"SEFIS",Y$16,"CANT",[1]Tablas!$A63),0)</f>
        <v>0</v>
      </c>
      <c r="Z92" s="15">
        <f ca="1">IFERROR(GETPIVOTDATA("Cuenta de CANT",Tabla9,"PROV",[1]Tablas!$A$101,"SEFIS",Z$16,"CANT",[1]Tablas!$A63),0)</f>
        <v>3</v>
      </c>
      <c r="AA92" s="15">
        <f ca="1">IFERROR(GETPIVOTDATA("Cuenta de CANT",Tabla9,"PROV",[1]Tablas!$A$101,"SEFIS",AA$16,"CANT",[1]Tablas!$A63),0)</f>
        <v>1</v>
      </c>
      <c r="AB92" s="15">
        <f ca="1">IFERROR(GETPIVOTDATA("Cuenta de CANT",Tabla9,"PROV",[1]Tablas!$A$101,"SEFIS",AB$16,"CANT",[1]Tablas!$A63),0)</f>
        <v>0</v>
      </c>
      <c r="AC92" s="15">
        <f ca="1">IFERROR(GETPIVOTDATA("Cuenta de CANT",Tabla9,"PROV",[1]Tablas!$A$101,"SEFIS",AC$16,"CANT",[1]Tablas!$A63),0)</f>
        <v>1</v>
      </c>
      <c r="AD92" s="15">
        <f ca="1">IFERROR(GETPIVOTDATA("Cuenta de CANT",Tabla9,"PROV",[1]Tablas!$A$101,"SEFIS",AD$16,"CANT",[1]Tablas!$A63),0)</f>
        <v>0</v>
      </c>
      <c r="AE92" s="15">
        <f ca="1">IFERROR(GETPIVOTDATA("Cuenta de CANT",Tabla9,"PROV",[1]Tablas!$A$101,"SEFIS",AE$16,"CANT",[1]Tablas!$A63),0)</f>
        <v>2</v>
      </c>
      <c r="AF92" s="15">
        <f ca="1">IFERROR(GETPIVOTDATA("Cuenta de CANT",Tabla9,"PROV",[1]Tablas!$A$101,"SEFIS",AF$16,"CANT",[1]Tablas!$A63),0)</f>
        <v>2</v>
      </c>
      <c r="AG92" s="15">
        <f ca="1">IFERROR(GETPIVOTDATA("Cuenta de CANT",Tabla9,"PROV",[1]Tablas!$A$101,"SEFIS",AG$16,"CANT",[1]Tablas!$A63),0)</f>
        <v>0</v>
      </c>
      <c r="AH92" s="15">
        <f ca="1">IFERROR(GETPIVOTDATA("Cuenta de CANT",Tabla9,"PROV",[1]Tablas!$A$101,"SEFIS",AH$16,"CANT",[1]Tablas!$A63),0)</f>
        <v>0</v>
      </c>
      <c r="AI92" s="15">
        <f ca="1">IFERROR(GETPIVOTDATA("Cuenta de CANT",Tabla9,"PROV",[1]Tablas!$A$101,"SEFIS",AI$16,"CANT",[1]Tablas!$A63),0)</f>
        <v>0</v>
      </c>
      <c r="AJ92" s="15">
        <f ca="1">IFERROR(GETPIVOTDATA("Cuenta de CANT",Tabla9,"PROV",[1]Tablas!$A$101,"SEFIS",AJ$16,"CANT",[1]Tablas!$A63),0)</f>
        <v>2</v>
      </c>
      <c r="AK92" s="15">
        <f ca="1">IFERROR(GETPIVOTDATA("Cuenta de CANT",Tabla9,"PROV",[1]Tablas!$A$101,"SEFIS",AK$16,"CANT",[1]Tablas!$A63),0)</f>
        <v>2</v>
      </c>
      <c r="AL92" s="15">
        <f ca="1">IFERROR(GETPIVOTDATA("Cuenta de CANT",Tabla9,"PROV",[1]Tablas!$A$101,"SEFIS",AL$16,"CANT",[1]Tablas!$A63),0)</f>
        <v>0</v>
      </c>
      <c r="AM92" s="15">
        <f ca="1">IFERROR(GETPIVOTDATA("Cuenta de CANT",Tabla9,"PROV",[1]Tablas!$A$101,"SEFIS",AM$16,"CANT",[1]Tablas!$A63),0)</f>
        <v>4</v>
      </c>
      <c r="AN92" s="15">
        <f ca="1">IFERROR(GETPIVOTDATA("Cuenta de CANT",Tabla9,"PROV",[1]Tablas!$A$101,"SEFIS",AN$16,"CANT",[1]Tablas!$A63),0)</f>
        <v>1</v>
      </c>
      <c r="AO92" s="15">
        <f ca="1">IFERROR(GETPIVOTDATA("Cuenta de CANT",Tabla9,"PROV",[1]Tablas!$A$101,"SEFIS",AO$16,"CANT",[1]Tablas!$A63),0)</f>
        <v>1</v>
      </c>
      <c r="AP92" s="15">
        <f ca="1">IFERROR(GETPIVOTDATA("Cuenta de CANT",Tabla9,"PROV",[1]Tablas!$A$101,"SEFIS",AP$16,"CANT",[1]Tablas!$A63),0)</f>
        <v>2</v>
      </c>
      <c r="AQ92" s="15">
        <f ca="1">IFERROR(GETPIVOTDATA("Cuenta de CANT",Tabla9,"PROV",[1]Tablas!$A$101,"SEFIS",AQ$16,"CANT",[1]Tablas!$A63),0)</f>
        <v>1</v>
      </c>
      <c r="AR92" s="15">
        <f ca="1">IFERROR(GETPIVOTDATA("Cuenta de CANT",Tabla9,"PROV",[1]Tablas!$A$101,"SEFIS",AR$16,"CANT",[1]Tablas!$A63),0)</f>
        <v>1</v>
      </c>
      <c r="AS92" s="15">
        <f ca="1">IFERROR(GETPIVOTDATA("Cuenta de CANT",Tabla9,"PROV",[1]Tablas!$A$101,"SEFIS",AS$16,"CANT",[1]Tablas!$A63),0)</f>
        <v>0</v>
      </c>
      <c r="AT92" s="15">
        <f ca="1">IFERROR(GETPIVOTDATA("Cuenta de CANT",Tabla9,"PROV",[1]Tablas!$A$101,"SEFIS",AT$16,"CANT",[1]Tablas!$A63),0)</f>
        <v>0</v>
      </c>
      <c r="AU92" s="15">
        <f ca="1">IFERROR(GETPIVOTDATA("Cuenta de CANT",Tabla9,"PROV",[1]Tablas!$A$101,"SEFIS",AU$16,"CANT",[1]Tablas!$A63),0)</f>
        <v>0</v>
      </c>
      <c r="AV92" s="15">
        <f ca="1">IFERROR(GETPIVOTDATA("Cuenta de CANT",Tabla9,"PROV",[1]Tablas!$A$101,"SEFIS",AV$16,"CANT",[1]Tablas!$A63),0)</f>
        <v>3</v>
      </c>
      <c r="AW92" s="15">
        <f ca="1">IFERROR(GETPIVOTDATA("Cuenta de CANT",Tabla9,"PROV",[1]Tablas!$A$101,"SEFIS",AW$16,"CANT",[1]Tablas!$A63),0)</f>
        <v>1</v>
      </c>
      <c r="AX92" s="15">
        <f ca="1">IFERROR(GETPIVOTDATA("Cuenta de CANT",Tabla9,"PROV",[1]Tablas!$A$101,"SEFIS",AX$16,"CANT",[1]Tablas!$A63),0)</f>
        <v>1</v>
      </c>
      <c r="AY92" s="15">
        <f ca="1">IFERROR(GETPIVOTDATA("Cuenta de CANT",Tabla9,"PROV",[1]Tablas!$A$101,"SEFIS",AY$16,"CANT",[1]Tablas!$A63),0)</f>
        <v>1</v>
      </c>
      <c r="AZ92" s="15">
        <f ca="1">IFERROR(GETPIVOTDATA("Cuenta de CANT",Tabla9,"PROV",[1]Tablas!$A$101,"SEFIS",AZ$16,"CANT",[1]Tablas!$A63),0)</f>
        <v>0</v>
      </c>
      <c r="BA92" s="15">
        <f ca="1">IFERROR(GETPIVOTDATA("Cuenta de CANT",Tabla9,"PROV",[1]Tablas!$A$101,"SEFIS",BA$16,"CANT",[1]Tablas!$A63),0)</f>
        <v>3</v>
      </c>
      <c r="BB92" s="15">
        <f ca="1">IFERROR(GETPIVOTDATA("Cuenta de CANT",Tabla9,"PROV",[1]Tablas!$A$101,"SEFIS",BB$16,"CANT",[1]Tablas!$A63),0)</f>
        <v>0</v>
      </c>
      <c r="BC92" s="15">
        <f ca="1">IFERROR(GETPIVOTDATA("Cuenta de CANT",Tabla9,"PROV",[1]Tablas!$A$101,"SEFIS",BC$16,"CANT",[1]Tablas!$A63),0)</f>
        <v>2</v>
      </c>
    </row>
    <row r="93" spans="1:55" x14ac:dyDescent="0.35">
      <c r="A93" s="14" t="s">
        <v>85</v>
      </c>
      <c r="B93" s="15">
        <f t="shared" ca="1" si="7"/>
        <v>14</v>
      </c>
      <c r="C93" s="16">
        <f ca="1">IFERROR(B93/[1]Tablas!$B64*100000,"N/D")</f>
        <v>43.585193487126801</v>
      </c>
      <c r="D93" s="15">
        <f ca="1">IFERROR(GETPIVOTDATA("Cuenta de CANT",Tabla9,"PROV",[1]Tablas!$A$101,"SEFIS",D$16,"CANT",[1]Tablas!$A64),0)</f>
        <v>0</v>
      </c>
      <c r="E93" s="15">
        <f ca="1">IFERROR(GETPIVOTDATA("Cuenta de CANT",Tabla9,"PROV",[1]Tablas!$A$101,"SEFIS",E$16,"CANT",[1]Tablas!$A64),0)</f>
        <v>0</v>
      </c>
      <c r="F93" s="15">
        <f ca="1">IFERROR(GETPIVOTDATA("Cuenta de CANT",Tabla9,"PROV",[1]Tablas!$A$101,"SEFIS",F$16,"CANT",[1]Tablas!$A64),0)</f>
        <v>0</v>
      </c>
      <c r="G93" s="15">
        <f ca="1">IFERROR(GETPIVOTDATA("Cuenta de CANT",Tabla9,"PROV",[1]Tablas!$A$101,"SEFIS",G$16,"CANT",[1]Tablas!$A64),0)</f>
        <v>0</v>
      </c>
      <c r="H93" s="15">
        <f ca="1">IFERROR(GETPIVOTDATA("Cuenta de CANT",Tabla9,"PROV",[1]Tablas!$A$101,"SEFIS",H$16,"CANT",[1]Tablas!$A64),0)</f>
        <v>0</v>
      </c>
      <c r="I93" s="15">
        <f ca="1">IFERROR(GETPIVOTDATA("Cuenta de CANT",Tabla9,"PROV",[1]Tablas!$A$101,"SEFIS",I$16,"CANT",[1]Tablas!$A64),0)</f>
        <v>0</v>
      </c>
      <c r="J93" s="15">
        <f ca="1">IFERROR(GETPIVOTDATA("Cuenta de CANT",Tabla9,"PROV",[1]Tablas!$A$101,"SEFIS",J$16,"CANT",[1]Tablas!$A64),0)</f>
        <v>0</v>
      </c>
      <c r="K93" s="15">
        <f ca="1">IFERROR(GETPIVOTDATA("Cuenta de CANT",Tabla9,"PROV",[1]Tablas!$A$101,"SEFIS",K$16,"CANT",[1]Tablas!$A64),0)</f>
        <v>0</v>
      </c>
      <c r="L93" s="15">
        <f ca="1">IFERROR(GETPIVOTDATA("Cuenta de CANT",Tabla9,"PROV",[1]Tablas!$A$101,"SEFIS",L$16,"CANT",[1]Tablas!$A64),0)</f>
        <v>0</v>
      </c>
      <c r="M93" s="15">
        <f ca="1">IFERROR(GETPIVOTDATA("Cuenta de CANT",Tabla9,"PROV",[1]Tablas!$A$101,"SEFIS",M$16,"CANT",[1]Tablas!$A64),0)</f>
        <v>0</v>
      </c>
      <c r="N93" s="15">
        <f ca="1">IFERROR(GETPIVOTDATA("Cuenta de CANT",Tabla9,"PROV",[1]Tablas!$A$101,"SEFIS",N$16,"CANT",[1]Tablas!$A64),0)</f>
        <v>0</v>
      </c>
      <c r="O93" s="15">
        <f ca="1">IFERROR(GETPIVOTDATA("Cuenta de CANT",Tabla9,"PROV",[1]Tablas!$A$101,"SEFIS",O$16,"CANT",[1]Tablas!$A64),0)</f>
        <v>0</v>
      </c>
      <c r="P93" s="15">
        <f ca="1">IFERROR(GETPIVOTDATA("Cuenta de CANT",Tabla9,"PROV",[1]Tablas!$A$101,"SEFIS",P$16,"CANT",[1]Tablas!$A64),0)</f>
        <v>0</v>
      </c>
      <c r="Q93" s="15">
        <f ca="1">IFERROR(GETPIVOTDATA("Cuenta de CANT",Tabla9,"PROV",[1]Tablas!$A$101,"SEFIS",Q$16,"CANT",[1]Tablas!$A64),0)</f>
        <v>0</v>
      </c>
      <c r="R93" s="15">
        <f ca="1">IFERROR(GETPIVOTDATA("Cuenta de CANT",Tabla9,"PROV",[1]Tablas!$A$101,"SEFIS",R$16,"CANT",[1]Tablas!$A64),0)</f>
        <v>0</v>
      </c>
      <c r="S93" s="15">
        <f ca="1">IFERROR(GETPIVOTDATA("Cuenta de CANT",Tabla9,"PROV",[1]Tablas!$A$101,"SEFIS",S$16,"CANT",[1]Tablas!$A64),0)</f>
        <v>0</v>
      </c>
      <c r="T93" s="15">
        <f ca="1">IFERROR(GETPIVOTDATA("Cuenta de CANT",Tabla9,"PROV",[1]Tablas!$A$101,"SEFIS",T$16,"CANT",[1]Tablas!$A64),0)</f>
        <v>0</v>
      </c>
      <c r="U93" s="15">
        <f ca="1">IFERROR(GETPIVOTDATA("Cuenta de CANT",Tabla9,"PROV",[1]Tablas!$A$101,"SEFIS",U$16,"CANT",[1]Tablas!$A64),0)</f>
        <v>0</v>
      </c>
      <c r="V93" s="15">
        <f ca="1">IFERROR(GETPIVOTDATA("Cuenta de CANT",Tabla9,"PROV",[1]Tablas!$A$101,"SEFIS",V$16,"CANT",[1]Tablas!$A64),0)</f>
        <v>0</v>
      </c>
      <c r="W93" s="15">
        <f ca="1">IFERROR(GETPIVOTDATA("Cuenta de CANT",Tabla9,"PROV",[1]Tablas!$A$101,"SEFIS",W$16,"CANT",[1]Tablas!$A64),0)</f>
        <v>0</v>
      </c>
      <c r="X93" s="15">
        <f ca="1">IFERROR(GETPIVOTDATA("Cuenta de CANT",Tabla9,"PROV",[1]Tablas!$A$101,"SEFIS",X$16,"CANT",[1]Tablas!$A64),0)</f>
        <v>0</v>
      </c>
      <c r="Y93" s="15">
        <f ca="1">IFERROR(GETPIVOTDATA("Cuenta de CANT",Tabla9,"PROV",[1]Tablas!$A$101,"SEFIS",Y$16,"CANT",[1]Tablas!$A64),0)</f>
        <v>0</v>
      </c>
      <c r="Z93" s="15">
        <f ca="1">IFERROR(GETPIVOTDATA("Cuenta de CANT",Tabla9,"PROV",[1]Tablas!$A$101,"SEFIS",Z$16,"CANT",[1]Tablas!$A64),0)</f>
        <v>1</v>
      </c>
      <c r="AA93" s="15">
        <f ca="1">IFERROR(GETPIVOTDATA("Cuenta de CANT",Tabla9,"PROV",[1]Tablas!$A$101,"SEFIS",AA$16,"CANT",[1]Tablas!$A64),0)</f>
        <v>0</v>
      </c>
      <c r="AB93" s="15">
        <f ca="1">IFERROR(GETPIVOTDATA("Cuenta de CANT",Tabla9,"PROV",[1]Tablas!$A$101,"SEFIS",AB$16,"CANT",[1]Tablas!$A64),0)</f>
        <v>1</v>
      </c>
      <c r="AC93" s="15">
        <f ca="1">IFERROR(GETPIVOTDATA("Cuenta de CANT",Tabla9,"PROV",[1]Tablas!$A$101,"SEFIS",AC$16,"CANT",[1]Tablas!$A64),0)</f>
        <v>0</v>
      </c>
      <c r="AD93" s="15">
        <f ca="1">IFERROR(GETPIVOTDATA("Cuenta de CANT",Tabla9,"PROV",[1]Tablas!$A$101,"SEFIS",AD$16,"CANT",[1]Tablas!$A64),0)</f>
        <v>0</v>
      </c>
      <c r="AE93" s="15">
        <f ca="1">IFERROR(GETPIVOTDATA("Cuenta de CANT",Tabla9,"PROV",[1]Tablas!$A$101,"SEFIS",AE$16,"CANT",[1]Tablas!$A64),0)</f>
        <v>0</v>
      </c>
      <c r="AF93" s="15">
        <f ca="1">IFERROR(GETPIVOTDATA("Cuenta de CANT",Tabla9,"PROV",[1]Tablas!$A$101,"SEFIS",AF$16,"CANT",[1]Tablas!$A64),0)</f>
        <v>1</v>
      </c>
      <c r="AG93" s="15">
        <f ca="1">IFERROR(GETPIVOTDATA("Cuenta de CANT",Tabla9,"PROV",[1]Tablas!$A$101,"SEFIS",AG$16,"CANT",[1]Tablas!$A64),0)</f>
        <v>1</v>
      </c>
      <c r="AH93" s="15">
        <f ca="1">IFERROR(GETPIVOTDATA("Cuenta de CANT",Tabla9,"PROV",[1]Tablas!$A$101,"SEFIS",AH$16,"CANT",[1]Tablas!$A64),0)</f>
        <v>0</v>
      </c>
      <c r="AI93" s="15">
        <f ca="1">IFERROR(GETPIVOTDATA("Cuenta de CANT",Tabla9,"PROV",[1]Tablas!$A$101,"SEFIS",AI$16,"CANT",[1]Tablas!$A64),0)</f>
        <v>1</v>
      </c>
      <c r="AJ93" s="15">
        <f ca="1">IFERROR(GETPIVOTDATA("Cuenta de CANT",Tabla9,"PROV",[1]Tablas!$A$101,"SEFIS",AJ$16,"CANT",[1]Tablas!$A64),0)</f>
        <v>1</v>
      </c>
      <c r="AK93" s="15">
        <f ca="1">IFERROR(GETPIVOTDATA("Cuenta de CANT",Tabla9,"PROV",[1]Tablas!$A$101,"SEFIS",AK$16,"CANT",[1]Tablas!$A64),0)</f>
        <v>0</v>
      </c>
      <c r="AL93" s="15">
        <f ca="1">IFERROR(GETPIVOTDATA("Cuenta de CANT",Tabla9,"PROV",[1]Tablas!$A$101,"SEFIS",AL$16,"CANT",[1]Tablas!$A64),0)</f>
        <v>3</v>
      </c>
      <c r="AM93" s="15">
        <f ca="1">IFERROR(GETPIVOTDATA("Cuenta de CANT",Tabla9,"PROV",[1]Tablas!$A$101,"SEFIS",AM$16,"CANT",[1]Tablas!$A64),0)</f>
        <v>0</v>
      </c>
      <c r="AN93" s="15">
        <f ca="1">IFERROR(GETPIVOTDATA("Cuenta de CANT",Tabla9,"PROV",[1]Tablas!$A$101,"SEFIS",AN$16,"CANT",[1]Tablas!$A64),0)</f>
        <v>0</v>
      </c>
      <c r="AO93" s="15">
        <f ca="1">IFERROR(GETPIVOTDATA("Cuenta de CANT",Tabla9,"PROV",[1]Tablas!$A$101,"SEFIS",AO$16,"CANT",[1]Tablas!$A64),0)</f>
        <v>0</v>
      </c>
      <c r="AP93" s="15">
        <f ca="1">IFERROR(GETPIVOTDATA("Cuenta de CANT",Tabla9,"PROV",[1]Tablas!$A$101,"SEFIS",AP$16,"CANT",[1]Tablas!$A64),0)</f>
        <v>0</v>
      </c>
      <c r="AQ93" s="15">
        <f ca="1">IFERROR(GETPIVOTDATA("Cuenta de CANT",Tabla9,"PROV",[1]Tablas!$A$101,"SEFIS",AQ$16,"CANT",[1]Tablas!$A64),0)</f>
        <v>0</v>
      </c>
      <c r="AR93" s="15">
        <f ca="1">IFERROR(GETPIVOTDATA("Cuenta de CANT",Tabla9,"PROV",[1]Tablas!$A$101,"SEFIS",AR$16,"CANT",[1]Tablas!$A64),0)</f>
        <v>0</v>
      </c>
      <c r="AS93" s="15">
        <f ca="1">IFERROR(GETPIVOTDATA("Cuenta de CANT",Tabla9,"PROV",[1]Tablas!$A$101,"SEFIS",AS$16,"CANT",[1]Tablas!$A64),0)</f>
        <v>0</v>
      </c>
      <c r="AT93" s="15">
        <f ca="1">IFERROR(GETPIVOTDATA("Cuenta de CANT",Tabla9,"PROV",[1]Tablas!$A$101,"SEFIS",AT$16,"CANT",[1]Tablas!$A64),0)</f>
        <v>3</v>
      </c>
      <c r="AU93" s="15">
        <f ca="1">IFERROR(GETPIVOTDATA("Cuenta de CANT",Tabla9,"PROV",[1]Tablas!$A$101,"SEFIS",AU$16,"CANT",[1]Tablas!$A64),0)</f>
        <v>1</v>
      </c>
      <c r="AV93" s="15">
        <f ca="1">IFERROR(GETPIVOTDATA("Cuenta de CANT",Tabla9,"PROV",[1]Tablas!$A$101,"SEFIS",AV$16,"CANT",[1]Tablas!$A64),0)</f>
        <v>0</v>
      </c>
      <c r="AW93" s="15">
        <f ca="1">IFERROR(GETPIVOTDATA("Cuenta de CANT",Tabla9,"PROV",[1]Tablas!$A$101,"SEFIS",AW$16,"CANT",[1]Tablas!$A64),0)</f>
        <v>1</v>
      </c>
      <c r="AX93" s="15">
        <f ca="1">IFERROR(GETPIVOTDATA("Cuenta de CANT",Tabla9,"PROV",[1]Tablas!$A$101,"SEFIS",AX$16,"CANT",[1]Tablas!$A64),0)</f>
        <v>0</v>
      </c>
      <c r="AY93" s="15">
        <f ca="1">IFERROR(GETPIVOTDATA("Cuenta de CANT",Tabla9,"PROV",[1]Tablas!$A$101,"SEFIS",AY$16,"CANT",[1]Tablas!$A64),0)</f>
        <v>0</v>
      </c>
      <c r="AZ93" s="15">
        <f ca="1">IFERROR(GETPIVOTDATA("Cuenta de CANT",Tabla9,"PROV",[1]Tablas!$A$101,"SEFIS",AZ$16,"CANT",[1]Tablas!$A64),0)</f>
        <v>0</v>
      </c>
      <c r="BA93" s="15">
        <f ca="1">IFERROR(GETPIVOTDATA("Cuenta de CANT",Tabla9,"PROV",[1]Tablas!$A$101,"SEFIS",BA$16,"CANT",[1]Tablas!$A64),0)</f>
        <v>0</v>
      </c>
      <c r="BB93" s="15">
        <f ca="1">IFERROR(GETPIVOTDATA("Cuenta de CANT",Tabla9,"PROV",[1]Tablas!$A$101,"SEFIS",BB$16,"CANT",[1]Tablas!$A64),0)</f>
        <v>0</v>
      </c>
      <c r="BC93" s="15">
        <f ca="1">IFERROR(GETPIVOTDATA("Cuenta de CANT",Tabla9,"PROV",[1]Tablas!$A$101,"SEFIS",BC$16,"CANT",[1]Tablas!$A64),0)</f>
        <v>0</v>
      </c>
    </row>
    <row r="94" spans="1:55" x14ac:dyDescent="0.35">
      <c r="A94" s="14" t="s">
        <v>86</v>
      </c>
      <c r="B94" s="15">
        <f t="shared" ca="1" si="7"/>
        <v>44</v>
      </c>
      <c r="C94" s="16">
        <f ca="1">IFERROR(B94/[1]Tablas!$B65*100000,"N/D")</f>
        <v>98.716683119447183</v>
      </c>
      <c r="D94" s="15">
        <f ca="1">IFERROR(GETPIVOTDATA("Cuenta de CANT",Tabla9,"PROV",[1]Tablas!$A$101,"SEFIS",D$16,"CANT",[1]Tablas!$A65),0)</f>
        <v>1</v>
      </c>
      <c r="E94" s="15">
        <f ca="1">IFERROR(GETPIVOTDATA("Cuenta de CANT",Tabla9,"PROV",[1]Tablas!$A$101,"SEFIS",E$16,"CANT",[1]Tablas!$A65),0)</f>
        <v>0</v>
      </c>
      <c r="F94" s="15">
        <f ca="1">IFERROR(GETPIVOTDATA("Cuenta de CANT",Tabla9,"PROV",[1]Tablas!$A$101,"SEFIS",F$16,"CANT",[1]Tablas!$A65),0)</f>
        <v>3</v>
      </c>
      <c r="G94" s="15">
        <f ca="1">IFERROR(GETPIVOTDATA("Cuenta de CANT",Tabla9,"PROV",[1]Tablas!$A$101,"SEFIS",G$16,"CANT",[1]Tablas!$A65),0)</f>
        <v>2</v>
      </c>
      <c r="H94" s="15">
        <f ca="1">IFERROR(GETPIVOTDATA("Cuenta de CANT",Tabla9,"PROV",[1]Tablas!$A$101,"SEFIS",H$16,"CANT",[1]Tablas!$A65),0)</f>
        <v>0</v>
      </c>
      <c r="I94" s="15">
        <f ca="1">IFERROR(GETPIVOTDATA("Cuenta de CANT",Tabla9,"PROV",[1]Tablas!$A$101,"SEFIS",I$16,"CANT",[1]Tablas!$A65),0)</f>
        <v>0</v>
      </c>
      <c r="J94" s="15">
        <f ca="1">IFERROR(GETPIVOTDATA("Cuenta de CANT",Tabla9,"PROV",[1]Tablas!$A$101,"SEFIS",J$16,"CANT",[1]Tablas!$A65),0)</f>
        <v>1</v>
      </c>
      <c r="K94" s="15">
        <f ca="1">IFERROR(GETPIVOTDATA("Cuenta de CANT",Tabla9,"PROV",[1]Tablas!$A$101,"SEFIS",K$16,"CANT",[1]Tablas!$A65),0)</f>
        <v>2</v>
      </c>
      <c r="L94" s="15">
        <f ca="1">IFERROR(GETPIVOTDATA("Cuenta de CANT",Tabla9,"PROV",[1]Tablas!$A$101,"SEFIS",L$16,"CANT",[1]Tablas!$A65),0)</f>
        <v>0</v>
      </c>
      <c r="M94" s="15">
        <f ca="1">IFERROR(GETPIVOTDATA("Cuenta de CANT",Tabla9,"PROV",[1]Tablas!$A$101,"SEFIS",M$16,"CANT",[1]Tablas!$A65),0)</f>
        <v>0</v>
      </c>
      <c r="N94" s="15">
        <f ca="1">IFERROR(GETPIVOTDATA("Cuenta de CANT",Tabla9,"PROV",[1]Tablas!$A$101,"SEFIS",N$16,"CANT",[1]Tablas!$A65),0)</f>
        <v>2</v>
      </c>
      <c r="O94" s="15">
        <f ca="1">IFERROR(GETPIVOTDATA("Cuenta de CANT",Tabla9,"PROV",[1]Tablas!$A$101,"SEFIS",O$16,"CANT",[1]Tablas!$A65),0)</f>
        <v>1</v>
      </c>
      <c r="P94" s="15">
        <f ca="1">IFERROR(GETPIVOTDATA("Cuenta de CANT",Tabla9,"PROV",[1]Tablas!$A$101,"SEFIS",P$16,"CANT",[1]Tablas!$A65),0)</f>
        <v>0</v>
      </c>
      <c r="Q94" s="15">
        <f ca="1">IFERROR(GETPIVOTDATA("Cuenta de CANT",Tabla9,"PROV",[1]Tablas!$A$101,"SEFIS",Q$16,"CANT",[1]Tablas!$A65),0)</f>
        <v>0</v>
      </c>
      <c r="R94" s="15">
        <f ca="1">IFERROR(GETPIVOTDATA("Cuenta de CANT",Tabla9,"PROV",[1]Tablas!$A$101,"SEFIS",R$16,"CANT",[1]Tablas!$A65),0)</f>
        <v>0</v>
      </c>
      <c r="S94" s="15">
        <f ca="1">IFERROR(GETPIVOTDATA("Cuenta de CANT",Tabla9,"PROV",[1]Tablas!$A$101,"SEFIS",S$16,"CANT",[1]Tablas!$A65),0)</f>
        <v>0</v>
      </c>
      <c r="T94" s="15">
        <f ca="1">IFERROR(GETPIVOTDATA("Cuenta de CANT",Tabla9,"PROV",[1]Tablas!$A$101,"SEFIS",T$16,"CANT",[1]Tablas!$A65),0)</f>
        <v>1</v>
      </c>
      <c r="U94" s="15">
        <f ca="1">IFERROR(GETPIVOTDATA("Cuenta de CANT",Tabla9,"PROV",[1]Tablas!$A$101,"SEFIS",U$16,"CANT",[1]Tablas!$A65),0)</f>
        <v>2</v>
      </c>
      <c r="V94" s="15">
        <f ca="1">IFERROR(GETPIVOTDATA("Cuenta de CANT",Tabla9,"PROV",[1]Tablas!$A$101,"SEFIS",V$16,"CANT",[1]Tablas!$A65),0)</f>
        <v>0</v>
      </c>
      <c r="W94" s="15">
        <f ca="1">IFERROR(GETPIVOTDATA("Cuenta de CANT",Tabla9,"PROV",[1]Tablas!$A$101,"SEFIS",W$16,"CANT",[1]Tablas!$A65),0)</f>
        <v>1</v>
      </c>
      <c r="X94" s="15">
        <f ca="1">IFERROR(GETPIVOTDATA("Cuenta de CANT",Tabla9,"PROV",[1]Tablas!$A$101,"SEFIS",X$16,"CANT",[1]Tablas!$A65),0)</f>
        <v>1</v>
      </c>
      <c r="Y94" s="15">
        <f ca="1">IFERROR(GETPIVOTDATA("Cuenta de CANT",Tabla9,"PROV",[1]Tablas!$A$101,"SEFIS",Y$16,"CANT",[1]Tablas!$A65),0)</f>
        <v>2</v>
      </c>
      <c r="Z94" s="15">
        <f ca="1">IFERROR(GETPIVOTDATA("Cuenta de CANT",Tabla9,"PROV",[1]Tablas!$A$101,"SEFIS",Z$16,"CANT",[1]Tablas!$A65),0)</f>
        <v>1</v>
      </c>
      <c r="AA94" s="15">
        <f ca="1">IFERROR(GETPIVOTDATA("Cuenta de CANT",Tabla9,"PROV",[1]Tablas!$A$101,"SEFIS",AA$16,"CANT",[1]Tablas!$A65),0)</f>
        <v>0</v>
      </c>
      <c r="AB94" s="15">
        <f ca="1">IFERROR(GETPIVOTDATA("Cuenta de CANT",Tabla9,"PROV",[1]Tablas!$A$101,"SEFIS",AB$16,"CANT",[1]Tablas!$A65),0)</f>
        <v>0</v>
      </c>
      <c r="AC94" s="15">
        <f ca="1">IFERROR(GETPIVOTDATA("Cuenta de CANT",Tabla9,"PROV",[1]Tablas!$A$101,"SEFIS",AC$16,"CANT",[1]Tablas!$A65),0)</f>
        <v>1</v>
      </c>
      <c r="AD94" s="15">
        <f ca="1">IFERROR(GETPIVOTDATA("Cuenta de CANT",Tabla9,"PROV",[1]Tablas!$A$101,"SEFIS",AD$16,"CANT",[1]Tablas!$A65),0)</f>
        <v>0</v>
      </c>
      <c r="AE94" s="15">
        <f ca="1">IFERROR(GETPIVOTDATA("Cuenta de CANT",Tabla9,"PROV",[1]Tablas!$A$101,"SEFIS",AE$16,"CANT",[1]Tablas!$A65),0)</f>
        <v>0</v>
      </c>
      <c r="AF94" s="15">
        <f ca="1">IFERROR(GETPIVOTDATA("Cuenta de CANT",Tabla9,"PROV",[1]Tablas!$A$101,"SEFIS",AF$16,"CANT",[1]Tablas!$A65),0)</f>
        <v>1</v>
      </c>
      <c r="AG94" s="15">
        <f ca="1">IFERROR(GETPIVOTDATA("Cuenta de CANT",Tabla9,"PROV",[1]Tablas!$A$101,"SEFIS",AG$16,"CANT",[1]Tablas!$A65),0)</f>
        <v>0</v>
      </c>
      <c r="AH94" s="15">
        <f ca="1">IFERROR(GETPIVOTDATA("Cuenta de CANT",Tabla9,"PROV",[1]Tablas!$A$101,"SEFIS",AH$16,"CANT",[1]Tablas!$A65),0)</f>
        <v>0</v>
      </c>
      <c r="AI94" s="15">
        <f ca="1">IFERROR(GETPIVOTDATA("Cuenta de CANT",Tabla9,"PROV",[1]Tablas!$A$101,"SEFIS",AI$16,"CANT",[1]Tablas!$A65),0)</f>
        <v>1</v>
      </c>
      <c r="AJ94" s="15">
        <f ca="1">IFERROR(GETPIVOTDATA("Cuenta de CANT",Tabla9,"PROV",[1]Tablas!$A$101,"SEFIS",AJ$16,"CANT",[1]Tablas!$A65),0)</f>
        <v>0</v>
      </c>
      <c r="AK94" s="15">
        <f ca="1">IFERROR(GETPIVOTDATA("Cuenta de CANT",Tabla9,"PROV",[1]Tablas!$A$101,"SEFIS",AK$16,"CANT",[1]Tablas!$A65),0)</f>
        <v>0</v>
      </c>
      <c r="AL94" s="15">
        <f ca="1">IFERROR(GETPIVOTDATA("Cuenta de CANT",Tabla9,"PROV",[1]Tablas!$A$101,"SEFIS",AL$16,"CANT",[1]Tablas!$A65),0)</f>
        <v>0</v>
      </c>
      <c r="AM94" s="15">
        <f ca="1">IFERROR(GETPIVOTDATA("Cuenta de CANT",Tabla9,"PROV",[1]Tablas!$A$101,"SEFIS",AM$16,"CANT",[1]Tablas!$A65),0)</f>
        <v>1</v>
      </c>
      <c r="AN94" s="15">
        <f ca="1">IFERROR(GETPIVOTDATA("Cuenta de CANT",Tabla9,"PROV",[1]Tablas!$A$101,"SEFIS",AN$16,"CANT",[1]Tablas!$A65),0)</f>
        <v>0</v>
      </c>
      <c r="AO94" s="15">
        <f ca="1">IFERROR(GETPIVOTDATA("Cuenta de CANT",Tabla9,"PROV",[1]Tablas!$A$101,"SEFIS",AO$16,"CANT",[1]Tablas!$A65),0)</f>
        <v>1</v>
      </c>
      <c r="AP94" s="15">
        <f ca="1">IFERROR(GETPIVOTDATA("Cuenta de CANT",Tabla9,"PROV",[1]Tablas!$A$101,"SEFIS",AP$16,"CANT",[1]Tablas!$A65),0)</f>
        <v>1</v>
      </c>
      <c r="AQ94" s="15">
        <f ca="1">IFERROR(GETPIVOTDATA("Cuenta de CANT",Tabla9,"PROV",[1]Tablas!$A$101,"SEFIS",AQ$16,"CANT",[1]Tablas!$A65),0)</f>
        <v>1</v>
      </c>
      <c r="AR94" s="15">
        <f ca="1">IFERROR(GETPIVOTDATA("Cuenta de CANT",Tabla9,"PROV",[1]Tablas!$A$101,"SEFIS",AR$16,"CANT",[1]Tablas!$A65),0)</f>
        <v>3</v>
      </c>
      <c r="AS94" s="15">
        <f ca="1">IFERROR(GETPIVOTDATA("Cuenta de CANT",Tabla9,"PROV",[1]Tablas!$A$101,"SEFIS",AS$16,"CANT",[1]Tablas!$A65),0)</f>
        <v>1</v>
      </c>
      <c r="AT94" s="15">
        <f ca="1">IFERROR(GETPIVOTDATA("Cuenta de CANT",Tabla9,"PROV",[1]Tablas!$A$101,"SEFIS",AT$16,"CANT",[1]Tablas!$A65),0)</f>
        <v>0</v>
      </c>
      <c r="AU94" s="15">
        <f ca="1">IFERROR(GETPIVOTDATA("Cuenta de CANT",Tabla9,"PROV",[1]Tablas!$A$101,"SEFIS",AU$16,"CANT",[1]Tablas!$A65),0)</f>
        <v>2</v>
      </c>
      <c r="AV94" s="15">
        <f ca="1">IFERROR(GETPIVOTDATA("Cuenta de CANT",Tabla9,"PROV",[1]Tablas!$A$101,"SEFIS",AV$16,"CANT",[1]Tablas!$A65),0)</f>
        <v>2</v>
      </c>
      <c r="AW94" s="15">
        <f ca="1">IFERROR(GETPIVOTDATA("Cuenta de CANT",Tabla9,"PROV",[1]Tablas!$A$101,"SEFIS",AW$16,"CANT",[1]Tablas!$A65),0)</f>
        <v>1</v>
      </c>
      <c r="AX94" s="15">
        <f ca="1">IFERROR(GETPIVOTDATA("Cuenta de CANT",Tabla9,"PROV",[1]Tablas!$A$101,"SEFIS",AX$16,"CANT",[1]Tablas!$A65),0)</f>
        <v>1</v>
      </c>
      <c r="AY94" s="15">
        <f ca="1">IFERROR(GETPIVOTDATA("Cuenta de CANT",Tabla9,"PROV",[1]Tablas!$A$101,"SEFIS",AY$16,"CANT",[1]Tablas!$A65),0)</f>
        <v>2</v>
      </c>
      <c r="AZ94" s="15">
        <f ca="1">IFERROR(GETPIVOTDATA("Cuenta de CANT",Tabla9,"PROV",[1]Tablas!$A$101,"SEFIS",AZ$16,"CANT",[1]Tablas!$A65),0)</f>
        <v>3</v>
      </c>
      <c r="BA94" s="15">
        <f ca="1">IFERROR(GETPIVOTDATA("Cuenta de CANT",Tabla9,"PROV",[1]Tablas!$A$101,"SEFIS",BA$16,"CANT",[1]Tablas!$A65),0)</f>
        <v>1</v>
      </c>
      <c r="BB94" s="15">
        <f ca="1">IFERROR(GETPIVOTDATA("Cuenta de CANT",Tabla9,"PROV",[1]Tablas!$A$101,"SEFIS",BB$16,"CANT",[1]Tablas!$A65),0)</f>
        <v>0</v>
      </c>
      <c r="BC94" s="15">
        <f ca="1">IFERROR(GETPIVOTDATA("Cuenta de CANT",Tabla9,"PROV",[1]Tablas!$A$101,"SEFIS",BC$16,"CANT",[1]Tablas!$A65),0)</f>
        <v>1</v>
      </c>
    </row>
    <row r="95" spans="1:55" x14ac:dyDescent="0.35">
      <c r="A95" s="14" t="s">
        <v>87</v>
      </c>
      <c r="B95" s="15">
        <f t="shared" ca="1" si="7"/>
        <v>5</v>
      </c>
      <c r="C95" s="16">
        <f ca="1">IFERROR(B95/[1]Tablas!$B66*100000,"N/D")</f>
        <v>11.318362911988409</v>
      </c>
      <c r="D95" s="15">
        <f ca="1">IFERROR(GETPIVOTDATA("Cuenta de CANT",Tabla9,"PROV",[1]Tablas!$A$101,"SEFIS",D$16,"CANT",[1]Tablas!$A66),0)</f>
        <v>0</v>
      </c>
      <c r="E95" s="15">
        <f ca="1">IFERROR(GETPIVOTDATA("Cuenta de CANT",Tabla9,"PROV",[1]Tablas!$A$101,"SEFIS",E$16,"CANT",[1]Tablas!$A66),0)</f>
        <v>0</v>
      </c>
      <c r="F95" s="15">
        <f ca="1">IFERROR(GETPIVOTDATA("Cuenta de CANT",Tabla9,"PROV",[1]Tablas!$A$101,"SEFIS",F$16,"CANT",[1]Tablas!$A66),0)</f>
        <v>0</v>
      </c>
      <c r="G95" s="15">
        <f ca="1">IFERROR(GETPIVOTDATA("Cuenta de CANT",Tabla9,"PROV",[1]Tablas!$A$101,"SEFIS",G$16,"CANT",[1]Tablas!$A66),0)</f>
        <v>0</v>
      </c>
      <c r="H95" s="15">
        <f ca="1">IFERROR(GETPIVOTDATA("Cuenta de CANT",Tabla9,"PROV",[1]Tablas!$A$101,"SEFIS",H$16,"CANT",[1]Tablas!$A66),0)</f>
        <v>0</v>
      </c>
      <c r="I95" s="15">
        <f ca="1">IFERROR(GETPIVOTDATA("Cuenta de CANT",Tabla9,"PROV",[1]Tablas!$A$101,"SEFIS",I$16,"CANT",[1]Tablas!$A66),0)</f>
        <v>0</v>
      </c>
      <c r="J95" s="15">
        <f ca="1">IFERROR(GETPIVOTDATA("Cuenta de CANT",Tabla9,"PROV",[1]Tablas!$A$101,"SEFIS",J$16,"CANT",[1]Tablas!$A66),0)</f>
        <v>0</v>
      </c>
      <c r="K95" s="15">
        <f ca="1">IFERROR(GETPIVOTDATA("Cuenta de CANT",Tabla9,"PROV",[1]Tablas!$A$101,"SEFIS",K$16,"CANT",[1]Tablas!$A66),0)</f>
        <v>0</v>
      </c>
      <c r="L95" s="15">
        <f ca="1">IFERROR(GETPIVOTDATA("Cuenta de CANT",Tabla9,"PROV",[1]Tablas!$A$101,"SEFIS",L$16,"CANT",[1]Tablas!$A66),0)</f>
        <v>0</v>
      </c>
      <c r="M95" s="15">
        <f ca="1">IFERROR(GETPIVOTDATA("Cuenta de CANT",Tabla9,"PROV",[1]Tablas!$A$101,"SEFIS",M$16,"CANT",[1]Tablas!$A66),0)</f>
        <v>0</v>
      </c>
      <c r="N95" s="15">
        <f ca="1">IFERROR(GETPIVOTDATA("Cuenta de CANT",Tabla9,"PROV",[1]Tablas!$A$101,"SEFIS",N$16,"CANT",[1]Tablas!$A66),0)</f>
        <v>0</v>
      </c>
      <c r="O95" s="15">
        <f ca="1">IFERROR(GETPIVOTDATA("Cuenta de CANT",Tabla9,"PROV",[1]Tablas!$A$101,"SEFIS",O$16,"CANT",[1]Tablas!$A66),0)</f>
        <v>0</v>
      </c>
      <c r="P95" s="15">
        <f ca="1">IFERROR(GETPIVOTDATA("Cuenta de CANT",Tabla9,"PROV",[1]Tablas!$A$101,"SEFIS",P$16,"CANT",[1]Tablas!$A66),0)</f>
        <v>0</v>
      </c>
      <c r="Q95" s="15">
        <f ca="1">IFERROR(GETPIVOTDATA("Cuenta de CANT",Tabla9,"PROV",[1]Tablas!$A$101,"SEFIS",Q$16,"CANT",[1]Tablas!$A66),0)</f>
        <v>0</v>
      </c>
      <c r="R95" s="15">
        <f ca="1">IFERROR(GETPIVOTDATA("Cuenta de CANT",Tabla9,"PROV",[1]Tablas!$A$101,"SEFIS",R$16,"CANT",[1]Tablas!$A66),0)</f>
        <v>0</v>
      </c>
      <c r="S95" s="15">
        <f ca="1">IFERROR(GETPIVOTDATA("Cuenta de CANT",Tabla9,"PROV",[1]Tablas!$A$101,"SEFIS",S$16,"CANT",[1]Tablas!$A66),0)</f>
        <v>0</v>
      </c>
      <c r="T95" s="15">
        <f ca="1">IFERROR(GETPIVOTDATA("Cuenta de CANT",Tabla9,"PROV",[1]Tablas!$A$101,"SEFIS",T$16,"CANT",[1]Tablas!$A66),0)</f>
        <v>1</v>
      </c>
      <c r="U95" s="15">
        <f ca="1">IFERROR(GETPIVOTDATA("Cuenta de CANT",Tabla9,"PROV",[1]Tablas!$A$101,"SEFIS",U$16,"CANT",[1]Tablas!$A66),0)</f>
        <v>0</v>
      </c>
      <c r="V95" s="15">
        <f ca="1">IFERROR(GETPIVOTDATA("Cuenta de CANT",Tabla9,"PROV",[1]Tablas!$A$101,"SEFIS",V$16,"CANT",[1]Tablas!$A66),0)</f>
        <v>0</v>
      </c>
      <c r="W95" s="15">
        <f ca="1">IFERROR(GETPIVOTDATA("Cuenta de CANT",Tabla9,"PROV",[1]Tablas!$A$101,"SEFIS",W$16,"CANT",[1]Tablas!$A66),0)</f>
        <v>0</v>
      </c>
      <c r="X95" s="15">
        <f ca="1">IFERROR(GETPIVOTDATA("Cuenta de CANT",Tabla9,"PROV",[1]Tablas!$A$101,"SEFIS",X$16,"CANT",[1]Tablas!$A66),0)</f>
        <v>0</v>
      </c>
      <c r="Y95" s="15">
        <f ca="1">IFERROR(GETPIVOTDATA("Cuenta de CANT",Tabla9,"PROV",[1]Tablas!$A$101,"SEFIS",Y$16,"CANT",[1]Tablas!$A66),0)</f>
        <v>0</v>
      </c>
      <c r="Z95" s="15">
        <f ca="1">IFERROR(GETPIVOTDATA("Cuenta de CANT",Tabla9,"PROV",[1]Tablas!$A$101,"SEFIS",Z$16,"CANT",[1]Tablas!$A66),0)</f>
        <v>1</v>
      </c>
      <c r="AA95" s="15">
        <f ca="1">IFERROR(GETPIVOTDATA("Cuenta de CANT",Tabla9,"PROV",[1]Tablas!$A$101,"SEFIS",AA$16,"CANT",[1]Tablas!$A66),0)</f>
        <v>0</v>
      </c>
      <c r="AB95" s="15">
        <f ca="1">IFERROR(GETPIVOTDATA("Cuenta de CANT",Tabla9,"PROV",[1]Tablas!$A$101,"SEFIS",AB$16,"CANT",[1]Tablas!$A66),0)</f>
        <v>0</v>
      </c>
      <c r="AC95" s="15">
        <f ca="1">IFERROR(GETPIVOTDATA("Cuenta de CANT",Tabla9,"PROV",[1]Tablas!$A$101,"SEFIS",AC$16,"CANT",[1]Tablas!$A66),0)</f>
        <v>0</v>
      </c>
      <c r="AD95" s="15">
        <f ca="1">IFERROR(GETPIVOTDATA("Cuenta de CANT",Tabla9,"PROV",[1]Tablas!$A$101,"SEFIS",AD$16,"CANT",[1]Tablas!$A66),0)</f>
        <v>0</v>
      </c>
      <c r="AE95" s="15">
        <f ca="1">IFERROR(GETPIVOTDATA("Cuenta de CANT",Tabla9,"PROV",[1]Tablas!$A$101,"SEFIS",AE$16,"CANT",[1]Tablas!$A66),0)</f>
        <v>0</v>
      </c>
      <c r="AF95" s="15">
        <f ca="1">IFERROR(GETPIVOTDATA("Cuenta de CANT",Tabla9,"PROV",[1]Tablas!$A$101,"SEFIS",AF$16,"CANT",[1]Tablas!$A66),0)</f>
        <v>0</v>
      </c>
      <c r="AG95" s="15">
        <f ca="1">IFERROR(GETPIVOTDATA("Cuenta de CANT",Tabla9,"PROV",[1]Tablas!$A$101,"SEFIS",AG$16,"CANT",[1]Tablas!$A66),0)</f>
        <v>0</v>
      </c>
      <c r="AH95" s="15">
        <f ca="1">IFERROR(GETPIVOTDATA("Cuenta de CANT",Tabla9,"PROV",[1]Tablas!$A$101,"SEFIS",AH$16,"CANT",[1]Tablas!$A66),0)</f>
        <v>0</v>
      </c>
      <c r="AI95" s="15">
        <f ca="1">IFERROR(GETPIVOTDATA("Cuenta de CANT",Tabla9,"PROV",[1]Tablas!$A$101,"SEFIS",AI$16,"CANT",[1]Tablas!$A66),0)</f>
        <v>0</v>
      </c>
      <c r="AJ95" s="15">
        <f ca="1">IFERROR(GETPIVOTDATA("Cuenta de CANT",Tabla9,"PROV",[1]Tablas!$A$101,"SEFIS",AJ$16,"CANT",[1]Tablas!$A66),0)</f>
        <v>0</v>
      </c>
      <c r="AK95" s="15">
        <f ca="1">IFERROR(GETPIVOTDATA("Cuenta de CANT",Tabla9,"PROV",[1]Tablas!$A$101,"SEFIS",AK$16,"CANT",[1]Tablas!$A66),0)</f>
        <v>0</v>
      </c>
      <c r="AL95" s="15">
        <f ca="1">IFERROR(GETPIVOTDATA("Cuenta de CANT",Tabla9,"PROV",[1]Tablas!$A$101,"SEFIS",AL$16,"CANT",[1]Tablas!$A66),0)</f>
        <v>0</v>
      </c>
      <c r="AM95" s="15">
        <f ca="1">IFERROR(GETPIVOTDATA("Cuenta de CANT",Tabla9,"PROV",[1]Tablas!$A$101,"SEFIS",AM$16,"CANT",[1]Tablas!$A66),0)</f>
        <v>0</v>
      </c>
      <c r="AN95" s="15">
        <f ca="1">IFERROR(GETPIVOTDATA("Cuenta de CANT",Tabla9,"PROV",[1]Tablas!$A$101,"SEFIS",AN$16,"CANT",[1]Tablas!$A66),0)</f>
        <v>1</v>
      </c>
      <c r="AO95" s="15">
        <f ca="1">IFERROR(GETPIVOTDATA("Cuenta de CANT",Tabla9,"PROV",[1]Tablas!$A$101,"SEFIS",AO$16,"CANT",[1]Tablas!$A66),0)</f>
        <v>0</v>
      </c>
      <c r="AP95" s="15">
        <f ca="1">IFERROR(GETPIVOTDATA("Cuenta de CANT",Tabla9,"PROV",[1]Tablas!$A$101,"SEFIS",AP$16,"CANT",[1]Tablas!$A66),0)</f>
        <v>0</v>
      </c>
      <c r="AQ95" s="15">
        <f ca="1">IFERROR(GETPIVOTDATA("Cuenta de CANT",Tabla9,"PROV",[1]Tablas!$A$101,"SEFIS",AQ$16,"CANT",[1]Tablas!$A66),0)</f>
        <v>0</v>
      </c>
      <c r="AR95" s="15">
        <f ca="1">IFERROR(GETPIVOTDATA("Cuenta de CANT",Tabla9,"PROV",[1]Tablas!$A$101,"SEFIS",AR$16,"CANT",[1]Tablas!$A66),0)</f>
        <v>0</v>
      </c>
      <c r="AS95" s="15">
        <f ca="1">IFERROR(GETPIVOTDATA("Cuenta de CANT",Tabla9,"PROV",[1]Tablas!$A$101,"SEFIS",AS$16,"CANT",[1]Tablas!$A66),0)</f>
        <v>0</v>
      </c>
      <c r="AT95" s="15">
        <f ca="1">IFERROR(GETPIVOTDATA("Cuenta de CANT",Tabla9,"PROV",[1]Tablas!$A$101,"SEFIS",AT$16,"CANT",[1]Tablas!$A66),0)</f>
        <v>0</v>
      </c>
      <c r="AU95" s="15">
        <f ca="1">IFERROR(GETPIVOTDATA("Cuenta de CANT",Tabla9,"PROV",[1]Tablas!$A$101,"SEFIS",AU$16,"CANT",[1]Tablas!$A66),0)</f>
        <v>0</v>
      </c>
      <c r="AV95" s="15">
        <f ca="1">IFERROR(GETPIVOTDATA("Cuenta de CANT",Tabla9,"PROV",[1]Tablas!$A$101,"SEFIS",AV$16,"CANT",[1]Tablas!$A66),0)</f>
        <v>1</v>
      </c>
      <c r="AW95" s="15">
        <f ca="1">IFERROR(GETPIVOTDATA("Cuenta de CANT",Tabla9,"PROV",[1]Tablas!$A$101,"SEFIS",AW$16,"CANT",[1]Tablas!$A66),0)</f>
        <v>0</v>
      </c>
      <c r="AX95" s="15">
        <f ca="1">IFERROR(GETPIVOTDATA("Cuenta de CANT",Tabla9,"PROV",[1]Tablas!$A$101,"SEFIS",AX$16,"CANT",[1]Tablas!$A66),0)</f>
        <v>0</v>
      </c>
      <c r="AY95" s="15">
        <f ca="1">IFERROR(GETPIVOTDATA("Cuenta de CANT",Tabla9,"PROV",[1]Tablas!$A$101,"SEFIS",AY$16,"CANT",[1]Tablas!$A66),0)</f>
        <v>0</v>
      </c>
      <c r="AZ95" s="15">
        <f ca="1">IFERROR(GETPIVOTDATA("Cuenta de CANT",Tabla9,"PROV",[1]Tablas!$A$101,"SEFIS",AZ$16,"CANT",[1]Tablas!$A66),0)</f>
        <v>0</v>
      </c>
      <c r="BA95" s="15">
        <f ca="1">IFERROR(GETPIVOTDATA("Cuenta de CANT",Tabla9,"PROV",[1]Tablas!$A$101,"SEFIS",BA$16,"CANT",[1]Tablas!$A66),0)</f>
        <v>0</v>
      </c>
      <c r="BB95" s="15">
        <f ca="1">IFERROR(GETPIVOTDATA("Cuenta de CANT",Tabla9,"PROV",[1]Tablas!$A$101,"SEFIS",BB$16,"CANT",[1]Tablas!$A66),0)</f>
        <v>1</v>
      </c>
      <c r="BC95" s="15">
        <f ca="1">IFERROR(GETPIVOTDATA("Cuenta de CANT",Tabla9,"PROV",[1]Tablas!$A$101,"SEFIS",BC$16,"CANT",[1]Tablas!$A66),0)</f>
        <v>0</v>
      </c>
    </row>
    <row r="96" spans="1:55" x14ac:dyDescent="0.35">
      <c r="A96" s="14" t="s">
        <v>88</v>
      </c>
      <c r="B96" s="15">
        <f t="shared" ca="1" si="7"/>
        <v>19</v>
      </c>
      <c r="C96" s="16">
        <f ca="1">IFERROR(B96/[1]Tablas!$B67*100000,"N/D")</f>
        <v>97.65123091946343</v>
      </c>
      <c r="D96" s="15">
        <f ca="1">IFERROR(GETPIVOTDATA("Cuenta de CANT",Tabla9,"PROV",[1]Tablas!$A$101,"SEFIS",D$16,"CANT",[1]Tablas!$A67),0)</f>
        <v>0</v>
      </c>
      <c r="E96" s="15">
        <f ca="1">IFERROR(GETPIVOTDATA("Cuenta de CANT",Tabla9,"PROV",[1]Tablas!$A$101,"SEFIS",E$16,"CANT",[1]Tablas!$A67),0)</f>
        <v>0</v>
      </c>
      <c r="F96" s="15">
        <f ca="1">IFERROR(GETPIVOTDATA("Cuenta de CANT",Tabla9,"PROV",[1]Tablas!$A$101,"SEFIS",F$16,"CANT",[1]Tablas!$A67),0)</f>
        <v>1</v>
      </c>
      <c r="G96" s="15">
        <f ca="1">IFERROR(GETPIVOTDATA("Cuenta de CANT",Tabla9,"PROV",[1]Tablas!$A$101,"SEFIS",G$16,"CANT",[1]Tablas!$A67),0)</f>
        <v>0</v>
      </c>
      <c r="H96" s="15">
        <f ca="1">IFERROR(GETPIVOTDATA("Cuenta de CANT",Tabla9,"PROV",[1]Tablas!$A$101,"SEFIS",H$16,"CANT",[1]Tablas!$A67),0)</f>
        <v>0</v>
      </c>
      <c r="I96" s="15">
        <f ca="1">IFERROR(GETPIVOTDATA("Cuenta de CANT",Tabla9,"PROV",[1]Tablas!$A$101,"SEFIS",I$16,"CANT",[1]Tablas!$A67),0)</f>
        <v>1</v>
      </c>
      <c r="J96" s="15">
        <f ca="1">IFERROR(GETPIVOTDATA("Cuenta de CANT",Tabla9,"PROV",[1]Tablas!$A$101,"SEFIS",J$16,"CANT",[1]Tablas!$A67),0)</f>
        <v>0</v>
      </c>
      <c r="K96" s="15">
        <f ca="1">IFERROR(GETPIVOTDATA("Cuenta de CANT",Tabla9,"PROV",[1]Tablas!$A$101,"SEFIS",K$16,"CANT",[1]Tablas!$A67),0)</f>
        <v>0</v>
      </c>
      <c r="L96" s="15">
        <f ca="1">IFERROR(GETPIVOTDATA("Cuenta de CANT",Tabla9,"PROV",[1]Tablas!$A$101,"SEFIS",L$16,"CANT",[1]Tablas!$A67),0)</f>
        <v>0</v>
      </c>
      <c r="M96" s="15">
        <f ca="1">IFERROR(GETPIVOTDATA("Cuenta de CANT",Tabla9,"PROV",[1]Tablas!$A$101,"SEFIS",M$16,"CANT",[1]Tablas!$A67),0)</f>
        <v>0</v>
      </c>
      <c r="N96" s="15">
        <f ca="1">IFERROR(GETPIVOTDATA("Cuenta de CANT",Tabla9,"PROV",[1]Tablas!$A$101,"SEFIS",N$16,"CANT",[1]Tablas!$A67),0)</f>
        <v>0</v>
      </c>
      <c r="O96" s="15">
        <f ca="1">IFERROR(GETPIVOTDATA("Cuenta de CANT",Tabla9,"PROV",[1]Tablas!$A$101,"SEFIS",O$16,"CANT",[1]Tablas!$A67),0)</f>
        <v>0</v>
      </c>
      <c r="P96" s="15">
        <f ca="1">IFERROR(GETPIVOTDATA("Cuenta de CANT",Tabla9,"PROV",[1]Tablas!$A$101,"SEFIS",P$16,"CANT",[1]Tablas!$A67),0)</f>
        <v>0</v>
      </c>
      <c r="Q96" s="15">
        <f ca="1">IFERROR(GETPIVOTDATA("Cuenta de CANT",Tabla9,"PROV",[1]Tablas!$A$101,"SEFIS",Q$16,"CANT",[1]Tablas!$A67),0)</f>
        <v>0</v>
      </c>
      <c r="R96" s="15">
        <f ca="1">IFERROR(GETPIVOTDATA("Cuenta de CANT",Tabla9,"PROV",[1]Tablas!$A$101,"SEFIS",R$16,"CANT",[1]Tablas!$A67),0)</f>
        <v>0</v>
      </c>
      <c r="S96" s="15">
        <f ca="1">IFERROR(GETPIVOTDATA("Cuenta de CANT",Tabla9,"PROV",[1]Tablas!$A$101,"SEFIS",S$16,"CANT",[1]Tablas!$A67),0)</f>
        <v>0</v>
      </c>
      <c r="T96" s="15">
        <f ca="1">IFERROR(GETPIVOTDATA("Cuenta de CANT",Tabla9,"PROV",[1]Tablas!$A$101,"SEFIS",T$16,"CANT",[1]Tablas!$A67),0)</f>
        <v>0</v>
      </c>
      <c r="U96" s="15">
        <f ca="1">IFERROR(GETPIVOTDATA("Cuenta de CANT",Tabla9,"PROV",[1]Tablas!$A$101,"SEFIS",U$16,"CANT",[1]Tablas!$A67),0)</f>
        <v>0</v>
      </c>
      <c r="V96" s="15">
        <f ca="1">IFERROR(GETPIVOTDATA("Cuenta de CANT",Tabla9,"PROV",[1]Tablas!$A$101,"SEFIS",V$16,"CANT",[1]Tablas!$A67),0)</f>
        <v>0</v>
      </c>
      <c r="W96" s="15">
        <f ca="1">IFERROR(GETPIVOTDATA("Cuenta de CANT",Tabla9,"PROV",[1]Tablas!$A$101,"SEFIS",W$16,"CANT",[1]Tablas!$A67),0)</f>
        <v>0</v>
      </c>
      <c r="X96" s="15">
        <f ca="1">IFERROR(GETPIVOTDATA("Cuenta de CANT",Tabla9,"PROV",[1]Tablas!$A$101,"SEFIS",X$16,"CANT",[1]Tablas!$A67),0)</f>
        <v>0</v>
      </c>
      <c r="Y96" s="15">
        <f ca="1">IFERROR(GETPIVOTDATA("Cuenta de CANT",Tabla9,"PROV",[1]Tablas!$A$101,"SEFIS",Y$16,"CANT",[1]Tablas!$A67),0)</f>
        <v>2</v>
      </c>
      <c r="Z96" s="15">
        <f ca="1">IFERROR(GETPIVOTDATA("Cuenta de CANT",Tabla9,"PROV",[1]Tablas!$A$101,"SEFIS",Z$16,"CANT",[1]Tablas!$A67),0)</f>
        <v>0</v>
      </c>
      <c r="AA96" s="15">
        <f ca="1">IFERROR(GETPIVOTDATA("Cuenta de CANT",Tabla9,"PROV",[1]Tablas!$A$101,"SEFIS",AA$16,"CANT",[1]Tablas!$A67),0)</f>
        <v>0</v>
      </c>
      <c r="AB96" s="15">
        <f ca="1">IFERROR(GETPIVOTDATA("Cuenta de CANT",Tabla9,"PROV",[1]Tablas!$A$101,"SEFIS",AB$16,"CANT",[1]Tablas!$A67),0)</f>
        <v>0</v>
      </c>
      <c r="AC96" s="15">
        <f ca="1">IFERROR(GETPIVOTDATA("Cuenta de CANT",Tabla9,"PROV",[1]Tablas!$A$101,"SEFIS",AC$16,"CANT",[1]Tablas!$A67),0)</f>
        <v>0</v>
      </c>
      <c r="AD96" s="15">
        <f ca="1">IFERROR(GETPIVOTDATA("Cuenta de CANT",Tabla9,"PROV",[1]Tablas!$A$101,"SEFIS",AD$16,"CANT",[1]Tablas!$A67),0)</f>
        <v>0</v>
      </c>
      <c r="AE96" s="15">
        <f ca="1">IFERROR(GETPIVOTDATA("Cuenta de CANT",Tabla9,"PROV",[1]Tablas!$A$101,"SEFIS",AE$16,"CANT",[1]Tablas!$A67),0)</f>
        <v>0</v>
      </c>
      <c r="AF96" s="15">
        <f ca="1">IFERROR(GETPIVOTDATA("Cuenta de CANT",Tabla9,"PROV",[1]Tablas!$A$101,"SEFIS",AF$16,"CANT",[1]Tablas!$A67),0)</f>
        <v>0</v>
      </c>
      <c r="AG96" s="15">
        <f ca="1">IFERROR(GETPIVOTDATA("Cuenta de CANT",Tabla9,"PROV",[1]Tablas!$A$101,"SEFIS",AG$16,"CANT",[1]Tablas!$A67),0)</f>
        <v>1</v>
      </c>
      <c r="AH96" s="15">
        <f ca="1">IFERROR(GETPIVOTDATA("Cuenta de CANT",Tabla9,"PROV",[1]Tablas!$A$101,"SEFIS",AH$16,"CANT",[1]Tablas!$A67),0)</f>
        <v>1</v>
      </c>
      <c r="AI96" s="15">
        <f ca="1">IFERROR(GETPIVOTDATA("Cuenta de CANT",Tabla9,"PROV",[1]Tablas!$A$101,"SEFIS",AI$16,"CANT",[1]Tablas!$A67),0)</f>
        <v>0</v>
      </c>
      <c r="AJ96" s="15">
        <f ca="1">IFERROR(GETPIVOTDATA("Cuenta de CANT",Tabla9,"PROV",[1]Tablas!$A$101,"SEFIS",AJ$16,"CANT",[1]Tablas!$A67),0)</f>
        <v>0</v>
      </c>
      <c r="AK96" s="15">
        <f ca="1">IFERROR(GETPIVOTDATA("Cuenta de CANT",Tabla9,"PROV",[1]Tablas!$A$101,"SEFIS",AK$16,"CANT",[1]Tablas!$A67),0)</f>
        <v>0</v>
      </c>
      <c r="AL96" s="15">
        <f ca="1">IFERROR(GETPIVOTDATA("Cuenta de CANT",Tabla9,"PROV",[1]Tablas!$A$101,"SEFIS",AL$16,"CANT",[1]Tablas!$A67),0)</f>
        <v>0</v>
      </c>
      <c r="AM96" s="15">
        <f ca="1">IFERROR(GETPIVOTDATA("Cuenta de CANT",Tabla9,"PROV",[1]Tablas!$A$101,"SEFIS",AM$16,"CANT",[1]Tablas!$A67),0)</f>
        <v>0</v>
      </c>
      <c r="AN96" s="15">
        <f ca="1">IFERROR(GETPIVOTDATA("Cuenta de CANT",Tabla9,"PROV",[1]Tablas!$A$101,"SEFIS",AN$16,"CANT",[1]Tablas!$A67),0)</f>
        <v>1</v>
      </c>
      <c r="AO96" s="15">
        <f ca="1">IFERROR(GETPIVOTDATA("Cuenta de CANT",Tabla9,"PROV",[1]Tablas!$A$101,"SEFIS",AO$16,"CANT",[1]Tablas!$A67),0)</f>
        <v>0</v>
      </c>
      <c r="AP96" s="15">
        <f ca="1">IFERROR(GETPIVOTDATA("Cuenta de CANT",Tabla9,"PROV",[1]Tablas!$A$101,"SEFIS",AP$16,"CANT",[1]Tablas!$A67),0)</f>
        <v>0</v>
      </c>
      <c r="AQ96" s="15">
        <f ca="1">IFERROR(GETPIVOTDATA("Cuenta de CANT",Tabla9,"PROV",[1]Tablas!$A$101,"SEFIS",AQ$16,"CANT",[1]Tablas!$A67),0)</f>
        <v>1</v>
      </c>
      <c r="AR96" s="15">
        <f ca="1">IFERROR(GETPIVOTDATA("Cuenta de CANT",Tabla9,"PROV",[1]Tablas!$A$101,"SEFIS",AR$16,"CANT",[1]Tablas!$A67),0)</f>
        <v>0</v>
      </c>
      <c r="AS96" s="15">
        <f ca="1">IFERROR(GETPIVOTDATA("Cuenta de CANT",Tabla9,"PROV",[1]Tablas!$A$101,"SEFIS",AS$16,"CANT",[1]Tablas!$A67),0)</f>
        <v>3</v>
      </c>
      <c r="AT96" s="15">
        <f ca="1">IFERROR(GETPIVOTDATA("Cuenta de CANT",Tabla9,"PROV",[1]Tablas!$A$101,"SEFIS",AT$16,"CANT",[1]Tablas!$A67),0)</f>
        <v>0</v>
      </c>
      <c r="AU96" s="15">
        <f ca="1">IFERROR(GETPIVOTDATA("Cuenta de CANT",Tabla9,"PROV",[1]Tablas!$A$101,"SEFIS",AU$16,"CANT",[1]Tablas!$A67),0)</f>
        <v>1</v>
      </c>
      <c r="AV96" s="15">
        <f ca="1">IFERROR(GETPIVOTDATA("Cuenta de CANT",Tabla9,"PROV",[1]Tablas!$A$101,"SEFIS",AV$16,"CANT",[1]Tablas!$A67),0)</f>
        <v>2</v>
      </c>
      <c r="AW96" s="15">
        <f ca="1">IFERROR(GETPIVOTDATA("Cuenta de CANT",Tabla9,"PROV",[1]Tablas!$A$101,"SEFIS",AW$16,"CANT",[1]Tablas!$A67),0)</f>
        <v>4</v>
      </c>
      <c r="AX96" s="15">
        <f ca="1">IFERROR(GETPIVOTDATA("Cuenta de CANT",Tabla9,"PROV",[1]Tablas!$A$101,"SEFIS",AX$16,"CANT",[1]Tablas!$A67),0)</f>
        <v>0</v>
      </c>
      <c r="AY96" s="15">
        <f ca="1">IFERROR(GETPIVOTDATA("Cuenta de CANT",Tabla9,"PROV",[1]Tablas!$A$101,"SEFIS",AY$16,"CANT",[1]Tablas!$A67),0)</f>
        <v>1</v>
      </c>
      <c r="AZ96" s="15">
        <f ca="1">IFERROR(GETPIVOTDATA("Cuenta de CANT",Tabla9,"PROV",[1]Tablas!$A$101,"SEFIS",AZ$16,"CANT",[1]Tablas!$A67),0)</f>
        <v>0</v>
      </c>
      <c r="BA96" s="15">
        <f ca="1">IFERROR(GETPIVOTDATA("Cuenta de CANT",Tabla9,"PROV",[1]Tablas!$A$101,"SEFIS",BA$16,"CANT",[1]Tablas!$A67),0)</f>
        <v>0</v>
      </c>
      <c r="BB96" s="15">
        <f ca="1">IFERROR(GETPIVOTDATA("Cuenta de CANT",Tabla9,"PROV",[1]Tablas!$A$101,"SEFIS",BB$16,"CANT",[1]Tablas!$A67),0)</f>
        <v>0</v>
      </c>
      <c r="BC96" s="15">
        <f ca="1">IFERROR(GETPIVOTDATA("Cuenta de CANT",Tabla9,"PROV",[1]Tablas!$A$101,"SEFIS",BC$16,"CANT",[1]Tablas!$A67),0)</f>
        <v>0</v>
      </c>
    </row>
    <row r="97" spans="1:55" x14ac:dyDescent="0.35">
      <c r="A97" s="14" t="s">
        <v>89</v>
      </c>
      <c r="B97" s="15">
        <f t="shared" ca="1" si="7"/>
        <v>35</v>
      </c>
      <c r="C97" s="16">
        <f ca="1">IFERROR(B97/[1]Tablas!$B68*100000,"N/D")</f>
        <v>68.238092452866979</v>
      </c>
      <c r="D97" s="15">
        <f ca="1">IFERROR(GETPIVOTDATA("Cuenta de CANT",Tabla9,"PROV",[1]Tablas!$A$101,"SEFIS",D$16,"CANT",[1]Tablas!$A68),0)</f>
        <v>3</v>
      </c>
      <c r="E97" s="15">
        <f ca="1">IFERROR(GETPIVOTDATA("Cuenta de CANT",Tabla9,"PROV",[1]Tablas!$A$101,"SEFIS",E$16,"CANT",[1]Tablas!$A68),0)</f>
        <v>0</v>
      </c>
      <c r="F97" s="15">
        <f ca="1">IFERROR(GETPIVOTDATA("Cuenta de CANT",Tabla9,"PROV",[1]Tablas!$A$101,"SEFIS",F$16,"CANT",[1]Tablas!$A68),0)</f>
        <v>0</v>
      </c>
      <c r="G97" s="15">
        <f ca="1">IFERROR(GETPIVOTDATA("Cuenta de CANT",Tabla9,"PROV",[1]Tablas!$A$101,"SEFIS",G$16,"CANT",[1]Tablas!$A68),0)</f>
        <v>1</v>
      </c>
      <c r="H97" s="15">
        <f ca="1">IFERROR(GETPIVOTDATA("Cuenta de CANT",Tabla9,"PROV",[1]Tablas!$A$101,"SEFIS",H$16,"CANT",[1]Tablas!$A68),0)</f>
        <v>1</v>
      </c>
      <c r="I97" s="15">
        <f ca="1">IFERROR(GETPIVOTDATA("Cuenta de CANT",Tabla9,"PROV",[1]Tablas!$A$101,"SEFIS",I$16,"CANT",[1]Tablas!$A68),0)</f>
        <v>1</v>
      </c>
      <c r="J97" s="15">
        <f ca="1">IFERROR(GETPIVOTDATA("Cuenta de CANT",Tabla9,"PROV",[1]Tablas!$A$101,"SEFIS",J$16,"CANT",[1]Tablas!$A68),0)</f>
        <v>0</v>
      </c>
      <c r="K97" s="15">
        <f ca="1">IFERROR(GETPIVOTDATA("Cuenta de CANT",Tabla9,"PROV",[1]Tablas!$A$101,"SEFIS",K$16,"CANT",[1]Tablas!$A68),0)</f>
        <v>0</v>
      </c>
      <c r="L97" s="15">
        <f ca="1">IFERROR(GETPIVOTDATA("Cuenta de CANT",Tabla9,"PROV",[1]Tablas!$A$101,"SEFIS",L$16,"CANT",[1]Tablas!$A68),0)</f>
        <v>0</v>
      </c>
      <c r="M97" s="15">
        <f ca="1">IFERROR(GETPIVOTDATA("Cuenta de CANT",Tabla9,"PROV",[1]Tablas!$A$101,"SEFIS",M$16,"CANT",[1]Tablas!$A68),0)</f>
        <v>0</v>
      </c>
      <c r="N97" s="15">
        <f ca="1">IFERROR(GETPIVOTDATA("Cuenta de CANT",Tabla9,"PROV",[1]Tablas!$A$101,"SEFIS",N$16,"CANT",[1]Tablas!$A68),0)</f>
        <v>0</v>
      </c>
      <c r="O97" s="15">
        <f ca="1">IFERROR(GETPIVOTDATA("Cuenta de CANT",Tabla9,"PROV",[1]Tablas!$A$101,"SEFIS",O$16,"CANT",[1]Tablas!$A68),0)</f>
        <v>0</v>
      </c>
      <c r="P97" s="15">
        <f ca="1">IFERROR(GETPIVOTDATA("Cuenta de CANT",Tabla9,"PROV",[1]Tablas!$A$101,"SEFIS",P$16,"CANT",[1]Tablas!$A68),0)</f>
        <v>1</v>
      </c>
      <c r="Q97" s="15">
        <f ca="1">IFERROR(GETPIVOTDATA("Cuenta de CANT",Tabla9,"PROV",[1]Tablas!$A$101,"SEFIS",Q$16,"CANT",[1]Tablas!$A68),0)</f>
        <v>0</v>
      </c>
      <c r="R97" s="15">
        <f ca="1">IFERROR(GETPIVOTDATA("Cuenta de CANT",Tabla9,"PROV",[1]Tablas!$A$101,"SEFIS",R$16,"CANT",[1]Tablas!$A68),0)</f>
        <v>2</v>
      </c>
      <c r="S97" s="15">
        <f ca="1">IFERROR(GETPIVOTDATA("Cuenta de CANT",Tabla9,"PROV",[1]Tablas!$A$101,"SEFIS",S$16,"CANT",[1]Tablas!$A68),0)</f>
        <v>0</v>
      </c>
      <c r="T97" s="15">
        <f ca="1">IFERROR(GETPIVOTDATA("Cuenta de CANT",Tabla9,"PROV",[1]Tablas!$A$101,"SEFIS",T$16,"CANT",[1]Tablas!$A68),0)</f>
        <v>0</v>
      </c>
      <c r="U97" s="15">
        <f ca="1">IFERROR(GETPIVOTDATA("Cuenta de CANT",Tabla9,"PROV",[1]Tablas!$A$101,"SEFIS",U$16,"CANT",[1]Tablas!$A68),0)</f>
        <v>0</v>
      </c>
      <c r="V97" s="15">
        <f ca="1">IFERROR(GETPIVOTDATA("Cuenta de CANT",Tabla9,"PROV",[1]Tablas!$A$101,"SEFIS",V$16,"CANT",[1]Tablas!$A68),0)</f>
        <v>0</v>
      </c>
      <c r="W97" s="15">
        <f ca="1">IFERROR(GETPIVOTDATA("Cuenta de CANT",Tabla9,"PROV",[1]Tablas!$A$101,"SEFIS",W$16,"CANT",[1]Tablas!$A68),0)</f>
        <v>0</v>
      </c>
      <c r="X97" s="15">
        <f ca="1">IFERROR(GETPIVOTDATA("Cuenta de CANT",Tabla9,"PROV",[1]Tablas!$A$101,"SEFIS",X$16,"CANT",[1]Tablas!$A68),0)</f>
        <v>0</v>
      </c>
      <c r="Y97" s="15">
        <f ca="1">IFERROR(GETPIVOTDATA("Cuenta de CANT",Tabla9,"PROV",[1]Tablas!$A$101,"SEFIS",Y$16,"CANT",[1]Tablas!$A68),0)</f>
        <v>2</v>
      </c>
      <c r="Z97" s="15">
        <f ca="1">IFERROR(GETPIVOTDATA("Cuenta de CANT",Tabla9,"PROV",[1]Tablas!$A$101,"SEFIS",Z$16,"CANT",[1]Tablas!$A68),0)</f>
        <v>1</v>
      </c>
      <c r="AA97" s="15">
        <f ca="1">IFERROR(GETPIVOTDATA("Cuenta de CANT",Tabla9,"PROV",[1]Tablas!$A$101,"SEFIS",AA$16,"CANT",[1]Tablas!$A68),0)</f>
        <v>0</v>
      </c>
      <c r="AB97" s="15">
        <f ca="1">IFERROR(GETPIVOTDATA("Cuenta de CANT",Tabla9,"PROV",[1]Tablas!$A$101,"SEFIS",AB$16,"CANT",[1]Tablas!$A68),0)</f>
        <v>1</v>
      </c>
      <c r="AC97" s="15">
        <f ca="1">IFERROR(GETPIVOTDATA("Cuenta de CANT",Tabla9,"PROV",[1]Tablas!$A$101,"SEFIS",AC$16,"CANT",[1]Tablas!$A68),0)</f>
        <v>1</v>
      </c>
      <c r="AD97" s="15">
        <f ca="1">IFERROR(GETPIVOTDATA("Cuenta de CANT",Tabla9,"PROV",[1]Tablas!$A$101,"SEFIS",AD$16,"CANT",[1]Tablas!$A68),0)</f>
        <v>1</v>
      </c>
      <c r="AE97" s="15">
        <f ca="1">IFERROR(GETPIVOTDATA("Cuenta de CANT",Tabla9,"PROV",[1]Tablas!$A$101,"SEFIS",AE$16,"CANT",[1]Tablas!$A68),0)</f>
        <v>0</v>
      </c>
      <c r="AF97" s="15">
        <f ca="1">IFERROR(GETPIVOTDATA("Cuenta de CANT",Tabla9,"PROV",[1]Tablas!$A$101,"SEFIS",AF$16,"CANT",[1]Tablas!$A68),0)</f>
        <v>2</v>
      </c>
      <c r="AG97" s="15">
        <f ca="1">IFERROR(GETPIVOTDATA("Cuenta de CANT",Tabla9,"PROV",[1]Tablas!$A$101,"SEFIS",AG$16,"CANT",[1]Tablas!$A68),0)</f>
        <v>1</v>
      </c>
      <c r="AH97" s="15">
        <f ca="1">IFERROR(GETPIVOTDATA("Cuenta de CANT",Tabla9,"PROV",[1]Tablas!$A$101,"SEFIS",AH$16,"CANT",[1]Tablas!$A68),0)</f>
        <v>1</v>
      </c>
      <c r="AI97" s="15">
        <f ca="1">IFERROR(GETPIVOTDATA("Cuenta de CANT",Tabla9,"PROV",[1]Tablas!$A$101,"SEFIS",AI$16,"CANT",[1]Tablas!$A68),0)</f>
        <v>1</v>
      </c>
      <c r="AJ97" s="15">
        <f ca="1">IFERROR(GETPIVOTDATA("Cuenta de CANT",Tabla9,"PROV",[1]Tablas!$A$101,"SEFIS",AJ$16,"CANT",[1]Tablas!$A68),0)</f>
        <v>1</v>
      </c>
      <c r="AK97" s="15">
        <f ca="1">IFERROR(GETPIVOTDATA("Cuenta de CANT",Tabla9,"PROV",[1]Tablas!$A$101,"SEFIS",AK$16,"CANT",[1]Tablas!$A68),0)</f>
        <v>1</v>
      </c>
      <c r="AL97" s="15">
        <f ca="1">IFERROR(GETPIVOTDATA("Cuenta de CANT",Tabla9,"PROV",[1]Tablas!$A$101,"SEFIS",AL$16,"CANT",[1]Tablas!$A68),0)</f>
        <v>1</v>
      </c>
      <c r="AM97" s="15">
        <f ca="1">IFERROR(GETPIVOTDATA("Cuenta de CANT",Tabla9,"PROV",[1]Tablas!$A$101,"SEFIS",AM$16,"CANT",[1]Tablas!$A68),0)</f>
        <v>0</v>
      </c>
      <c r="AN97" s="15">
        <f ca="1">IFERROR(GETPIVOTDATA("Cuenta de CANT",Tabla9,"PROV",[1]Tablas!$A$101,"SEFIS",AN$16,"CANT",[1]Tablas!$A68),0)</f>
        <v>1</v>
      </c>
      <c r="AO97" s="15">
        <f ca="1">IFERROR(GETPIVOTDATA("Cuenta de CANT",Tabla9,"PROV",[1]Tablas!$A$101,"SEFIS",AO$16,"CANT",[1]Tablas!$A68),0)</f>
        <v>0</v>
      </c>
      <c r="AP97" s="15">
        <f ca="1">IFERROR(GETPIVOTDATA("Cuenta de CANT",Tabla9,"PROV",[1]Tablas!$A$101,"SEFIS",AP$16,"CANT",[1]Tablas!$A68),0)</f>
        <v>0</v>
      </c>
      <c r="AQ97" s="15">
        <f ca="1">IFERROR(GETPIVOTDATA("Cuenta de CANT",Tabla9,"PROV",[1]Tablas!$A$101,"SEFIS",AQ$16,"CANT",[1]Tablas!$A68),0)</f>
        <v>0</v>
      </c>
      <c r="AR97" s="15">
        <f ca="1">IFERROR(GETPIVOTDATA("Cuenta de CANT",Tabla9,"PROV",[1]Tablas!$A$101,"SEFIS",AR$16,"CANT",[1]Tablas!$A68),0)</f>
        <v>0</v>
      </c>
      <c r="AS97" s="15">
        <f ca="1">IFERROR(GETPIVOTDATA("Cuenta de CANT",Tabla9,"PROV",[1]Tablas!$A$101,"SEFIS",AS$16,"CANT",[1]Tablas!$A68),0)</f>
        <v>0</v>
      </c>
      <c r="AT97" s="15">
        <f ca="1">IFERROR(GETPIVOTDATA("Cuenta de CANT",Tabla9,"PROV",[1]Tablas!$A$101,"SEFIS",AT$16,"CANT",[1]Tablas!$A68),0)</f>
        <v>1</v>
      </c>
      <c r="AU97" s="15">
        <f ca="1">IFERROR(GETPIVOTDATA("Cuenta de CANT",Tabla9,"PROV",[1]Tablas!$A$101,"SEFIS",AU$16,"CANT",[1]Tablas!$A68),0)</f>
        <v>1</v>
      </c>
      <c r="AV97" s="15">
        <f ca="1">IFERROR(GETPIVOTDATA("Cuenta de CANT",Tabla9,"PROV",[1]Tablas!$A$101,"SEFIS",AV$16,"CANT",[1]Tablas!$A68),0)</f>
        <v>0</v>
      </c>
      <c r="AW97" s="15">
        <f ca="1">IFERROR(GETPIVOTDATA("Cuenta de CANT",Tabla9,"PROV",[1]Tablas!$A$101,"SEFIS",AW$16,"CANT",[1]Tablas!$A68),0)</f>
        <v>1</v>
      </c>
      <c r="AX97" s="15">
        <f ca="1">IFERROR(GETPIVOTDATA("Cuenta de CANT",Tabla9,"PROV",[1]Tablas!$A$101,"SEFIS",AX$16,"CANT",[1]Tablas!$A68),0)</f>
        <v>2</v>
      </c>
      <c r="AY97" s="15">
        <f ca="1">IFERROR(GETPIVOTDATA("Cuenta de CANT",Tabla9,"PROV",[1]Tablas!$A$101,"SEFIS",AY$16,"CANT",[1]Tablas!$A68),0)</f>
        <v>0</v>
      </c>
      <c r="AZ97" s="15">
        <f ca="1">IFERROR(GETPIVOTDATA("Cuenta de CANT",Tabla9,"PROV",[1]Tablas!$A$101,"SEFIS",AZ$16,"CANT",[1]Tablas!$A68),0)</f>
        <v>3</v>
      </c>
      <c r="BA97" s="15">
        <f ca="1">IFERROR(GETPIVOTDATA("Cuenta de CANT",Tabla9,"PROV",[1]Tablas!$A$101,"SEFIS",BA$16,"CANT",[1]Tablas!$A68),0)</f>
        <v>3</v>
      </c>
      <c r="BB97" s="15">
        <f ca="1">IFERROR(GETPIVOTDATA("Cuenta de CANT",Tabla9,"PROV",[1]Tablas!$A$101,"SEFIS",BB$16,"CANT",[1]Tablas!$A68),0)</f>
        <v>0</v>
      </c>
      <c r="BC97" s="15">
        <f ca="1">IFERROR(GETPIVOTDATA("Cuenta de CANT",Tabla9,"PROV",[1]Tablas!$A$101,"SEFIS",BC$16,"CANT",[1]Tablas!$A68),0)</f>
        <v>0</v>
      </c>
    </row>
    <row r="98" spans="1:55" x14ac:dyDescent="0.35">
      <c r="A98" s="14" t="s">
        <v>90</v>
      </c>
      <c r="B98" s="15">
        <f t="shared" ca="1" si="7"/>
        <v>7</v>
      </c>
      <c r="C98" s="16">
        <f ca="1">IFERROR(B98/[1]Tablas!$B69*100000,"N/D")</f>
        <v>28.297691716861383</v>
      </c>
      <c r="D98" s="15">
        <f ca="1">IFERROR(GETPIVOTDATA("Cuenta de CANT",Tabla9,"PROV",[1]Tablas!$A$101,"SEFIS",D$16,"CANT",[1]Tablas!$A69),0)</f>
        <v>0</v>
      </c>
      <c r="E98" s="15">
        <f ca="1">IFERROR(GETPIVOTDATA("Cuenta de CANT",Tabla9,"PROV",[1]Tablas!$A$101,"SEFIS",E$16,"CANT",[1]Tablas!$A69),0)</f>
        <v>0</v>
      </c>
      <c r="F98" s="15">
        <f ca="1">IFERROR(GETPIVOTDATA("Cuenta de CANT",Tabla9,"PROV",[1]Tablas!$A$101,"SEFIS",F$16,"CANT",[1]Tablas!$A69),0)</f>
        <v>1</v>
      </c>
      <c r="G98" s="15">
        <f ca="1">IFERROR(GETPIVOTDATA("Cuenta de CANT",Tabla9,"PROV",[1]Tablas!$A$101,"SEFIS",G$16,"CANT",[1]Tablas!$A69),0)</f>
        <v>0</v>
      </c>
      <c r="H98" s="15">
        <f ca="1">IFERROR(GETPIVOTDATA("Cuenta de CANT",Tabla9,"PROV",[1]Tablas!$A$101,"SEFIS",H$16,"CANT",[1]Tablas!$A69),0)</f>
        <v>0</v>
      </c>
      <c r="I98" s="15">
        <f ca="1">IFERROR(GETPIVOTDATA("Cuenta de CANT",Tabla9,"PROV",[1]Tablas!$A$101,"SEFIS",I$16,"CANT",[1]Tablas!$A69),0)</f>
        <v>0</v>
      </c>
      <c r="J98" s="15">
        <f ca="1">IFERROR(GETPIVOTDATA("Cuenta de CANT",Tabla9,"PROV",[1]Tablas!$A$101,"SEFIS",J$16,"CANT",[1]Tablas!$A69),0)</f>
        <v>0</v>
      </c>
      <c r="K98" s="15">
        <f ca="1">IFERROR(GETPIVOTDATA("Cuenta de CANT",Tabla9,"PROV",[1]Tablas!$A$101,"SEFIS",K$16,"CANT",[1]Tablas!$A69),0)</f>
        <v>0</v>
      </c>
      <c r="L98" s="15">
        <f ca="1">IFERROR(GETPIVOTDATA("Cuenta de CANT",Tabla9,"PROV",[1]Tablas!$A$101,"SEFIS",L$16,"CANT",[1]Tablas!$A69),0)</f>
        <v>0</v>
      </c>
      <c r="M98" s="15">
        <f ca="1">IFERROR(GETPIVOTDATA("Cuenta de CANT",Tabla9,"PROV",[1]Tablas!$A$101,"SEFIS",M$16,"CANT",[1]Tablas!$A69),0)</f>
        <v>0</v>
      </c>
      <c r="N98" s="15">
        <f ca="1">IFERROR(GETPIVOTDATA("Cuenta de CANT",Tabla9,"PROV",[1]Tablas!$A$101,"SEFIS",N$16,"CANT",[1]Tablas!$A69),0)</f>
        <v>0</v>
      </c>
      <c r="O98" s="15">
        <f ca="1">IFERROR(GETPIVOTDATA("Cuenta de CANT",Tabla9,"PROV",[1]Tablas!$A$101,"SEFIS",O$16,"CANT",[1]Tablas!$A69),0)</f>
        <v>1</v>
      </c>
      <c r="P98" s="15">
        <f ca="1">IFERROR(GETPIVOTDATA("Cuenta de CANT",Tabla9,"PROV",[1]Tablas!$A$101,"SEFIS",P$16,"CANT",[1]Tablas!$A69),0)</f>
        <v>0</v>
      </c>
      <c r="Q98" s="15">
        <f ca="1">IFERROR(GETPIVOTDATA("Cuenta de CANT",Tabla9,"PROV",[1]Tablas!$A$101,"SEFIS",Q$16,"CANT",[1]Tablas!$A69),0)</f>
        <v>0</v>
      </c>
      <c r="R98" s="15">
        <f ca="1">IFERROR(GETPIVOTDATA("Cuenta de CANT",Tabla9,"PROV",[1]Tablas!$A$101,"SEFIS",R$16,"CANT",[1]Tablas!$A69),0)</f>
        <v>0</v>
      </c>
      <c r="S98" s="15">
        <f ca="1">IFERROR(GETPIVOTDATA("Cuenta de CANT",Tabla9,"PROV",[1]Tablas!$A$101,"SEFIS",S$16,"CANT",[1]Tablas!$A69),0)</f>
        <v>1</v>
      </c>
      <c r="T98" s="15">
        <f ca="1">IFERROR(GETPIVOTDATA("Cuenta de CANT",Tabla9,"PROV",[1]Tablas!$A$101,"SEFIS",T$16,"CANT",[1]Tablas!$A69),0)</f>
        <v>0</v>
      </c>
      <c r="U98" s="15">
        <f ca="1">IFERROR(GETPIVOTDATA("Cuenta de CANT",Tabla9,"PROV",[1]Tablas!$A$101,"SEFIS",U$16,"CANT",[1]Tablas!$A69),0)</f>
        <v>0</v>
      </c>
      <c r="V98" s="15">
        <f ca="1">IFERROR(GETPIVOTDATA("Cuenta de CANT",Tabla9,"PROV",[1]Tablas!$A$101,"SEFIS",V$16,"CANT",[1]Tablas!$A69),0)</f>
        <v>0</v>
      </c>
      <c r="W98" s="15">
        <f ca="1">IFERROR(GETPIVOTDATA("Cuenta de CANT",Tabla9,"PROV",[1]Tablas!$A$101,"SEFIS",W$16,"CANT",[1]Tablas!$A69),0)</f>
        <v>0</v>
      </c>
      <c r="X98" s="15">
        <f ca="1">IFERROR(GETPIVOTDATA("Cuenta de CANT",Tabla9,"PROV",[1]Tablas!$A$101,"SEFIS",X$16,"CANT",[1]Tablas!$A69),0)</f>
        <v>0</v>
      </c>
      <c r="Y98" s="15">
        <f ca="1">IFERROR(GETPIVOTDATA("Cuenta de CANT",Tabla9,"PROV",[1]Tablas!$A$101,"SEFIS",Y$16,"CANT",[1]Tablas!$A69),0)</f>
        <v>0</v>
      </c>
      <c r="Z98" s="15">
        <f ca="1">IFERROR(GETPIVOTDATA("Cuenta de CANT",Tabla9,"PROV",[1]Tablas!$A$101,"SEFIS",Z$16,"CANT",[1]Tablas!$A69),0)</f>
        <v>0</v>
      </c>
      <c r="AA98" s="15">
        <f ca="1">IFERROR(GETPIVOTDATA("Cuenta de CANT",Tabla9,"PROV",[1]Tablas!$A$101,"SEFIS",AA$16,"CANT",[1]Tablas!$A69),0)</f>
        <v>0</v>
      </c>
      <c r="AB98" s="15">
        <f ca="1">IFERROR(GETPIVOTDATA("Cuenta de CANT",Tabla9,"PROV",[1]Tablas!$A$101,"SEFIS",AB$16,"CANT",[1]Tablas!$A69),0)</f>
        <v>1</v>
      </c>
      <c r="AC98" s="15">
        <f ca="1">IFERROR(GETPIVOTDATA("Cuenta de CANT",Tabla9,"PROV",[1]Tablas!$A$101,"SEFIS",AC$16,"CANT",[1]Tablas!$A69),0)</f>
        <v>1</v>
      </c>
      <c r="AD98" s="15">
        <f ca="1">IFERROR(GETPIVOTDATA("Cuenta de CANT",Tabla9,"PROV",[1]Tablas!$A$101,"SEFIS",AD$16,"CANT",[1]Tablas!$A69),0)</f>
        <v>0</v>
      </c>
      <c r="AE98" s="15">
        <f ca="1">IFERROR(GETPIVOTDATA("Cuenta de CANT",Tabla9,"PROV",[1]Tablas!$A$101,"SEFIS",AE$16,"CANT",[1]Tablas!$A69),0)</f>
        <v>0</v>
      </c>
      <c r="AF98" s="15">
        <f ca="1">IFERROR(GETPIVOTDATA("Cuenta de CANT",Tabla9,"PROV",[1]Tablas!$A$101,"SEFIS",AF$16,"CANT",[1]Tablas!$A69),0)</f>
        <v>0</v>
      </c>
      <c r="AG98" s="15">
        <f ca="1">IFERROR(GETPIVOTDATA("Cuenta de CANT",Tabla9,"PROV",[1]Tablas!$A$101,"SEFIS",AG$16,"CANT",[1]Tablas!$A69),0)</f>
        <v>0</v>
      </c>
      <c r="AH98" s="15">
        <f ca="1">IFERROR(GETPIVOTDATA("Cuenta de CANT",Tabla9,"PROV",[1]Tablas!$A$101,"SEFIS",AH$16,"CANT",[1]Tablas!$A69),0)</f>
        <v>0</v>
      </c>
      <c r="AI98" s="15">
        <f ca="1">IFERROR(GETPIVOTDATA("Cuenta de CANT",Tabla9,"PROV",[1]Tablas!$A$101,"SEFIS",AI$16,"CANT",[1]Tablas!$A69),0)</f>
        <v>0</v>
      </c>
      <c r="AJ98" s="15">
        <f ca="1">IFERROR(GETPIVOTDATA("Cuenta de CANT",Tabla9,"PROV",[1]Tablas!$A$101,"SEFIS",AJ$16,"CANT",[1]Tablas!$A69),0)</f>
        <v>0</v>
      </c>
      <c r="AK98" s="15">
        <f ca="1">IFERROR(GETPIVOTDATA("Cuenta de CANT",Tabla9,"PROV",[1]Tablas!$A$101,"SEFIS",AK$16,"CANT",[1]Tablas!$A69),0)</f>
        <v>0</v>
      </c>
      <c r="AL98" s="15">
        <f ca="1">IFERROR(GETPIVOTDATA("Cuenta de CANT",Tabla9,"PROV",[1]Tablas!$A$101,"SEFIS",AL$16,"CANT",[1]Tablas!$A69),0)</f>
        <v>0</v>
      </c>
      <c r="AM98" s="15">
        <f ca="1">IFERROR(GETPIVOTDATA("Cuenta de CANT",Tabla9,"PROV",[1]Tablas!$A$101,"SEFIS",AM$16,"CANT",[1]Tablas!$A69),0)</f>
        <v>0</v>
      </c>
      <c r="AN98" s="15">
        <f ca="1">IFERROR(GETPIVOTDATA("Cuenta de CANT",Tabla9,"PROV",[1]Tablas!$A$101,"SEFIS",AN$16,"CANT",[1]Tablas!$A69),0)</f>
        <v>0</v>
      </c>
      <c r="AO98" s="15">
        <f ca="1">IFERROR(GETPIVOTDATA("Cuenta de CANT",Tabla9,"PROV",[1]Tablas!$A$101,"SEFIS",AO$16,"CANT",[1]Tablas!$A69),0)</f>
        <v>0</v>
      </c>
      <c r="AP98" s="15">
        <f ca="1">IFERROR(GETPIVOTDATA("Cuenta de CANT",Tabla9,"PROV",[1]Tablas!$A$101,"SEFIS",AP$16,"CANT",[1]Tablas!$A69),0)</f>
        <v>0</v>
      </c>
      <c r="AQ98" s="15">
        <f ca="1">IFERROR(GETPIVOTDATA("Cuenta de CANT",Tabla9,"PROV",[1]Tablas!$A$101,"SEFIS",AQ$16,"CANT",[1]Tablas!$A69),0)</f>
        <v>1</v>
      </c>
      <c r="AR98" s="15">
        <f ca="1">IFERROR(GETPIVOTDATA("Cuenta de CANT",Tabla9,"PROV",[1]Tablas!$A$101,"SEFIS",AR$16,"CANT",[1]Tablas!$A69),0)</f>
        <v>0</v>
      </c>
      <c r="AS98" s="15">
        <f ca="1">IFERROR(GETPIVOTDATA("Cuenta de CANT",Tabla9,"PROV",[1]Tablas!$A$101,"SEFIS",AS$16,"CANT",[1]Tablas!$A69),0)</f>
        <v>0</v>
      </c>
      <c r="AT98" s="15">
        <f ca="1">IFERROR(GETPIVOTDATA("Cuenta de CANT",Tabla9,"PROV",[1]Tablas!$A$101,"SEFIS",AT$16,"CANT",[1]Tablas!$A69),0)</f>
        <v>0</v>
      </c>
      <c r="AU98" s="15">
        <f ca="1">IFERROR(GETPIVOTDATA("Cuenta de CANT",Tabla9,"PROV",[1]Tablas!$A$101,"SEFIS",AU$16,"CANT",[1]Tablas!$A69),0)</f>
        <v>0</v>
      </c>
      <c r="AV98" s="15">
        <f ca="1">IFERROR(GETPIVOTDATA("Cuenta de CANT",Tabla9,"PROV",[1]Tablas!$A$101,"SEFIS",AV$16,"CANT",[1]Tablas!$A69),0)</f>
        <v>0</v>
      </c>
      <c r="AW98" s="15">
        <f ca="1">IFERROR(GETPIVOTDATA("Cuenta de CANT",Tabla9,"PROV",[1]Tablas!$A$101,"SEFIS",AW$16,"CANT",[1]Tablas!$A69),0)</f>
        <v>1</v>
      </c>
      <c r="AX98" s="15">
        <f ca="1">IFERROR(GETPIVOTDATA("Cuenta de CANT",Tabla9,"PROV",[1]Tablas!$A$101,"SEFIS",AX$16,"CANT",[1]Tablas!$A69),0)</f>
        <v>0</v>
      </c>
      <c r="AY98" s="15">
        <f ca="1">IFERROR(GETPIVOTDATA("Cuenta de CANT",Tabla9,"PROV",[1]Tablas!$A$101,"SEFIS",AY$16,"CANT",[1]Tablas!$A69),0)</f>
        <v>0</v>
      </c>
      <c r="AZ98" s="15">
        <f ca="1">IFERROR(GETPIVOTDATA("Cuenta de CANT",Tabla9,"PROV",[1]Tablas!$A$101,"SEFIS",AZ$16,"CANT",[1]Tablas!$A69),0)</f>
        <v>0</v>
      </c>
      <c r="BA98" s="15">
        <f ca="1">IFERROR(GETPIVOTDATA("Cuenta de CANT",Tabla9,"PROV",[1]Tablas!$A$101,"SEFIS",BA$16,"CANT",[1]Tablas!$A69),0)</f>
        <v>0</v>
      </c>
      <c r="BB98" s="15">
        <f ca="1">IFERROR(GETPIVOTDATA("Cuenta de CANT",Tabla9,"PROV",[1]Tablas!$A$101,"SEFIS",BB$16,"CANT",[1]Tablas!$A69),0)</f>
        <v>0</v>
      </c>
      <c r="BC98" s="15">
        <f ca="1">IFERROR(GETPIVOTDATA("Cuenta de CANT",Tabla9,"PROV",[1]Tablas!$A$101,"SEFIS",BC$16,"CANT",[1]Tablas!$A69),0)</f>
        <v>0</v>
      </c>
    </row>
    <row r="99" spans="1:55" x14ac:dyDescent="0.35">
      <c r="A99" s="14"/>
      <c r="B99" s="12"/>
      <c r="C99" s="13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</row>
    <row r="100" spans="1:55" x14ac:dyDescent="0.35">
      <c r="A100" s="1" t="s">
        <v>91</v>
      </c>
      <c r="B100" s="10">
        <f t="shared" ca="1" si="7"/>
        <v>683</v>
      </c>
      <c r="C100" s="11">
        <f ca="1">IFERROR(B100/[1]Tablas!$B71*100000,"N/D")</f>
        <v>151.8516789281895</v>
      </c>
      <c r="D100" s="10">
        <f ca="1">SUM(D101:D106)</f>
        <v>16</v>
      </c>
      <c r="E100" s="10">
        <f t="shared" ref="E100:BC100" ca="1" si="9">SUM(E101:E106)</f>
        <v>10</v>
      </c>
      <c r="F100" s="10">
        <f t="shared" ca="1" si="9"/>
        <v>7</v>
      </c>
      <c r="G100" s="10">
        <f t="shared" ca="1" si="9"/>
        <v>9</v>
      </c>
      <c r="H100" s="10">
        <f t="shared" ca="1" si="9"/>
        <v>15</v>
      </c>
      <c r="I100" s="10">
        <f t="shared" ca="1" si="9"/>
        <v>13</v>
      </c>
      <c r="J100" s="10">
        <f t="shared" ca="1" si="9"/>
        <v>12</v>
      </c>
      <c r="K100" s="10">
        <f t="shared" ca="1" si="9"/>
        <v>10</v>
      </c>
      <c r="L100" s="10">
        <f t="shared" ca="1" si="9"/>
        <v>11</v>
      </c>
      <c r="M100" s="10">
        <f t="shared" ca="1" si="9"/>
        <v>8</v>
      </c>
      <c r="N100" s="10">
        <f t="shared" ca="1" si="9"/>
        <v>14</v>
      </c>
      <c r="O100" s="10">
        <f t="shared" ca="1" si="9"/>
        <v>10</v>
      </c>
      <c r="P100" s="10">
        <f t="shared" ca="1" si="9"/>
        <v>10</v>
      </c>
      <c r="Q100" s="10">
        <f t="shared" ca="1" si="9"/>
        <v>8</v>
      </c>
      <c r="R100" s="10">
        <f t="shared" ca="1" si="9"/>
        <v>11</v>
      </c>
      <c r="S100" s="10">
        <f t="shared" ca="1" si="9"/>
        <v>5</v>
      </c>
      <c r="T100" s="10">
        <f t="shared" ca="1" si="9"/>
        <v>12</v>
      </c>
      <c r="U100" s="10">
        <f t="shared" ca="1" si="9"/>
        <v>14</v>
      </c>
      <c r="V100" s="10">
        <f t="shared" ca="1" si="9"/>
        <v>9</v>
      </c>
      <c r="W100" s="10">
        <f t="shared" ca="1" si="9"/>
        <v>21</v>
      </c>
      <c r="X100" s="10">
        <f t="shared" ca="1" si="9"/>
        <v>11</v>
      </c>
      <c r="Y100" s="10">
        <f t="shared" ca="1" si="9"/>
        <v>20</v>
      </c>
      <c r="Z100" s="10">
        <f t="shared" ca="1" si="9"/>
        <v>17</v>
      </c>
      <c r="AA100" s="10">
        <f t="shared" ca="1" si="9"/>
        <v>12</v>
      </c>
      <c r="AB100" s="10">
        <f t="shared" ca="1" si="9"/>
        <v>23</v>
      </c>
      <c r="AC100" s="10">
        <f t="shared" ca="1" si="9"/>
        <v>13</v>
      </c>
      <c r="AD100" s="10">
        <f t="shared" ca="1" si="9"/>
        <v>13</v>
      </c>
      <c r="AE100" s="10">
        <f t="shared" ca="1" si="9"/>
        <v>16</v>
      </c>
      <c r="AF100" s="10">
        <f t="shared" ca="1" si="9"/>
        <v>19</v>
      </c>
      <c r="AG100" s="10">
        <f t="shared" ca="1" si="9"/>
        <v>11</v>
      </c>
      <c r="AH100" s="10">
        <f t="shared" ca="1" si="9"/>
        <v>27</v>
      </c>
      <c r="AI100" s="10">
        <f t="shared" ca="1" si="9"/>
        <v>13</v>
      </c>
      <c r="AJ100" s="10">
        <f t="shared" ca="1" si="9"/>
        <v>16</v>
      </c>
      <c r="AK100" s="10">
        <f t="shared" ca="1" si="9"/>
        <v>18</v>
      </c>
      <c r="AL100" s="10">
        <f t="shared" ca="1" si="9"/>
        <v>10</v>
      </c>
      <c r="AM100" s="10">
        <f t="shared" ca="1" si="9"/>
        <v>12</v>
      </c>
      <c r="AN100" s="10">
        <f t="shared" ca="1" si="9"/>
        <v>11</v>
      </c>
      <c r="AO100" s="10">
        <f t="shared" ca="1" si="9"/>
        <v>17</v>
      </c>
      <c r="AP100" s="10">
        <f t="shared" ca="1" si="9"/>
        <v>12</v>
      </c>
      <c r="AQ100" s="10">
        <f t="shared" ca="1" si="9"/>
        <v>16</v>
      </c>
      <c r="AR100" s="10">
        <f t="shared" ca="1" si="9"/>
        <v>10</v>
      </c>
      <c r="AS100" s="10">
        <f t="shared" ca="1" si="9"/>
        <v>10</v>
      </c>
      <c r="AT100" s="10">
        <f t="shared" ca="1" si="9"/>
        <v>13</v>
      </c>
      <c r="AU100" s="10">
        <f t="shared" ca="1" si="9"/>
        <v>15</v>
      </c>
      <c r="AV100" s="10">
        <f t="shared" ca="1" si="9"/>
        <v>17</v>
      </c>
      <c r="AW100" s="10">
        <f t="shared" ca="1" si="9"/>
        <v>17</v>
      </c>
      <c r="AX100" s="10">
        <f t="shared" ca="1" si="9"/>
        <v>15</v>
      </c>
      <c r="AY100" s="10">
        <f t="shared" ca="1" si="9"/>
        <v>12</v>
      </c>
      <c r="AZ100" s="10">
        <f t="shared" ca="1" si="9"/>
        <v>9</v>
      </c>
      <c r="BA100" s="10">
        <f t="shared" ca="1" si="9"/>
        <v>16</v>
      </c>
      <c r="BB100" s="10">
        <f t="shared" ca="1" si="9"/>
        <v>9</v>
      </c>
      <c r="BC100" s="10">
        <f t="shared" ca="1" si="9"/>
        <v>8</v>
      </c>
    </row>
    <row r="101" spans="1:55" x14ac:dyDescent="0.35">
      <c r="A101" s="14" t="s">
        <v>92</v>
      </c>
      <c r="B101" s="15">
        <f t="shared" ca="1" si="7"/>
        <v>67</v>
      </c>
      <c r="C101" s="16">
        <f ca="1">IFERROR(B101/[1]Tablas!$B72*100000,"N/D")</f>
        <v>67.53215336854413</v>
      </c>
      <c r="D101" s="15">
        <f ca="1">IFERROR(GETPIVOTDATA("Cuenta de CANT",Tabla9,"PROV",[1]Tablas!$A$114,"SEFIS",D$16,"CANT",[1]Tablas!$A72),0)</f>
        <v>1</v>
      </c>
      <c r="E101" s="15">
        <f ca="1">IFERROR(GETPIVOTDATA("Cuenta de CANT",Tabla9,"PROV",[1]Tablas!$A$114,"SEFIS",E$16,"CANT",[1]Tablas!$A72),0)</f>
        <v>0</v>
      </c>
      <c r="F101" s="15">
        <f ca="1">IFERROR(GETPIVOTDATA("Cuenta de CANT",Tabla9,"PROV",[1]Tablas!$A$114,"SEFIS",F$16,"CANT",[1]Tablas!$A72),0)</f>
        <v>2</v>
      </c>
      <c r="G101" s="15">
        <f ca="1">IFERROR(GETPIVOTDATA("Cuenta de CANT",Tabla9,"PROV",[1]Tablas!$A$114,"SEFIS",G$16,"CANT",[1]Tablas!$A72),0)</f>
        <v>1</v>
      </c>
      <c r="H101" s="15">
        <f ca="1">IFERROR(GETPIVOTDATA("Cuenta de CANT",Tabla9,"PROV",[1]Tablas!$A$114,"SEFIS",H$16,"CANT",[1]Tablas!$A72),0)</f>
        <v>0</v>
      </c>
      <c r="I101" s="15">
        <f ca="1">IFERROR(GETPIVOTDATA("Cuenta de CANT",Tabla9,"PROV",[1]Tablas!$A$114,"SEFIS",I$16,"CANT",[1]Tablas!$A72),0)</f>
        <v>1</v>
      </c>
      <c r="J101" s="15">
        <f ca="1">IFERROR(GETPIVOTDATA("Cuenta de CANT",Tabla9,"PROV",[1]Tablas!$A$114,"SEFIS",J$16,"CANT",[1]Tablas!$A72),0)</f>
        <v>1</v>
      </c>
      <c r="K101" s="15">
        <f ca="1">IFERROR(GETPIVOTDATA("Cuenta de CANT",Tabla9,"PROV",[1]Tablas!$A$114,"SEFIS",K$16,"CANT",[1]Tablas!$A72),0)</f>
        <v>1</v>
      </c>
      <c r="L101" s="15">
        <f ca="1">IFERROR(GETPIVOTDATA("Cuenta de CANT",Tabla9,"PROV",[1]Tablas!$A$114,"SEFIS",L$16,"CANT",[1]Tablas!$A72),0)</f>
        <v>2</v>
      </c>
      <c r="M101" s="15">
        <f ca="1">IFERROR(GETPIVOTDATA("Cuenta de CANT",Tabla9,"PROV",[1]Tablas!$A$114,"SEFIS",M$16,"CANT",[1]Tablas!$A72),0)</f>
        <v>2</v>
      </c>
      <c r="N101" s="15">
        <f ca="1">IFERROR(GETPIVOTDATA("Cuenta de CANT",Tabla9,"PROV",[1]Tablas!$A$114,"SEFIS",N$16,"CANT",[1]Tablas!$A72),0)</f>
        <v>0</v>
      </c>
      <c r="O101" s="15">
        <f ca="1">IFERROR(GETPIVOTDATA("Cuenta de CANT",Tabla9,"PROV",[1]Tablas!$A$114,"SEFIS",O$16,"CANT",[1]Tablas!$A72),0)</f>
        <v>1</v>
      </c>
      <c r="P101" s="15">
        <f ca="1">IFERROR(GETPIVOTDATA("Cuenta de CANT",Tabla9,"PROV",[1]Tablas!$A$114,"SEFIS",P$16,"CANT",[1]Tablas!$A72),0)</f>
        <v>1</v>
      </c>
      <c r="Q101" s="15">
        <f ca="1">IFERROR(GETPIVOTDATA("Cuenta de CANT",Tabla9,"PROV",[1]Tablas!$A$114,"SEFIS",Q$16,"CANT",[1]Tablas!$A72),0)</f>
        <v>0</v>
      </c>
      <c r="R101" s="15">
        <f ca="1">IFERROR(GETPIVOTDATA("Cuenta de CANT",Tabla9,"PROV",[1]Tablas!$A$114,"SEFIS",R$16,"CANT",[1]Tablas!$A72),0)</f>
        <v>0</v>
      </c>
      <c r="S101" s="15">
        <f ca="1">IFERROR(GETPIVOTDATA("Cuenta de CANT",Tabla9,"PROV",[1]Tablas!$A$114,"SEFIS",S$16,"CANT",[1]Tablas!$A72),0)</f>
        <v>2</v>
      </c>
      <c r="T101" s="15">
        <f ca="1">IFERROR(GETPIVOTDATA("Cuenta de CANT",Tabla9,"PROV",[1]Tablas!$A$114,"SEFIS",T$16,"CANT",[1]Tablas!$A72),0)</f>
        <v>1</v>
      </c>
      <c r="U101" s="15">
        <f ca="1">IFERROR(GETPIVOTDATA("Cuenta de CANT",Tabla9,"PROV",[1]Tablas!$A$114,"SEFIS",U$16,"CANT",[1]Tablas!$A72),0)</f>
        <v>1</v>
      </c>
      <c r="V101" s="15">
        <f ca="1">IFERROR(GETPIVOTDATA("Cuenta de CANT",Tabla9,"PROV",[1]Tablas!$A$114,"SEFIS",V$16,"CANT",[1]Tablas!$A72),0)</f>
        <v>3</v>
      </c>
      <c r="W101" s="15">
        <f ca="1">IFERROR(GETPIVOTDATA("Cuenta de CANT",Tabla9,"PROV",[1]Tablas!$A$114,"SEFIS",W$16,"CANT",[1]Tablas!$A72),0)</f>
        <v>0</v>
      </c>
      <c r="X101" s="15">
        <f ca="1">IFERROR(GETPIVOTDATA("Cuenta de CANT",Tabla9,"PROV",[1]Tablas!$A$114,"SEFIS",X$16,"CANT",[1]Tablas!$A72),0)</f>
        <v>1</v>
      </c>
      <c r="Y101" s="15">
        <f ca="1">IFERROR(GETPIVOTDATA("Cuenta de CANT",Tabla9,"PROV",[1]Tablas!$A$114,"SEFIS",Y$16,"CANT",[1]Tablas!$A72),0)</f>
        <v>4</v>
      </c>
      <c r="Z101" s="15">
        <f ca="1">IFERROR(GETPIVOTDATA("Cuenta de CANT",Tabla9,"PROV",[1]Tablas!$A$114,"SEFIS",Z$16,"CANT",[1]Tablas!$A72),0)</f>
        <v>2</v>
      </c>
      <c r="AA101" s="15">
        <f ca="1">IFERROR(GETPIVOTDATA("Cuenta de CANT",Tabla9,"PROV",[1]Tablas!$A$114,"SEFIS",AA$16,"CANT",[1]Tablas!$A72),0)</f>
        <v>2</v>
      </c>
      <c r="AB101" s="15">
        <f ca="1">IFERROR(GETPIVOTDATA("Cuenta de CANT",Tabla9,"PROV",[1]Tablas!$A$114,"SEFIS",AB$16,"CANT",[1]Tablas!$A72),0)</f>
        <v>6</v>
      </c>
      <c r="AC101" s="15">
        <f ca="1">IFERROR(GETPIVOTDATA("Cuenta de CANT",Tabla9,"PROV",[1]Tablas!$A$114,"SEFIS",AC$16,"CANT",[1]Tablas!$A72),0)</f>
        <v>1</v>
      </c>
      <c r="AD101" s="15">
        <f ca="1">IFERROR(GETPIVOTDATA("Cuenta de CANT",Tabla9,"PROV",[1]Tablas!$A$114,"SEFIS",AD$16,"CANT",[1]Tablas!$A72),0)</f>
        <v>2</v>
      </c>
      <c r="AE101" s="15">
        <f ca="1">IFERROR(GETPIVOTDATA("Cuenta de CANT",Tabla9,"PROV",[1]Tablas!$A$114,"SEFIS",AE$16,"CANT",[1]Tablas!$A72),0)</f>
        <v>1</v>
      </c>
      <c r="AF101" s="15">
        <f ca="1">IFERROR(GETPIVOTDATA("Cuenta de CANT",Tabla9,"PROV",[1]Tablas!$A$114,"SEFIS",AF$16,"CANT",[1]Tablas!$A72),0)</f>
        <v>4</v>
      </c>
      <c r="AG101" s="15">
        <f ca="1">IFERROR(GETPIVOTDATA("Cuenta de CANT",Tabla9,"PROV",[1]Tablas!$A$114,"SEFIS",AG$16,"CANT",[1]Tablas!$A72),0)</f>
        <v>3</v>
      </c>
      <c r="AH101" s="15">
        <f ca="1">IFERROR(GETPIVOTDATA("Cuenta de CANT",Tabla9,"PROV",[1]Tablas!$A$114,"SEFIS",AH$16,"CANT",[1]Tablas!$A72),0)</f>
        <v>2</v>
      </c>
      <c r="AI101" s="15">
        <f ca="1">IFERROR(GETPIVOTDATA("Cuenta de CANT",Tabla9,"PROV",[1]Tablas!$A$114,"SEFIS",AI$16,"CANT",[1]Tablas!$A72),0)</f>
        <v>2</v>
      </c>
      <c r="AJ101" s="15">
        <f ca="1">IFERROR(GETPIVOTDATA("Cuenta de CANT",Tabla9,"PROV",[1]Tablas!$A$114,"SEFIS",AJ$16,"CANT",[1]Tablas!$A72),0)</f>
        <v>1</v>
      </c>
      <c r="AK101" s="15">
        <f ca="1">IFERROR(GETPIVOTDATA("Cuenta de CANT",Tabla9,"PROV",[1]Tablas!$A$114,"SEFIS",AK$16,"CANT",[1]Tablas!$A72),0)</f>
        <v>4</v>
      </c>
      <c r="AL101" s="15">
        <f ca="1">IFERROR(GETPIVOTDATA("Cuenta de CANT",Tabla9,"PROV",[1]Tablas!$A$114,"SEFIS",AL$16,"CANT",[1]Tablas!$A72),0)</f>
        <v>1</v>
      </c>
      <c r="AM101" s="15">
        <f ca="1">IFERROR(GETPIVOTDATA("Cuenta de CANT",Tabla9,"PROV",[1]Tablas!$A$114,"SEFIS",AM$16,"CANT",[1]Tablas!$A72),0)</f>
        <v>0</v>
      </c>
      <c r="AN101" s="15">
        <f ca="1">IFERROR(GETPIVOTDATA("Cuenta de CANT",Tabla9,"PROV",[1]Tablas!$A$114,"SEFIS",AN$16,"CANT",[1]Tablas!$A72),0)</f>
        <v>0</v>
      </c>
      <c r="AO101" s="15">
        <f ca="1">IFERROR(GETPIVOTDATA("Cuenta de CANT",Tabla9,"PROV",[1]Tablas!$A$114,"SEFIS",AO$16,"CANT",[1]Tablas!$A72),0)</f>
        <v>1</v>
      </c>
      <c r="AP101" s="15">
        <f ca="1">IFERROR(GETPIVOTDATA("Cuenta de CANT",Tabla9,"PROV",[1]Tablas!$A$114,"SEFIS",AP$16,"CANT",[1]Tablas!$A72),0)</f>
        <v>1</v>
      </c>
      <c r="AQ101" s="15">
        <f ca="1">IFERROR(GETPIVOTDATA("Cuenta de CANT",Tabla9,"PROV",[1]Tablas!$A$114,"SEFIS",AQ$16,"CANT",[1]Tablas!$A72),0)</f>
        <v>1</v>
      </c>
      <c r="AR101" s="15">
        <f ca="1">IFERROR(GETPIVOTDATA("Cuenta de CANT",Tabla9,"PROV",[1]Tablas!$A$114,"SEFIS",AR$16,"CANT",[1]Tablas!$A72),0)</f>
        <v>0</v>
      </c>
      <c r="AS101" s="15">
        <f ca="1">IFERROR(GETPIVOTDATA("Cuenta de CANT",Tabla9,"PROV",[1]Tablas!$A$114,"SEFIS",AS$16,"CANT",[1]Tablas!$A72),0)</f>
        <v>0</v>
      </c>
      <c r="AT101" s="15">
        <f ca="1">IFERROR(GETPIVOTDATA("Cuenta de CANT",Tabla9,"PROV",[1]Tablas!$A$114,"SEFIS",AT$16,"CANT",[1]Tablas!$A72),0)</f>
        <v>0</v>
      </c>
      <c r="AU101" s="15">
        <f ca="1">IFERROR(GETPIVOTDATA("Cuenta de CANT",Tabla9,"PROV",[1]Tablas!$A$114,"SEFIS",AU$16,"CANT",[1]Tablas!$A72),0)</f>
        <v>0</v>
      </c>
      <c r="AV101" s="15">
        <f ca="1">IFERROR(GETPIVOTDATA("Cuenta de CANT",Tabla9,"PROV",[1]Tablas!$A$114,"SEFIS",AV$16,"CANT",[1]Tablas!$A72),0)</f>
        <v>0</v>
      </c>
      <c r="AW101" s="15">
        <f ca="1">IFERROR(GETPIVOTDATA("Cuenta de CANT",Tabla9,"PROV",[1]Tablas!$A$114,"SEFIS",AW$16,"CANT",[1]Tablas!$A72),0)</f>
        <v>3</v>
      </c>
      <c r="AX101" s="15">
        <f ca="1">IFERROR(GETPIVOTDATA("Cuenta de CANT",Tabla9,"PROV",[1]Tablas!$A$114,"SEFIS",AX$16,"CANT",[1]Tablas!$A72),0)</f>
        <v>0</v>
      </c>
      <c r="AY101" s="15">
        <f ca="1">IFERROR(GETPIVOTDATA("Cuenta de CANT",Tabla9,"PROV",[1]Tablas!$A$114,"SEFIS",AY$16,"CANT",[1]Tablas!$A72),0)</f>
        <v>1</v>
      </c>
      <c r="AZ101" s="15">
        <f ca="1">IFERROR(GETPIVOTDATA("Cuenta de CANT",Tabla9,"PROV",[1]Tablas!$A$114,"SEFIS",AZ$16,"CANT",[1]Tablas!$A72),0)</f>
        <v>1</v>
      </c>
      <c r="BA101" s="15">
        <f ca="1">IFERROR(GETPIVOTDATA("Cuenta de CANT",Tabla9,"PROV",[1]Tablas!$A$114,"SEFIS",BA$16,"CANT",[1]Tablas!$A72),0)</f>
        <v>3</v>
      </c>
      <c r="BB101" s="15">
        <f ca="1">IFERROR(GETPIVOTDATA("Cuenta de CANT",Tabla9,"PROV",[1]Tablas!$A$114,"SEFIS",BB$16,"CANT",[1]Tablas!$A72),0)</f>
        <v>0</v>
      </c>
      <c r="BC101" s="15">
        <f ca="1">IFERROR(GETPIVOTDATA("Cuenta de CANT",Tabla9,"PROV",[1]Tablas!$A$114,"SEFIS",BC$16,"CANT",[1]Tablas!$A72),0)</f>
        <v>0</v>
      </c>
    </row>
    <row r="102" spans="1:55" x14ac:dyDescent="0.35">
      <c r="A102" s="14" t="s">
        <v>93</v>
      </c>
      <c r="B102" s="15">
        <f t="shared" ca="1" si="7"/>
        <v>252</v>
      </c>
      <c r="C102" s="16">
        <f ca="1">IFERROR(B102/[1]Tablas!$B73*100000,"N/D")</f>
        <v>172.03478925738315</v>
      </c>
      <c r="D102" s="15">
        <f ca="1">IFERROR(GETPIVOTDATA("Cuenta de CANT",Tabla9,"PROV",[1]Tablas!$A$114,"SEFIS",D$16,"CANT",[1]Tablas!$A73),0)</f>
        <v>7</v>
      </c>
      <c r="E102" s="15">
        <f ca="1">IFERROR(GETPIVOTDATA("Cuenta de CANT",Tabla9,"PROV",[1]Tablas!$A$114,"SEFIS",E$16,"CANT",[1]Tablas!$A73),0)</f>
        <v>6</v>
      </c>
      <c r="F102" s="15">
        <f ca="1">IFERROR(GETPIVOTDATA("Cuenta de CANT",Tabla9,"PROV",[1]Tablas!$A$114,"SEFIS",F$16,"CANT",[1]Tablas!$A73),0)</f>
        <v>1</v>
      </c>
      <c r="G102" s="15">
        <f ca="1">IFERROR(GETPIVOTDATA("Cuenta de CANT",Tabla9,"PROV",[1]Tablas!$A$114,"SEFIS",G$16,"CANT",[1]Tablas!$A73),0)</f>
        <v>3</v>
      </c>
      <c r="H102" s="15">
        <f ca="1">IFERROR(GETPIVOTDATA("Cuenta de CANT",Tabla9,"PROV",[1]Tablas!$A$114,"SEFIS",H$16,"CANT",[1]Tablas!$A73),0)</f>
        <v>5</v>
      </c>
      <c r="I102" s="15">
        <f ca="1">IFERROR(GETPIVOTDATA("Cuenta de CANT",Tabla9,"PROV",[1]Tablas!$A$114,"SEFIS",I$16,"CANT",[1]Tablas!$A73),0)</f>
        <v>4</v>
      </c>
      <c r="J102" s="15">
        <f ca="1">IFERROR(GETPIVOTDATA("Cuenta de CANT",Tabla9,"PROV",[1]Tablas!$A$114,"SEFIS",J$16,"CANT",[1]Tablas!$A73),0)</f>
        <v>4</v>
      </c>
      <c r="K102" s="15">
        <f ca="1">IFERROR(GETPIVOTDATA("Cuenta de CANT",Tabla9,"PROV",[1]Tablas!$A$114,"SEFIS",K$16,"CANT",[1]Tablas!$A73),0)</f>
        <v>5</v>
      </c>
      <c r="L102" s="15">
        <f ca="1">IFERROR(GETPIVOTDATA("Cuenta de CANT",Tabla9,"PROV",[1]Tablas!$A$114,"SEFIS",L$16,"CANT",[1]Tablas!$A73),0)</f>
        <v>4</v>
      </c>
      <c r="M102" s="15">
        <f ca="1">IFERROR(GETPIVOTDATA("Cuenta de CANT",Tabla9,"PROV",[1]Tablas!$A$114,"SEFIS",M$16,"CANT",[1]Tablas!$A73),0)</f>
        <v>3</v>
      </c>
      <c r="N102" s="15">
        <f ca="1">IFERROR(GETPIVOTDATA("Cuenta de CANT",Tabla9,"PROV",[1]Tablas!$A$114,"SEFIS",N$16,"CANT",[1]Tablas!$A73),0)</f>
        <v>0</v>
      </c>
      <c r="O102" s="15">
        <f ca="1">IFERROR(GETPIVOTDATA("Cuenta de CANT",Tabla9,"PROV",[1]Tablas!$A$114,"SEFIS",O$16,"CANT",[1]Tablas!$A73),0)</f>
        <v>5</v>
      </c>
      <c r="P102" s="15">
        <f ca="1">IFERROR(GETPIVOTDATA("Cuenta de CANT",Tabla9,"PROV",[1]Tablas!$A$114,"SEFIS",P$16,"CANT",[1]Tablas!$A73),0)</f>
        <v>3</v>
      </c>
      <c r="Q102" s="15">
        <f ca="1">IFERROR(GETPIVOTDATA("Cuenta de CANT",Tabla9,"PROV",[1]Tablas!$A$114,"SEFIS",Q$16,"CANT",[1]Tablas!$A73),0)</f>
        <v>4</v>
      </c>
      <c r="R102" s="15">
        <f ca="1">IFERROR(GETPIVOTDATA("Cuenta de CANT",Tabla9,"PROV",[1]Tablas!$A$114,"SEFIS",R$16,"CANT",[1]Tablas!$A73),0)</f>
        <v>2</v>
      </c>
      <c r="S102" s="15">
        <f ca="1">IFERROR(GETPIVOTDATA("Cuenta de CANT",Tabla9,"PROV",[1]Tablas!$A$114,"SEFIS",S$16,"CANT",[1]Tablas!$A73),0)</f>
        <v>1</v>
      </c>
      <c r="T102" s="15">
        <f ca="1">IFERROR(GETPIVOTDATA("Cuenta de CANT",Tabla9,"PROV",[1]Tablas!$A$114,"SEFIS",T$16,"CANT",[1]Tablas!$A73),0)</f>
        <v>2</v>
      </c>
      <c r="U102" s="15">
        <f ca="1">IFERROR(GETPIVOTDATA("Cuenta de CANT",Tabla9,"PROV",[1]Tablas!$A$114,"SEFIS",U$16,"CANT",[1]Tablas!$A73),0)</f>
        <v>8</v>
      </c>
      <c r="V102" s="15">
        <f ca="1">IFERROR(GETPIVOTDATA("Cuenta de CANT",Tabla9,"PROV",[1]Tablas!$A$114,"SEFIS",V$16,"CANT",[1]Tablas!$A73),0)</f>
        <v>0</v>
      </c>
      <c r="W102" s="15">
        <f ca="1">IFERROR(GETPIVOTDATA("Cuenta de CANT",Tabla9,"PROV",[1]Tablas!$A$114,"SEFIS",W$16,"CANT",[1]Tablas!$A73),0)</f>
        <v>11</v>
      </c>
      <c r="X102" s="15">
        <f ca="1">IFERROR(GETPIVOTDATA("Cuenta de CANT",Tabla9,"PROV",[1]Tablas!$A$114,"SEFIS",X$16,"CANT",[1]Tablas!$A73),0)</f>
        <v>5</v>
      </c>
      <c r="Y102" s="15">
        <f ca="1">IFERROR(GETPIVOTDATA("Cuenta de CANT",Tabla9,"PROV",[1]Tablas!$A$114,"SEFIS",Y$16,"CANT",[1]Tablas!$A73),0)</f>
        <v>6</v>
      </c>
      <c r="Z102" s="15">
        <f ca="1">IFERROR(GETPIVOTDATA("Cuenta de CANT",Tabla9,"PROV",[1]Tablas!$A$114,"SEFIS",Z$16,"CANT",[1]Tablas!$A73),0)</f>
        <v>6</v>
      </c>
      <c r="AA102" s="15">
        <f ca="1">IFERROR(GETPIVOTDATA("Cuenta de CANT",Tabla9,"PROV",[1]Tablas!$A$114,"SEFIS",AA$16,"CANT",[1]Tablas!$A73),0)</f>
        <v>1</v>
      </c>
      <c r="AB102" s="15">
        <f ca="1">IFERROR(GETPIVOTDATA("Cuenta de CANT",Tabla9,"PROV",[1]Tablas!$A$114,"SEFIS",AB$16,"CANT",[1]Tablas!$A73),0)</f>
        <v>8</v>
      </c>
      <c r="AC102" s="15">
        <f ca="1">IFERROR(GETPIVOTDATA("Cuenta de CANT",Tabla9,"PROV",[1]Tablas!$A$114,"SEFIS",AC$16,"CANT",[1]Tablas!$A73),0)</f>
        <v>2</v>
      </c>
      <c r="AD102" s="15">
        <f ca="1">IFERROR(GETPIVOTDATA("Cuenta de CANT",Tabla9,"PROV",[1]Tablas!$A$114,"SEFIS",AD$16,"CANT",[1]Tablas!$A73),0)</f>
        <v>4</v>
      </c>
      <c r="AE102" s="15">
        <f ca="1">IFERROR(GETPIVOTDATA("Cuenta de CANT",Tabla9,"PROV",[1]Tablas!$A$114,"SEFIS",AE$16,"CANT",[1]Tablas!$A73),0)</f>
        <v>5</v>
      </c>
      <c r="AF102" s="15">
        <f ca="1">IFERROR(GETPIVOTDATA("Cuenta de CANT",Tabla9,"PROV",[1]Tablas!$A$114,"SEFIS",AF$16,"CANT",[1]Tablas!$A73),0)</f>
        <v>4</v>
      </c>
      <c r="AG102" s="15">
        <f ca="1">IFERROR(GETPIVOTDATA("Cuenta de CANT",Tabla9,"PROV",[1]Tablas!$A$114,"SEFIS",AG$16,"CANT",[1]Tablas!$A73),0)</f>
        <v>2</v>
      </c>
      <c r="AH102" s="15">
        <f ca="1">IFERROR(GETPIVOTDATA("Cuenta de CANT",Tabla9,"PROV",[1]Tablas!$A$114,"SEFIS",AH$16,"CANT",[1]Tablas!$A73),0)</f>
        <v>17</v>
      </c>
      <c r="AI102" s="15">
        <f ca="1">IFERROR(GETPIVOTDATA("Cuenta de CANT",Tabla9,"PROV",[1]Tablas!$A$114,"SEFIS",AI$16,"CANT",[1]Tablas!$A73),0)</f>
        <v>4</v>
      </c>
      <c r="AJ102" s="15">
        <f ca="1">IFERROR(GETPIVOTDATA("Cuenta de CANT",Tabla9,"PROV",[1]Tablas!$A$114,"SEFIS",AJ$16,"CANT",[1]Tablas!$A73),0)</f>
        <v>9</v>
      </c>
      <c r="AK102" s="15">
        <f ca="1">IFERROR(GETPIVOTDATA("Cuenta de CANT",Tabla9,"PROV",[1]Tablas!$A$114,"SEFIS",AK$16,"CANT",[1]Tablas!$A73),0)</f>
        <v>7</v>
      </c>
      <c r="AL102" s="15">
        <f ca="1">IFERROR(GETPIVOTDATA("Cuenta de CANT",Tabla9,"PROV",[1]Tablas!$A$114,"SEFIS",AL$16,"CANT",[1]Tablas!$A73),0)</f>
        <v>5</v>
      </c>
      <c r="AM102" s="15">
        <f ca="1">IFERROR(GETPIVOTDATA("Cuenta de CANT",Tabla9,"PROV",[1]Tablas!$A$114,"SEFIS",AM$16,"CANT",[1]Tablas!$A73),0)</f>
        <v>6</v>
      </c>
      <c r="AN102" s="15">
        <f ca="1">IFERROR(GETPIVOTDATA("Cuenta de CANT",Tabla9,"PROV",[1]Tablas!$A$114,"SEFIS",AN$16,"CANT",[1]Tablas!$A73),0)</f>
        <v>4</v>
      </c>
      <c r="AO102" s="15">
        <f ca="1">IFERROR(GETPIVOTDATA("Cuenta de CANT",Tabla9,"PROV",[1]Tablas!$A$114,"SEFIS",AO$16,"CANT",[1]Tablas!$A73),0)</f>
        <v>6</v>
      </c>
      <c r="AP102" s="15">
        <f ca="1">IFERROR(GETPIVOTDATA("Cuenta de CANT",Tabla9,"PROV",[1]Tablas!$A$114,"SEFIS",AP$16,"CANT",[1]Tablas!$A73),0)</f>
        <v>4</v>
      </c>
      <c r="AQ102" s="15">
        <f ca="1">IFERROR(GETPIVOTDATA("Cuenta de CANT",Tabla9,"PROV",[1]Tablas!$A$114,"SEFIS",AQ$16,"CANT",[1]Tablas!$A73),0)</f>
        <v>6</v>
      </c>
      <c r="AR102" s="15">
        <f ca="1">IFERROR(GETPIVOTDATA("Cuenta de CANT",Tabla9,"PROV",[1]Tablas!$A$114,"SEFIS",AR$16,"CANT",[1]Tablas!$A73),0)</f>
        <v>1</v>
      </c>
      <c r="AS102" s="15">
        <f ca="1">IFERROR(GETPIVOTDATA("Cuenta de CANT",Tabla9,"PROV",[1]Tablas!$A$114,"SEFIS",AS$16,"CANT",[1]Tablas!$A73),0)</f>
        <v>4</v>
      </c>
      <c r="AT102" s="15">
        <f ca="1">IFERROR(GETPIVOTDATA("Cuenta de CANT",Tabla9,"PROV",[1]Tablas!$A$114,"SEFIS",AT$16,"CANT",[1]Tablas!$A73),0)</f>
        <v>7</v>
      </c>
      <c r="AU102" s="15">
        <f ca="1">IFERROR(GETPIVOTDATA("Cuenta de CANT",Tabla9,"PROV",[1]Tablas!$A$114,"SEFIS",AU$16,"CANT",[1]Tablas!$A73),0)</f>
        <v>10</v>
      </c>
      <c r="AV102" s="15">
        <f ca="1">IFERROR(GETPIVOTDATA("Cuenta de CANT",Tabla9,"PROV",[1]Tablas!$A$114,"SEFIS",AV$16,"CANT",[1]Tablas!$A73),0)</f>
        <v>13</v>
      </c>
      <c r="AW102" s="15">
        <f ca="1">IFERROR(GETPIVOTDATA("Cuenta de CANT",Tabla9,"PROV",[1]Tablas!$A$114,"SEFIS",AW$16,"CANT",[1]Tablas!$A73),0)</f>
        <v>7</v>
      </c>
      <c r="AX102" s="15">
        <f ca="1">IFERROR(GETPIVOTDATA("Cuenta de CANT",Tabla9,"PROV",[1]Tablas!$A$114,"SEFIS",AX$16,"CANT",[1]Tablas!$A73),0)</f>
        <v>7</v>
      </c>
      <c r="AY102" s="15">
        <f ca="1">IFERROR(GETPIVOTDATA("Cuenta de CANT",Tabla9,"PROV",[1]Tablas!$A$114,"SEFIS",AY$16,"CANT",[1]Tablas!$A73),0)</f>
        <v>2</v>
      </c>
      <c r="AZ102" s="15">
        <f ca="1">IFERROR(GETPIVOTDATA("Cuenta de CANT",Tabla9,"PROV",[1]Tablas!$A$114,"SEFIS",AZ$16,"CANT",[1]Tablas!$A73),0)</f>
        <v>0</v>
      </c>
      <c r="BA102" s="15">
        <f ca="1">IFERROR(GETPIVOTDATA("Cuenta de CANT",Tabla9,"PROV",[1]Tablas!$A$114,"SEFIS",BA$16,"CANT",[1]Tablas!$A73),0)</f>
        <v>6</v>
      </c>
      <c r="BB102" s="15">
        <f ca="1">IFERROR(GETPIVOTDATA("Cuenta de CANT",Tabla9,"PROV",[1]Tablas!$A$114,"SEFIS",BB$16,"CANT",[1]Tablas!$A73),0)</f>
        <v>2</v>
      </c>
      <c r="BC102" s="15">
        <f ca="1">IFERROR(GETPIVOTDATA("Cuenta de CANT",Tabla9,"PROV",[1]Tablas!$A$114,"SEFIS",BC$16,"CANT",[1]Tablas!$A73),0)</f>
        <v>4</v>
      </c>
    </row>
    <row r="103" spans="1:55" x14ac:dyDescent="0.35">
      <c r="A103" s="14" t="s">
        <v>94</v>
      </c>
      <c r="B103" s="15">
        <f t="shared" ca="1" si="7"/>
        <v>112</v>
      </c>
      <c r="C103" s="16">
        <f ca="1">IFERROR(B103/[1]Tablas!$B74*100000,"N/D")</f>
        <v>174.87430909034131</v>
      </c>
      <c r="D103" s="15">
        <f ca="1">IFERROR(GETPIVOTDATA("Cuenta de CANT",Tabla9,"PROV",[1]Tablas!$A$114,"SEFIS",D$16,"CANT",[1]Tablas!$A74),0)</f>
        <v>3</v>
      </c>
      <c r="E103" s="15">
        <f ca="1">IFERROR(GETPIVOTDATA("Cuenta de CANT",Tabla9,"PROV",[1]Tablas!$A$114,"SEFIS",E$16,"CANT",[1]Tablas!$A74),0)</f>
        <v>3</v>
      </c>
      <c r="F103" s="15">
        <f ca="1">IFERROR(GETPIVOTDATA("Cuenta de CANT",Tabla9,"PROV",[1]Tablas!$A$114,"SEFIS",F$16,"CANT",[1]Tablas!$A74),0)</f>
        <v>2</v>
      </c>
      <c r="G103" s="15">
        <f ca="1">IFERROR(GETPIVOTDATA("Cuenta de CANT",Tabla9,"PROV",[1]Tablas!$A$114,"SEFIS",G$16,"CANT",[1]Tablas!$A74),0)</f>
        <v>0</v>
      </c>
      <c r="H103" s="15">
        <f ca="1">IFERROR(GETPIVOTDATA("Cuenta de CANT",Tabla9,"PROV",[1]Tablas!$A$114,"SEFIS",H$16,"CANT",[1]Tablas!$A74),0)</f>
        <v>4</v>
      </c>
      <c r="I103" s="15">
        <f ca="1">IFERROR(GETPIVOTDATA("Cuenta de CANT",Tabla9,"PROV",[1]Tablas!$A$114,"SEFIS",I$16,"CANT",[1]Tablas!$A74),0)</f>
        <v>2</v>
      </c>
      <c r="J103" s="15">
        <f ca="1">IFERROR(GETPIVOTDATA("Cuenta de CANT",Tabla9,"PROV",[1]Tablas!$A$114,"SEFIS",J$16,"CANT",[1]Tablas!$A74),0)</f>
        <v>3</v>
      </c>
      <c r="K103" s="15">
        <f ca="1">IFERROR(GETPIVOTDATA("Cuenta de CANT",Tabla9,"PROV",[1]Tablas!$A$114,"SEFIS",K$16,"CANT",[1]Tablas!$A74),0)</f>
        <v>0</v>
      </c>
      <c r="L103" s="15">
        <f ca="1">IFERROR(GETPIVOTDATA("Cuenta de CANT",Tabla9,"PROV",[1]Tablas!$A$114,"SEFIS",L$16,"CANT",[1]Tablas!$A74),0)</f>
        <v>0</v>
      </c>
      <c r="M103" s="15">
        <f ca="1">IFERROR(GETPIVOTDATA("Cuenta de CANT",Tabla9,"PROV",[1]Tablas!$A$114,"SEFIS",M$16,"CANT",[1]Tablas!$A74),0)</f>
        <v>1</v>
      </c>
      <c r="N103" s="15">
        <f ca="1">IFERROR(GETPIVOTDATA("Cuenta de CANT",Tabla9,"PROV",[1]Tablas!$A$114,"SEFIS",N$16,"CANT",[1]Tablas!$A74),0)</f>
        <v>4</v>
      </c>
      <c r="O103" s="15">
        <f ca="1">IFERROR(GETPIVOTDATA("Cuenta de CANT",Tabla9,"PROV",[1]Tablas!$A$114,"SEFIS",O$16,"CANT",[1]Tablas!$A74),0)</f>
        <v>1</v>
      </c>
      <c r="P103" s="15">
        <f ca="1">IFERROR(GETPIVOTDATA("Cuenta de CANT",Tabla9,"PROV",[1]Tablas!$A$114,"SEFIS",P$16,"CANT",[1]Tablas!$A74),0)</f>
        <v>1</v>
      </c>
      <c r="Q103" s="15">
        <f ca="1">IFERROR(GETPIVOTDATA("Cuenta de CANT",Tabla9,"PROV",[1]Tablas!$A$114,"SEFIS",Q$16,"CANT",[1]Tablas!$A74),0)</f>
        <v>0</v>
      </c>
      <c r="R103" s="15">
        <f ca="1">IFERROR(GETPIVOTDATA("Cuenta de CANT",Tabla9,"PROV",[1]Tablas!$A$114,"SEFIS",R$16,"CANT",[1]Tablas!$A74),0)</f>
        <v>2</v>
      </c>
      <c r="S103" s="15">
        <f ca="1">IFERROR(GETPIVOTDATA("Cuenta de CANT",Tabla9,"PROV",[1]Tablas!$A$114,"SEFIS",S$16,"CANT",[1]Tablas!$A74),0)</f>
        <v>1</v>
      </c>
      <c r="T103" s="15">
        <f ca="1">IFERROR(GETPIVOTDATA("Cuenta de CANT",Tabla9,"PROV",[1]Tablas!$A$114,"SEFIS",T$16,"CANT",[1]Tablas!$A74),0)</f>
        <v>0</v>
      </c>
      <c r="U103" s="15">
        <f ca="1">IFERROR(GETPIVOTDATA("Cuenta de CANT",Tabla9,"PROV",[1]Tablas!$A$114,"SEFIS",U$16,"CANT",[1]Tablas!$A74),0)</f>
        <v>2</v>
      </c>
      <c r="V103" s="15">
        <f ca="1">IFERROR(GETPIVOTDATA("Cuenta de CANT",Tabla9,"PROV",[1]Tablas!$A$114,"SEFIS",V$16,"CANT",[1]Tablas!$A74),0)</f>
        <v>3</v>
      </c>
      <c r="W103" s="15">
        <f ca="1">IFERROR(GETPIVOTDATA("Cuenta de CANT",Tabla9,"PROV",[1]Tablas!$A$114,"SEFIS",W$16,"CANT",[1]Tablas!$A74),0)</f>
        <v>4</v>
      </c>
      <c r="X103" s="15">
        <f ca="1">IFERROR(GETPIVOTDATA("Cuenta de CANT",Tabla9,"PROV",[1]Tablas!$A$114,"SEFIS",X$16,"CANT",[1]Tablas!$A74),0)</f>
        <v>0</v>
      </c>
      <c r="Y103" s="15">
        <f ca="1">IFERROR(GETPIVOTDATA("Cuenta de CANT",Tabla9,"PROV",[1]Tablas!$A$114,"SEFIS",Y$16,"CANT",[1]Tablas!$A74),0)</f>
        <v>5</v>
      </c>
      <c r="Z103" s="15">
        <f ca="1">IFERROR(GETPIVOTDATA("Cuenta de CANT",Tabla9,"PROV",[1]Tablas!$A$114,"SEFIS",Z$16,"CANT",[1]Tablas!$A74),0)</f>
        <v>4</v>
      </c>
      <c r="AA103" s="15">
        <f ca="1">IFERROR(GETPIVOTDATA("Cuenta de CANT",Tabla9,"PROV",[1]Tablas!$A$114,"SEFIS",AA$16,"CANT",[1]Tablas!$A74),0)</f>
        <v>4</v>
      </c>
      <c r="AB103" s="15">
        <f ca="1">IFERROR(GETPIVOTDATA("Cuenta de CANT",Tabla9,"PROV",[1]Tablas!$A$114,"SEFIS",AB$16,"CANT",[1]Tablas!$A74),0)</f>
        <v>4</v>
      </c>
      <c r="AC103" s="15">
        <f ca="1">IFERROR(GETPIVOTDATA("Cuenta de CANT",Tabla9,"PROV",[1]Tablas!$A$114,"SEFIS",AC$16,"CANT",[1]Tablas!$A74),0)</f>
        <v>1</v>
      </c>
      <c r="AD103" s="15">
        <f ca="1">IFERROR(GETPIVOTDATA("Cuenta de CANT",Tabla9,"PROV",[1]Tablas!$A$114,"SEFIS",AD$16,"CANT",[1]Tablas!$A74),0)</f>
        <v>3</v>
      </c>
      <c r="AE103" s="15">
        <f ca="1">IFERROR(GETPIVOTDATA("Cuenta de CANT",Tabla9,"PROV",[1]Tablas!$A$114,"SEFIS",AE$16,"CANT",[1]Tablas!$A74),0)</f>
        <v>1</v>
      </c>
      <c r="AF103" s="15">
        <f ca="1">IFERROR(GETPIVOTDATA("Cuenta de CANT",Tabla9,"PROV",[1]Tablas!$A$114,"SEFIS",AF$16,"CANT",[1]Tablas!$A74),0)</f>
        <v>4</v>
      </c>
      <c r="AG103" s="15">
        <f ca="1">IFERROR(GETPIVOTDATA("Cuenta de CANT",Tabla9,"PROV",[1]Tablas!$A$114,"SEFIS",AG$16,"CANT",[1]Tablas!$A74),0)</f>
        <v>2</v>
      </c>
      <c r="AH103" s="15">
        <f ca="1">IFERROR(GETPIVOTDATA("Cuenta de CANT",Tabla9,"PROV",[1]Tablas!$A$114,"SEFIS",AH$16,"CANT",[1]Tablas!$A74),0)</f>
        <v>1</v>
      </c>
      <c r="AI103" s="15">
        <f ca="1">IFERROR(GETPIVOTDATA("Cuenta de CANT",Tabla9,"PROV",[1]Tablas!$A$114,"SEFIS",AI$16,"CANT",[1]Tablas!$A74),0)</f>
        <v>2</v>
      </c>
      <c r="AJ103" s="15">
        <f ca="1">IFERROR(GETPIVOTDATA("Cuenta de CANT",Tabla9,"PROV",[1]Tablas!$A$114,"SEFIS",AJ$16,"CANT",[1]Tablas!$A74),0)</f>
        <v>2</v>
      </c>
      <c r="AK103" s="15">
        <f ca="1">IFERROR(GETPIVOTDATA("Cuenta de CANT",Tabla9,"PROV",[1]Tablas!$A$114,"SEFIS",AK$16,"CANT",[1]Tablas!$A74),0)</f>
        <v>3</v>
      </c>
      <c r="AL103" s="15">
        <f ca="1">IFERROR(GETPIVOTDATA("Cuenta de CANT",Tabla9,"PROV",[1]Tablas!$A$114,"SEFIS",AL$16,"CANT",[1]Tablas!$A74),0)</f>
        <v>1</v>
      </c>
      <c r="AM103" s="15">
        <f ca="1">IFERROR(GETPIVOTDATA("Cuenta de CANT",Tabla9,"PROV",[1]Tablas!$A$114,"SEFIS",AM$16,"CANT",[1]Tablas!$A74),0)</f>
        <v>3</v>
      </c>
      <c r="AN103" s="15">
        <f ca="1">IFERROR(GETPIVOTDATA("Cuenta de CANT",Tabla9,"PROV",[1]Tablas!$A$114,"SEFIS",AN$16,"CANT",[1]Tablas!$A74),0)</f>
        <v>3</v>
      </c>
      <c r="AO103" s="15">
        <f ca="1">IFERROR(GETPIVOTDATA("Cuenta de CANT",Tabla9,"PROV",[1]Tablas!$A$114,"SEFIS",AO$16,"CANT",[1]Tablas!$A74),0)</f>
        <v>1</v>
      </c>
      <c r="AP103" s="15">
        <f ca="1">IFERROR(GETPIVOTDATA("Cuenta de CANT",Tabla9,"PROV",[1]Tablas!$A$114,"SEFIS",AP$16,"CANT",[1]Tablas!$A74),0)</f>
        <v>3</v>
      </c>
      <c r="AQ103" s="15">
        <f ca="1">IFERROR(GETPIVOTDATA("Cuenta de CANT",Tabla9,"PROV",[1]Tablas!$A$114,"SEFIS",AQ$16,"CANT",[1]Tablas!$A74),0)</f>
        <v>1</v>
      </c>
      <c r="AR103" s="15">
        <f ca="1">IFERROR(GETPIVOTDATA("Cuenta de CANT",Tabla9,"PROV",[1]Tablas!$A$114,"SEFIS",AR$16,"CANT",[1]Tablas!$A74),0)</f>
        <v>6</v>
      </c>
      <c r="AS103" s="15">
        <f ca="1">IFERROR(GETPIVOTDATA("Cuenta de CANT",Tabla9,"PROV",[1]Tablas!$A$114,"SEFIS",AS$16,"CANT",[1]Tablas!$A74),0)</f>
        <v>2</v>
      </c>
      <c r="AT103" s="15">
        <f ca="1">IFERROR(GETPIVOTDATA("Cuenta de CANT",Tabla9,"PROV",[1]Tablas!$A$114,"SEFIS",AT$16,"CANT",[1]Tablas!$A74),0)</f>
        <v>1</v>
      </c>
      <c r="AU103" s="15">
        <f ca="1">IFERROR(GETPIVOTDATA("Cuenta de CANT",Tabla9,"PROV",[1]Tablas!$A$114,"SEFIS",AU$16,"CANT",[1]Tablas!$A74),0)</f>
        <v>2</v>
      </c>
      <c r="AV103" s="15">
        <f ca="1">IFERROR(GETPIVOTDATA("Cuenta de CANT",Tabla9,"PROV",[1]Tablas!$A$114,"SEFIS",AV$16,"CANT",[1]Tablas!$A74),0)</f>
        <v>1</v>
      </c>
      <c r="AW103" s="15">
        <f ca="1">IFERROR(GETPIVOTDATA("Cuenta de CANT",Tabla9,"PROV",[1]Tablas!$A$114,"SEFIS",AW$16,"CANT",[1]Tablas!$A74),0)</f>
        <v>3</v>
      </c>
      <c r="AX103" s="15">
        <f ca="1">IFERROR(GETPIVOTDATA("Cuenta de CANT",Tabla9,"PROV",[1]Tablas!$A$114,"SEFIS",AX$16,"CANT",[1]Tablas!$A74),0)</f>
        <v>1</v>
      </c>
      <c r="AY103" s="15">
        <f ca="1">IFERROR(GETPIVOTDATA("Cuenta de CANT",Tabla9,"PROV",[1]Tablas!$A$114,"SEFIS",AY$16,"CANT",[1]Tablas!$A74),0)</f>
        <v>4</v>
      </c>
      <c r="AZ103" s="15">
        <f ca="1">IFERROR(GETPIVOTDATA("Cuenta de CANT",Tabla9,"PROV",[1]Tablas!$A$114,"SEFIS",AZ$16,"CANT",[1]Tablas!$A74),0)</f>
        <v>5</v>
      </c>
      <c r="BA103" s="15">
        <f ca="1">IFERROR(GETPIVOTDATA("Cuenta de CANT",Tabla9,"PROV",[1]Tablas!$A$114,"SEFIS",BA$16,"CANT",[1]Tablas!$A74),0)</f>
        <v>1</v>
      </c>
      <c r="BB103" s="15">
        <f ca="1">IFERROR(GETPIVOTDATA("Cuenta de CANT",Tabla9,"PROV",[1]Tablas!$A$114,"SEFIS",BB$16,"CANT",[1]Tablas!$A74),0)</f>
        <v>1</v>
      </c>
      <c r="BC103" s="15">
        <f ca="1">IFERROR(GETPIVOTDATA("Cuenta de CANT",Tabla9,"PROV",[1]Tablas!$A$114,"SEFIS",BC$16,"CANT",[1]Tablas!$A74),0)</f>
        <v>1</v>
      </c>
    </row>
    <row r="104" spans="1:55" x14ac:dyDescent="0.35">
      <c r="A104" s="14" t="s">
        <v>95</v>
      </c>
      <c r="B104" s="15">
        <f t="shared" ca="1" si="7"/>
        <v>91</v>
      </c>
      <c r="C104" s="16">
        <f ca="1">IFERROR(B104/[1]Tablas!$B75*100000,"N/D")</f>
        <v>219.18204152415822</v>
      </c>
      <c r="D104" s="15">
        <f ca="1">IFERROR(GETPIVOTDATA("Cuenta de CANT",Tabla9,"PROV",[1]Tablas!$A$114,"SEFIS",D$16,"CANT",[1]Tablas!$A75),0)</f>
        <v>1</v>
      </c>
      <c r="E104" s="15">
        <f ca="1">IFERROR(GETPIVOTDATA("Cuenta de CANT",Tabla9,"PROV",[1]Tablas!$A$114,"SEFIS",E$16,"CANT",[1]Tablas!$A75),0)</f>
        <v>0</v>
      </c>
      <c r="F104" s="15">
        <f ca="1">IFERROR(GETPIVOTDATA("Cuenta de CANT",Tabla9,"PROV",[1]Tablas!$A$114,"SEFIS",F$16,"CANT",[1]Tablas!$A75),0)</f>
        <v>0</v>
      </c>
      <c r="G104" s="15">
        <f ca="1">IFERROR(GETPIVOTDATA("Cuenta de CANT",Tabla9,"PROV",[1]Tablas!$A$114,"SEFIS",G$16,"CANT",[1]Tablas!$A75),0)</f>
        <v>3</v>
      </c>
      <c r="H104" s="15">
        <f ca="1">IFERROR(GETPIVOTDATA("Cuenta de CANT",Tabla9,"PROV",[1]Tablas!$A$114,"SEFIS",H$16,"CANT",[1]Tablas!$A75),0)</f>
        <v>3</v>
      </c>
      <c r="I104" s="15">
        <f ca="1">IFERROR(GETPIVOTDATA("Cuenta de CANT",Tabla9,"PROV",[1]Tablas!$A$114,"SEFIS",I$16,"CANT",[1]Tablas!$A75),0)</f>
        <v>0</v>
      </c>
      <c r="J104" s="15">
        <f ca="1">IFERROR(GETPIVOTDATA("Cuenta de CANT",Tabla9,"PROV",[1]Tablas!$A$114,"SEFIS",J$16,"CANT",[1]Tablas!$A75),0)</f>
        <v>1</v>
      </c>
      <c r="K104" s="15">
        <f ca="1">IFERROR(GETPIVOTDATA("Cuenta de CANT",Tabla9,"PROV",[1]Tablas!$A$114,"SEFIS",K$16,"CANT",[1]Tablas!$A75),0)</f>
        <v>1</v>
      </c>
      <c r="L104" s="15">
        <f ca="1">IFERROR(GETPIVOTDATA("Cuenta de CANT",Tabla9,"PROV",[1]Tablas!$A$114,"SEFIS",L$16,"CANT",[1]Tablas!$A75),0)</f>
        <v>0</v>
      </c>
      <c r="M104" s="15">
        <f ca="1">IFERROR(GETPIVOTDATA("Cuenta de CANT",Tabla9,"PROV",[1]Tablas!$A$114,"SEFIS",M$16,"CANT",[1]Tablas!$A75),0)</f>
        <v>0</v>
      </c>
      <c r="N104" s="15">
        <f ca="1">IFERROR(GETPIVOTDATA("Cuenta de CANT",Tabla9,"PROV",[1]Tablas!$A$114,"SEFIS",N$16,"CANT",[1]Tablas!$A75),0)</f>
        <v>2</v>
      </c>
      <c r="O104" s="15">
        <f ca="1">IFERROR(GETPIVOTDATA("Cuenta de CANT",Tabla9,"PROV",[1]Tablas!$A$114,"SEFIS",O$16,"CANT",[1]Tablas!$A75),0)</f>
        <v>0</v>
      </c>
      <c r="P104" s="15">
        <f ca="1">IFERROR(GETPIVOTDATA("Cuenta de CANT",Tabla9,"PROV",[1]Tablas!$A$114,"SEFIS",P$16,"CANT",[1]Tablas!$A75),0)</f>
        <v>0</v>
      </c>
      <c r="Q104" s="15">
        <f ca="1">IFERROR(GETPIVOTDATA("Cuenta de CANT",Tabla9,"PROV",[1]Tablas!$A$114,"SEFIS",Q$16,"CANT",[1]Tablas!$A75),0)</f>
        <v>0</v>
      </c>
      <c r="R104" s="15">
        <f ca="1">IFERROR(GETPIVOTDATA("Cuenta de CANT",Tabla9,"PROV",[1]Tablas!$A$114,"SEFIS",R$16,"CANT",[1]Tablas!$A75),0)</f>
        <v>3</v>
      </c>
      <c r="S104" s="15">
        <f ca="1">IFERROR(GETPIVOTDATA("Cuenta de CANT",Tabla9,"PROV",[1]Tablas!$A$114,"SEFIS",S$16,"CANT",[1]Tablas!$A75),0)</f>
        <v>0</v>
      </c>
      <c r="T104" s="15">
        <f ca="1">IFERROR(GETPIVOTDATA("Cuenta de CANT",Tabla9,"PROV",[1]Tablas!$A$114,"SEFIS",T$16,"CANT",[1]Tablas!$A75),0)</f>
        <v>4</v>
      </c>
      <c r="U104" s="15">
        <f ca="1">IFERROR(GETPIVOTDATA("Cuenta de CANT",Tabla9,"PROV",[1]Tablas!$A$114,"SEFIS",U$16,"CANT",[1]Tablas!$A75),0)</f>
        <v>1</v>
      </c>
      <c r="V104" s="15">
        <f ca="1">IFERROR(GETPIVOTDATA("Cuenta de CANT",Tabla9,"PROV",[1]Tablas!$A$114,"SEFIS",V$16,"CANT",[1]Tablas!$A75),0)</f>
        <v>2</v>
      </c>
      <c r="W104" s="15">
        <f ca="1">IFERROR(GETPIVOTDATA("Cuenta de CANT",Tabla9,"PROV",[1]Tablas!$A$114,"SEFIS",W$16,"CANT",[1]Tablas!$A75),0)</f>
        <v>4</v>
      </c>
      <c r="X104" s="15">
        <f ca="1">IFERROR(GETPIVOTDATA("Cuenta de CANT",Tabla9,"PROV",[1]Tablas!$A$114,"SEFIS",X$16,"CANT",[1]Tablas!$A75),0)</f>
        <v>2</v>
      </c>
      <c r="Y104" s="15">
        <f ca="1">IFERROR(GETPIVOTDATA("Cuenta de CANT",Tabla9,"PROV",[1]Tablas!$A$114,"SEFIS",Y$16,"CANT",[1]Tablas!$A75),0)</f>
        <v>3</v>
      </c>
      <c r="Z104" s="15">
        <f ca="1">IFERROR(GETPIVOTDATA("Cuenta de CANT",Tabla9,"PROV",[1]Tablas!$A$114,"SEFIS",Z$16,"CANT",[1]Tablas!$A75),0)</f>
        <v>4</v>
      </c>
      <c r="AA104" s="15">
        <f ca="1">IFERROR(GETPIVOTDATA("Cuenta de CANT",Tabla9,"PROV",[1]Tablas!$A$114,"SEFIS",AA$16,"CANT",[1]Tablas!$A75),0)</f>
        <v>4</v>
      </c>
      <c r="AB104" s="15">
        <f ca="1">IFERROR(GETPIVOTDATA("Cuenta de CANT",Tabla9,"PROV",[1]Tablas!$A$114,"SEFIS",AB$16,"CANT",[1]Tablas!$A75),0)</f>
        <v>3</v>
      </c>
      <c r="AC104" s="15">
        <f ca="1">IFERROR(GETPIVOTDATA("Cuenta de CANT",Tabla9,"PROV",[1]Tablas!$A$114,"SEFIS",AC$16,"CANT",[1]Tablas!$A75),0)</f>
        <v>4</v>
      </c>
      <c r="AD104" s="15">
        <f ca="1">IFERROR(GETPIVOTDATA("Cuenta de CANT",Tabla9,"PROV",[1]Tablas!$A$114,"SEFIS",AD$16,"CANT",[1]Tablas!$A75),0)</f>
        <v>2</v>
      </c>
      <c r="AE104" s="15">
        <f ca="1">IFERROR(GETPIVOTDATA("Cuenta de CANT",Tabla9,"PROV",[1]Tablas!$A$114,"SEFIS",AE$16,"CANT",[1]Tablas!$A75),0)</f>
        <v>3</v>
      </c>
      <c r="AF104" s="15">
        <f ca="1">IFERROR(GETPIVOTDATA("Cuenta de CANT",Tabla9,"PROV",[1]Tablas!$A$114,"SEFIS",AF$16,"CANT",[1]Tablas!$A75),0)</f>
        <v>1</v>
      </c>
      <c r="AG104" s="15">
        <f ca="1">IFERROR(GETPIVOTDATA("Cuenta de CANT",Tabla9,"PROV",[1]Tablas!$A$114,"SEFIS",AG$16,"CANT",[1]Tablas!$A75),0)</f>
        <v>2</v>
      </c>
      <c r="AH104" s="15">
        <f ca="1">IFERROR(GETPIVOTDATA("Cuenta de CANT",Tabla9,"PROV",[1]Tablas!$A$114,"SEFIS",AH$16,"CANT",[1]Tablas!$A75),0)</f>
        <v>2</v>
      </c>
      <c r="AI104" s="15">
        <f ca="1">IFERROR(GETPIVOTDATA("Cuenta de CANT",Tabla9,"PROV",[1]Tablas!$A$114,"SEFIS",AI$16,"CANT",[1]Tablas!$A75),0)</f>
        <v>3</v>
      </c>
      <c r="AJ104" s="15">
        <f ca="1">IFERROR(GETPIVOTDATA("Cuenta de CANT",Tabla9,"PROV",[1]Tablas!$A$114,"SEFIS",AJ$16,"CANT",[1]Tablas!$A75),0)</f>
        <v>2</v>
      </c>
      <c r="AK104" s="15">
        <f ca="1">IFERROR(GETPIVOTDATA("Cuenta de CANT",Tabla9,"PROV",[1]Tablas!$A$114,"SEFIS",AK$16,"CANT",[1]Tablas!$A75),0)</f>
        <v>4</v>
      </c>
      <c r="AL104" s="15">
        <f ca="1">IFERROR(GETPIVOTDATA("Cuenta de CANT",Tabla9,"PROV",[1]Tablas!$A$114,"SEFIS",AL$16,"CANT",[1]Tablas!$A75),0)</f>
        <v>2</v>
      </c>
      <c r="AM104" s="15">
        <f ca="1">IFERROR(GETPIVOTDATA("Cuenta de CANT",Tabla9,"PROV",[1]Tablas!$A$114,"SEFIS",AM$16,"CANT",[1]Tablas!$A75),0)</f>
        <v>2</v>
      </c>
      <c r="AN104" s="15">
        <f ca="1">IFERROR(GETPIVOTDATA("Cuenta de CANT",Tabla9,"PROV",[1]Tablas!$A$114,"SEFIS",AN$16,"CANT",[1]Tablas!$A75),0)</f>
        <v>3</v>
      </c>
      <c r="AO104" s="15">
        <f ca="1">IFERROR(GETPIVOTDATA("Cuenta de CANT",Tabla9,"PROV",[1]Tablas!$A$114,"SEFIS",AO$16,"CANT",[1]Tablas!$A75),0)</f>
        <v>6</v>
      </c>
      <c r="AP104" s="15">
        <f ca="1">IFERROR(GETPIVOTDATA("Cuenta de CANT",Tabla9,"PROV",[1]Tablas!$A$114,"SEFIS",AP$16,"CANT",[1]Tablas!$A75),0)</f>
        <v>2</v>
      </c>
      <c r="AQ104" s="15">
        <f ca="1">IFERROR(GETPIVOTDATA("Cuenta de CANT",Tabla9,"PROV",[1]Tablas!$A$114,"SEFIS",AQ$16,"CANT",[1]Tablas!$A75),0)</f>
        <v>1</v>
      </c>
      <c r="AR104" s="15">
        <f ca="1">IFERROR(GETPIVOTDATA("Cuenta de CANT",Tabla9,"PROV",[1]Tablas!$A$114,"SEFIS",AR$16,"CANT",[1]Tablas!$A75),0)</f>
        <v>0</v>
      </c>
      <c r="AS104" s="15">
        <f ca="1">IFERROR(GETPIVOTDATA("Cuenta de CANT",Tabla9,"PROV",[1]Tablas!$A$114,"SEFIS",AS$16,"CANT",[1]Tablas!$A75),0)</f>
        <v>1</v>
      </c>
      <c r="AT104" s="15">
        <f ca="1">IFERROR(GETPIVOTDATA("Cuenta de CANT",Tabla9,"PROV",[1]Tablas!$A$114,"SEFIS",AT$16,"CANT",[1]Tablas!$A75),0)</f>
        <v>2</v>
      </c>
      <c r="AU104" s="15">
        <f ca="1">IFERROR(GETPIVOTDATA("Cuenta de CANT",Tabla9,"PROV",[1]Tablas!$A$114,"SEFIS",AU$16,"CANT",[1]Tablas!$A75),0)</f>
        <v>0</v>
      </c>
      <c r="AV104" s="15">
        <f ca="1">IFERROR(GETPIVOTDATA("Cuenta de CANT",Tabla9,"PROV",[1]Tablas!$A$114,"SEFIS",AV$16,"CANT",[1]Tablas!$A75),0)</f>
        <v>1</v>
      </c>
      <c r="AW104" s="15">
        <f ca="1">IFERROR(GETPIVOTDATA("Cuenta de CANT",Tabla9,"PROV",[1]Tablas!$A$114,"SEFIS",AW$16,"CANT",[1]Tablas!$A75),0)</f>
        <v>2</v>
      </c>
      <c r="AX104" s="15">
        <f ca="1">IFERROR(GETPIVOTDATA("Cuenta de CANT",Tabla9,"PROV",[1]Tablas!$A$114,"SEFIS",AX$16,"CANT",[1]Tablas!$A75),0)</f>
        <v>1</v>
      </c>
      <c r="AY104" s="15">
        <f ca="1">IFERROR(GETPIVOTDATA("Cuenta de CANT",Tabla9,"PROV",[1]Tablas!$A$114,"SEFIS",AY$16,"CANT",[1]Tablas!$A75),0)</f>
        <v>0</v>
      </c>
      <c r="AZ104" s="15">
        <f ca="1">IFERROR(GETPIVOTDATA("Cuenta de CANT",Tabla9,"PROV",[1]Tablas!$A$114,"SEFIS",AZ$16,"CANT",[1]Tablas!$A75),0)</f>
        <v>1</v>
      </c>
      <c r="BA104" s="15">
        <f ca="1">IFERROR(GETPIVOTDATA("Cuenta de CANT",Tabla9,"PROV",[1]Tablas!$A$114,"SEFIS",BA$16,"CANT",[1]Tablas!$A75),0)</f>
        <v>1</v>
      </c>
      <c r="BB104" s="15">
        <f ca="1">IFERROR(GETPIVOTDATA("Cuenta de CANT",Tabla9,"PROV",[1]Tablas!$A$114,"SEFIS",BB$16,"CANT",[1]Tablas!$A75),0)</f>
        <v>2</v>
      </c>
      <c r="BC104" s="15">
        <f ca="1">IFERROR(GETPIVOTDATA("Cuenta de CANT",Tabla9,"PROV",[1]Tablas!$A$114,"SEFIS",BC$16,"CANT",[1]Tablas!$A75),0)</f>
        <v>0</v>
      </c>
    </row>
    <row r="105" spans="1:55" x14ac:dyDescent="0.35">
      <c r="A105" s="14" t="s">
        <v>96</v>
      </c>
      <c r="B105" s="15">
        <f t="shared" ca="1" si="7"/>
        <v>42</v>
      </c>
      <c r="C105" s="16">
        <f ca="1">IFERROR(B105/[1]Tablas!$B76*100000,"N/D")</f>
        <v>92.754135288531614</v>
      </c>
      <c r="D105" s="15">
        <f ca="1">IFERROR(GETPIVOTDATA("Cuenta de CANT",Tabla9,"PROV",[1]Tablas!$A$114,"SEFIS",D$16,"CANT",[1]Tablas!$A76),0)</f>
        <v>4</v>
      </c>
      <c r="E105" s="15">
        <f ca="1">IFERROR(GETPIVOTDATA("Cuenta de CANT",Tabla9,"PROV",[1]Tablas!$A$114,"SEFIS",E$16,"CANT",[1]Tablas!$A76),0)</f>
        <v>0</v>
      </c>
      <c r="F105" s="15">
        <f ca="1">IFERROR(GETPIVOTDATA("Cuenta de CANT",Tabla9,"PROV",[1]Tablas!$A$114,"SEFIS",F$16,"CANT",[1]Tablas!$A76),0)</f>
        <v>1</v>
      </c>
      <c r="G105" s="15">
        <f ca="1">IFERROR(GETPIVOTDATA("Cuenta de CANT",Tabla9,"PROV",[1]Tablas!$A$114,"SEFIS",G$16,"CANT",[1]Tablas!$A76),0)</f>
        <v>1</v>
      </c>
      <c r="H105" s="15">
        <f ca="1">IFERROR(GETPIVOTDATA("Cuenta de CANT",Tabla9,"PROV",[1]Tablas!$A$114,"SEFIS",H$16,"CANT",[1]Tablas!$A76),0)</f>
        <v>2</v>
      </c>
      <c r="I105" s="15">
        <f ca="1">IFERROR(GETPIVOTDATA("Cuenta de CANT",Tabla9,"PROV",[1]Tablas!$A$114,"SEFIS",I$16,"CANT",[1]Tablas!$A76),0)</f>
        <v>2</v>
      </c>
      <c r="J105" s="15">
        <f ca="1">IFERROR(GETPIVOTDATA("Cuenta de CANT",Tabla9,"PROV",[1]Tablas!$A$114,"SEFIS",J$16,"CANT",[1]Tablas!$A76),0)</f>
        <v>0</v>
      </c>
      <c r="K105" s="15">
        <f ca="1">IFERROR(GETPIVOTDATA("Cuenta de CANT",Tabla9,"PROV",[1]Tablas!$A$114,"SEFIS",K$16,"CANT",[1]Tablas!$A76),0)</f>
        <v>0</v>
      </c>
      <c r="L105" s="15">
        <f ca="1">IFERROR(GETPIVOTDATA("Cuenta de CANT",Tabla9,"PROV",[1]Tablas!$A$114,"SEFIS",L$16,"CANT",[1]Tablas!$A76),0)</f>
        <v>1</v>
      </c>
      <c r="M105" s="15">
        <f ca="1">IFERROR(GETPIVOTDATA("Cuenta de CANT",Tabla9,"PROV",[1]Tablas!$A$114,"SEFIS",M$16,"CANT",[1]Tablas!$A76),0)</f>
        <v>1</v>
      </c>
      <c r="N105" s="15">
        <f ca="1">IFERROR(GETPIVOTDATA("Cuenta de CANT",Tabla9,"PROV",[1]Tablas!$A$114,"SEFIS",N$16,"CANT",[1]Tablas!$A76),0)</f>
        <v>3</v>
      </c>
      <c r="O105" s="15">
        <f ca="1">IFERROR(GETPIVOTDATA("Cuenta de CANT",Tabla9,"PROV",[1]Tablas!$A$114,"SEFIS",O$16,"CANT",[1]Tablas!$A76),0)</f>
        <v>1</v>
      </c>
      <c r="P105" s="15">
        <f ca="1">IFERROR(GETPIVOTDATA("Cuenta de CANT",Tabla9,"PROV",[1]Tablas!$A$114,"SEFIS",P$16,"CANT",[1]Tablas!$A76),0)</f>
        <v>3</v>
      </c>
      <c r="Q105" s="15">
        <f ca="1">IFERROR(GETPIVOTDATA("Cuenta de CANT",Tabla9,"PROV",[1]Tablas!$A$114,"SEFIS",Q$16,"CANT",[1]Tablas!$A76),0)</f>
        <v>1</v>
      </c>
      <c r="R105" s="15">
        <f ca="1">IFERROR(GETPIVOTDATA("Cuenta de CANT",Tabla9,"PROV",[1]Tablas!$A$114,"SEFIS",R$16,"CANT",[1]Tablas!$A76),0)</f>
        <v>2</v>
      </c>
      <c r="S105" s="15">
        <f ca="1">IFERROR(GETPIVOTDATA("Cuenta de CANT",Tabla9,"PROV",[1]Tablas!$A$114,"SEFIS",S$16,"CANT",[1]Tablas!$A76),0)</f>
        <v>1</v>
      </c>
      <c r="T105" s="15">
        <f ca="1">IFERROR(GETPIVOTDATA("Cuenta de CANT",Tabla9,"PROV",[1]Tablas!$A$114,"SEFIS",T$16,"CANT",[1]Tablas!$A76),0)</f>
        <v>0</v>
      </c>
      <c r="U105" s="15">
        <f ca="1">IFERROR(GETPIVOTDATA("Cuenta de CANT",Tabla9,"PROV",[1]Tablas!$A$114,"SEFIS",U$16,"CANT",[1]Tablas!$A76),0)</f>
        <v>1</v>
      </c>
      <c r="V105" s="15">
        <f ca="1">IFERROR(GETPIVOTDATA("Cuenta de CANT",Tabla9,"PROV",[1]Tablas!$A$114,"SEFIS",V$16,"CANT",[1]Tablas!$A76),0)</f>
        <v>1</v>
      </c>
      <c r="W105" s="15">
        <f ca="1">IFERROR(GETPIVOTDATA("Cuenta de CANT",Tabla9,"PROV",[1]Tablas!$A$114,"SEFIS",W$16,"CANT",[1]Tablas!$A76),0)</f>
        <v>2</v>
      </c>
      <c r="X105" s="15">
        <f ca="1">IFERROR(GETPIVOTDATA("Cuenta de CANT",Tabla9,"PROV",[1]Tablas!$A$114,"SEFIS",X$16,"CANT",[1]Tablas!$A76),0)</f>
        <v>0</v>
      </c>
      <c r="Y105" s="15">
        <f ca="1">IFERROR(GETPIVOTDATA("Cuenta de CANT",Tabla9,"PROV",[1]Tablas!$A$114,"SEFIS",Y$16,"CANT",[1]Tablas!$A76),0)</f>
        <v>2</v>
      </c>
      <c r="Z105" s="15">
        <f ca="1">IFERROR(GETPIVOTDATA("Cuenta de CANT",Tabla9,"PROV",[1]Tablas!$A$114,"SEFIS",Z$16,"CANT",[1]Tablas!$A76),0)</f>
        <v>0</v>
      </c>
      <c r="AA105" s="15">
        <f ca="1">IFERROR(GETPIVOTDATA("Cuenta de CANT",Tabla9,"PROV",[1]Tablas!$A$114,"SEFIS",AA$16,"CANT",[1]Tablas!$A76),0)</f>
        <v>1</v>
      </c>
      <c r="AB105" s="15">
        <f ca="1">IFERROR(GETPIVOTDATA("Cuenta de CANT",Tabla9,"PROV",[1]Tablas!$A$114,"SEFIS",AB$16,"CANT",[1]Tablas!$A76),0)</f>
        <v>0</v>
      </c>
      <c r="AC105" s="15">
        <f ca="1">IFERROR(GETPIVOTDATA("Cuenta de CANT",Tabla9,"PROV",[1]Tablas!$A$114,"SEFIS",AC$16,"CANT",[1]Tablas!$A76),0)</f>
        <v>0</v>
      </c>
      <c r="AD105" s="15">
        <f ca="1">IFERROR(GETPIVOTDATA("Cuenta de CANT",Tabla9,"PROV",[1]Tablas!$A$114,"SEFIS",AD$16,"CANT",[1]Tablas!$A76),0)</f>
        <v>0</v>
      </c>
      <c r="AE105" s="15">
        <f ca="1">IFERROR(GETPIVOTDATA("Cuenta de CANT",Tabla9,"PROV",[1]Tablas!$A$114,"SEFIS",AE$16,"CANT",[1]Tablas!$A76),0)</f>
        <v>1</v>
      </c>
      <c r="AF105" s="15">
        <f ca="1">IFERROR(GETPIVOTDATA("Cuenta de CANT",Tabla9,"PROV",[1]Tablas!$A$114,"SEFIS",AF$16,"CANT",[1]Tablas!$A76),0)</f>
        <v>2</v>
      </c>
      <c r="AG105" s="15">
        <f ca="1">IFERROR(GETPIVOTDATA("Cuenta de CANT",Tabla9,"PROV",[1]Tablas!$A$114,"SEFIS",AG$16,"CANT",[1]Tablas!$A76),0)</f>
        <v>0</v>
      </c>
      <c r="AH105" s="15">
        <f ca="1">IFERROR(GETPIVOTDATA("Cuenta de CANT",Tabla9,"PROV",[1]Tablas!$A$114,"SEFIS",AH$16,"CANT",[1]Tablas!$A76),0)</f>
        <v>1</v>
      </c>
      <c r="AI105" s="15">
        <f ca="1">IFERROR(GETPIVOTDATA("Cuenta de CANT",Tabla9,"PROV",[1]Tablas!$A$114,"SEFIS",AI$16,"CANT",[1]Tablas!$A76),0)</f>
        <v>1</v>
      </c>
      <c r="AJ105" s="15">
        <f ca="1">IFERROR(GETPIVOTDATA("Cuenta de CANT",Tabla9,"PROV",[1]Tablas!$A$114,"SEFIS",AJ$16,"CANT",[1]Tablas!$A76),0)</f>
        <v>1</v>
      </c>
      <c r="AK105" s="15">
        <f ca="1">IFERROR(GETPIVOTDATA("Cuenta de CANT",Tabla9,"PROV",[1]Tablas!$A$114,"SEFIS",AK$16,"CANT",[1]Tablas!$A76),0)</f>
        <v>0</v>
      </c>
      <c r="AL105" s="15">
        <f ca="1">IFERROR(GETPIVOTDATA("Cuenta de CANT",Tabla9,"PROV",[1]Tablas!$A$114,"SEFIS",AL$16,"CANT",[1]Tablas!$A76),0)</f>
        <v>1</v>
      </c>
      <c r="AM105" s="15">
        <f ca="1">IFERROR(GETPIVOTDATA("Cuenta de CANT",Tabla9,"PROV",[1]Tablas!$A$114,"SEFIS",AM$16,"CANT",[1]Tablas!$A76),0)</f>
        <v>0</v>
      </c>
      <c r="AN105" s="15">
        <f ca="1">IFERROR(GETPIVOTDATA("Cuenta de CANT",Tabla9,"PROV",[1]Tablas!$A$114,"SEFIS",AN$16,"CANT",[1]Tablas!$A76),0)</f>
        <v>0</v>
      </c>
      <c r="AO105" s="15">
        <f ca="1">IFERROR(GETPIVOTDATA("Cuenta de CANT",Tabla9,"PROV",[1]Tablas!$A$114,"SEFIS",AO$16,"CANT",[1]Tablas!$A76),0)</f>
        <v>0</v>
      </c>
      <c r="AP105" s="15">
        <f ca="1">IFERROR(GETPIVOTDATA("Cuenta de CANT",Tabla9,"PROV",[1]Tablas!$A$114,"SEFIS",AP$16,"CANT",[1]Tablas!$A76),0)</f>
        <v>0</v>
      </c>
      <c r="AQ105" s="15">
        <f ca="1">IFERROR(GETPIVOTDATA("Cuenta de CANT",Tabla9,"PROV",[1]Tablas!$A$114,"SEFIS",AQ$16,"CANT",[1]Tablas!$A76),0)</f>
        <v>1</v>
      </c>
      <c r="AR105" s="15">
        <f ca="1">IFERROR(GETPIVOTDATA("Cuenta de CANT",Tabla9,"PROV",[1]Tablas!$A$114,"SEFIS",AR$16,"CANT",[1]Tablas!$A76),0)</f>
        <v>0</v>
      </c>
      <c r="AS105" s="15">
        <f ca="1">IFERROR(GETPIVOTDATA("Cuenta de CANT",Tabla9,"PROV",[1]Tablas!$A$114,"SEFIS",AS$16,"CANT",[1]Tablas!$A76),0)</f>
        <v>0</v>
      </c>
      <c r="AT105" s="15">
        <f ca="1">IFERROR(GETPIVOTDATA("Cuenta de CANT",Tabla9,"PROV",[1]Tablas!$A$114,"SEFIS",AT$16,"CANT",[1]Tablas!$A76),0)</f>
        <v>0</v>
      </c>
      <c r="AU105" s="15">
        <f ca="1">IFERROR(GETPIVOTDATA("Cuenta de CANT",Tabla9,"PROV",[1]Tablas!$A$114,"SEFIS",AU$16,"CANT",[1]Tablas!$A76),0)</f>
        <v>0</v>
      </c>
      <c r="AV105" s="15">
        <f ca="1">IFERROR(GETPIVOTDATA("Cuenta de CANT",Tabla9,"PROV",[1]Tablas!$A$114,"SEFIS",AV$16,"CANT",[1]Tablas!$A76),0)</f>
        <v>0</v>
      </c>
      <c r="AW105" s="15">
        <f ca="1">IFERROR(GETPIVOTDATA("Cuenta de CANT",Tabla9,"PROV",[1]Tablas!$A$114,"SEFIS",AW$16,"CANT",[1]Tablas!$A76),0)</f>
        <v>0</v>
      </c>
      <c r="AX105" s="15">
        <f ca="1">IFERROR(GETPIVOTDATA("Cuenta de CANT",Tabla9,"PROV",[1]Tablas!$A$114,"SEFIS",AX$16,"CANT",[1]Tablas!$A76),0)</f>
        <v>1</v>
      </c>
      <c r="AY105" s="15">
        <f ca="1">IFERROR(GETPIVOTDATA("Cuenta de CANT",Tabla9,"PROV",[1]Tablas!$A$114,"SEFIS",AY$16,"CANT",[1]Tablas!$A76),0)</f>
        <v>1</v>
      </c>
      <c r="AZ105" s="15">
        <f ca="1">IFERROR(GETPIVOTDATA("Cuenta de CANT",Tabla9,"PROV",[1]Tablas!$A$114,"SEFIS",AZ$16,"CANT",[1]Tablas!$A76),0)</f>
        <v>0</v>
      </c>
      <c r="BA105" s="15">
        <f ca="1">IFERROR(GETPIVOTDATA("Cuenta de CANT",Tabla9,"PROV",[1]Tablas!$A$114,"SEFIS",BA$16,"CANT",[1]Tablas!$A76),0)</f>
        <v>0</v>
      </c>
      <c r="BB105" s="15">
        <f ca="1">IFERROR(GETPIVOTDATA("Cuenta de CANT",Tabla9,"PROV",[1]Tablas!$A$114,"SEFIS",BB$16,"CANT",[1]Tablas!$A76),0)</f>
        <v>2</v>
      </c>
      <c r="BC105" s="15">
        <f ca="1">IFERROR(GETPIVOTDATA("Cuenta de CANT",Tabla9,"PROV",[1]Tablas!$A$114,"SEFIS",BC$16,"CANT",[1]Tablas!$A76),0)</f>
        <v>0</v>
      </c>
    </row>
    <row r="106" spans="1:55" x14ac:dyDescent="0.35">
      <c r="A106" s="14" t="s">
        <v>97</v>
      </c>
      <c r="B106" s="15">
        <f t="shared" ca="1" si="7"/>
        <v>119</v>
      </c>
      <c r="C106" s="16">
        <f ca="1">IFERROR(B106/[1]Tablas!$B77*100000,"N/D")</f>
        <v>223.50775703392057</v>
      </c>
      <c r="D106" s="15">
        <f ca="1">IFERROR(GETPIVOTDATA("Cuenta de CANT",Tabla9,"PROV",[1]Tablas!$A$114,"SEFIS",D$16,"CANT",[1]Tablas!$A77),0)</f>
        <v>0</v>
      </c>
      <c r="E106" s="15">
        <f ca="1">IFERROR(GETPIVOTDATA("Cuenta de CANT",Tabla9,"PROV",[1]Tablas!$A$114,"SEFIS",E$16,"CANT",[1]Tablas!$A77),0)</f>
        <v>1</v>
      </c>
      <c r="F106" s="15">
        <f ca="1">IFERROR(GETPIVOTDATA("Cuenta de CANT",Tabla9,"PROV",[1]Tablas!$A$114,"SEFIS",F$16,"CANT",[1]Tablas!$A77),0)</f>
        <v>1</v>
      </c>
      <c r="G106" s="15">
        <f ca="1">IFERROR(GETPIVOTDATA("Cuenta de CANT",Tabla9,"PROV",[1]Tablas!$A$114,"SEFIS",G$16,"CANT",[1]Tablas!$A77),0)</f>
        <v>1</v>
      </c>
      <c r="H106" s="15">
        <f ca="1">IFERROR(GETPIVOTDATA("Cuenta de CANT",Tabla9,"PROV",[1]Tablas!$A$114,"SEFIS",H$16,"CANT",[1]Tablas!$A77),0)</f>
        <v>1</v>
      </c>
      <c r="I106" s="15">
        <f ca="1">IFERROR(GETPIVOTDATA("Cuenta de CANT",Tabla9,"PROV",[1]Tablas!$A$114,"SEFIS",I$16,"CANT",[1]Tablas!$A77),0)</f>
        <v>4</v>
      </c>
      <c r="J106" s="15">
        <f ca="1">IFERROR(GETPIVOTDATA("Cuenta de CANT",Tabla9,"PROV",[1]Tablas!$A$114,"SEFIS",J$16,"CANT",[1]Tablas!$A77),0)</f>
        <v>3</v>
      </c>
      <c r="K106" s="15">
        <f ca="1">IFERROR(GETPIVOTDATA("Cuenta de CANT",Tabla9,"PROV",[1]Tablas!$A$114,"SEFIS",K$16,"CANT",[1]Tablas!$A77),0)</f>
        <v>3</v>
      </c>
      <c r="L106" s="15">
        <f ca="1">IFERROR(GETPIVOTDATA("Cuenta de CANT",Tabla9,"PROV",[1]Tablas!$A$114,"SEFIS",L$16,"CANT",[1]Tablas!$A77),0)</f>
        <v>4</v>
      </c>
      <c r="M106" s="15">
        <f ca="1">IFERROR(GETPIVOTDATA("Cuenta de CANT",Tabla9,"PROV",[1]Tablas!$A$114,"SEFIS",M$16,"CANT",[1]Tablas!$A77),0)</f>
        <v>1</v>
      </c>
      <c r="N106" s="15">
        <f ca="1">IFERROR(GETPIVOTDATA("Cuenta de CANT",Tabla9,"PROV",[1]Tablas!$A$114,"SEFIS",N$16,"CANT",[1]Tablas!$A77),0)</f>
        <v>5</v>
      </c>
      <c r="O106" s="15">
        <f ca="1">IFERROR(GETPIVOTDATA("Cuenta de CANT",Tabla9,"PROV",[1]Tablas!$A$114,"SEFIS",O$16,"CANT",[1]Tablas!$A77),0)</f>
        <v>2</v>
      </c>
      <c r="P106" s="15">
        <f ca="1">IFERROR(GETPIVOTDATA("Cuenta de CANT",Tabla9,"PROV",[1]Tablas!$A$114,"SEFIS",P$16,"CANT",[1]Tablas!$A77),0)</f>
        <v>2</v>
      </c>
      <c r="Q106" s="15">
        <f ca="1">IFERROR(GETPIVOTDATA("Cuenta de CANT",Tabla9,"PROV",[1]Tablas!$A$114,"SEFIS",Q$16,"CANT",[1]Tablas!$A77),0)</f>
        <v>3</v>
      </c>
      <c r="R106" s="15">
        <f ca="1">IFERROR(GETPIVOTDATA("Cuenta de CANT",Tabla9,"PROV",[1]Tablas!$A$114,"SEFIS",R$16,"CANT",[1]Tablas!$A77),0)</f>
        <v>2</v>
      </c>
      <c r="S106" s="15">
        <f ca="1">IFERROR(GETPIVOTDATA("Cuenta de CANT",Tabla9,"PROV",[1]Tablas!$A$114,"SEFIS",S$16,"CANT",[1]Tablas!$A77),0)</f>
        <v>0</v>
      </c>
      <c r="T106" s="15">
        <f ca="1">IFERROR(GETPIVOTDATA("Cuenta de CANT",Tabla9,"PROV",[1]Tablas!$A$114,"SEFIS",T$16,"CANT",[1]Tablas!$A77),0)</f>
        <v>5</v>
      </c>
      <c r="U106" s="15">
        <f ca="1">IFERROR(GETPIVOTDATA("Cuenta de CANT",Tabla9,"PROV",[1]Tablas!$A$114,"SEFIS",U$16,"CANT",[1]Tablas!$A77),0)</f>
        <v>1</v>
      </c>
      <c r="V106" s="15">
        <f ca="1">IFERROR(GETPIVOTDATA("Cuenta de CANT",Tabla9,"PROV",[1]Tablas!$A$114,"SEFIS",V$16,"CANT",[1]Tablas!$A77),0)</f>
        <v>0</v>
      </c>
      <c r="W106" s="15">
        <f ca="1">IFERROR(GETPIVOTDATA("Cuenta de CANT",Tabla9,"PROV",[1]Tablas!$A$114,"SEFIS",W$16,"CANT",[1]Tablas!$A77),0)</f>
        <v>0</v>
      </c>
      <c r="X106" s="15">
        <f ca="1">IFERROR(GETPIVOTDATA("Cuenta de CANT",Tabla9,"PROV",[1]Tablas!$A$114,"SEFIS",X$16,"CANT",[1]Tablas!$A77),0)</f>
        <v>3</v>
      </c>
      <c r="Y106" s="15">
        <f ca="1">IFERROR(GETPIVOTDATA("Cuenta de CANT",Tabla9,"PROV",[1]Tablas!$A$114,"SEFIS",Y$16,"CANT",[1]Tablas!$A77),0)</f>
        <v>0</v>
      </c>
      <c r="Z106" s="15">
        <f ca="1">IFERROR(GETPIVOTDATA("Cuenta de CANT",Tabla9,"PROV",[1]Tablas!$A$114,"SEFIS",Z$16,"CANT",[1]Tablas!$A77),0)</f>
        <v>1</v>
      </c>
      <c r="AA106" s="15">
        <f ca="1">IFERROR(GETPIVOTDATA("Cuenta de CANT",Tabla9,"PROV",[1]Tablas!$A$114,"SEFIS",AA$16,"CANT",[1]Tablas!$A77),0)</f>
        <v>0</v>
      </c>
      <c r="AB106" s="15">
        <f ca="1">IFERROR(GETPIVOTDATA("Cuenta de CANT",Tabla9,"PROV",[1]Tablas!$A$114,"SEFIS",AB$16,"CANT",[1]Tablas!$A77),0)</f>
        <v>2</v>
      </c>
      <c r="AC106" s="15">
        <f ca="1">IFERROR(GETPIVOTDATA("Cuenta de CANT",Tabla9,"PROV",[1]Tablas!$A$114,"SEFIS",AC$16,"CANT",[1]Tablas!$A77),0)</f>
        <v>5</v>
      </c>
      <c r="AD106" s="15">
        <f ca="1">IFERROR(GETPIVOTDATA("Cuenta de CANT",Tabla9,"PROV",[1]Tablas!$A$114,"SEFIS",AD$16,"CANT",[1]Tablas!$A77),0)</f>
        <v>2</v>
      </c>
      <c r="AE106" s="15">
        <f ca="1">IFERROR(GETPIVOTDATA("Cuenta de CANT",Tabla9,"PROV",[1]Tablas!$A$114,"SEFIS",AE$16,"CANT",[1]Tablas!$A77),0)</f>
        <v>5</v>
      </c>
      <c r="AF106" s="15">
        <f ca="1">IFERROR(GETPIVOTDATA("Cuenta de CANT",Tabla9,"PROV",[1]Tablas!$A$114,"SEFIS",AF$16,"CANT",[1]Tablas!$A77),0)</f>
        <v>4</v>
      </c>
      <c r="AG106" s="15">
        <f ca="1">IFERROR(GETPIVOTDATA("Cuenta de CANT",Tabla9,"PROV",[1]Tablas!$A$114,"SEFIS",AG$16,"CANT",[1]Tablas!$A77),0)</f>
        <v>2</v>
      </c>
      <c r="AH106" s="15">
        <f ca="1">IFERROR(GETPIVOTDATA("Cuenta de CANT",Tabla9,"PROV",[1]Tablas!$A$114,"SEFIS",AH$16,"CANT",[1]Tablas!$A77),0)</f>
        <v>4</v>
      </c>
      <c r="AI106" s="15">
        <f ca="1">IFERROR(GETPIVOTDATA("Cuenta de CANT",Tabla9,"PROV",[1]Tablas!$A$114,"SEFIS",AI$16,"CANT",[1]Tablas!$A77),0)</f>
        <v>1</v>
      </c>
      <c r="AJ106" s="15">
        <f ca="1">IFERROR(GETPIVOTDATA("Cuenta de CANT",Tabla9,"PROV",[1]Tablas!$A$114,"SEFIS",AJ$16,"CANT",[1]Tablas!$A77),0)</f>
        <v>1</v>
      </c>
      <c r="AK106" s="15">
        <f ca="1">IFERROR(GETPIVOTDATA("Cuenta de CANT",Tabla9,"PROV",[1]Tablas!$A$114,"SEFIS",AK$16,"CANT",[1]Tablas!$A77),0)</f>
        <v>0</v>
      </c>
      <c r="AL106" s="15">
        <f ca="1">IFERROR(GETPIVOTDATA("Cuenta de CANT",Tabla9,"PROV",[1]Tablas!$A$114,"SEFIS",AL$16,"CANT",[1]Tablas!$A77),0)</f>
        <v>0</v>
      </c>
      <c r="AM106" s="15">
        <f ca="1">IFERROR(GETPIVOTDATA("Cuenta de CANT",Tabla9,"PROV",[1]Tablas!$A$114,"SEFIS",AM$16,"CANT",[1]Tablas!$A77),0)</f>
        <v>1</v>
      </c>
      <c r="AN106" s="15">
        <f ca="1">IFERROR(GETPIVOTDATA("Cuenta de CANT",Tabla9,"PROV",[1]Tablas!$A$114,"SEFIS",AN$16,"CANT",[1]Tablas!$A77),0)</f>
        <v>1</v>
      </c>
      <c r="AO106" s="15">
        <f ca="1">IFERROR(GETPIVOTDATA("Cuenta de CANT",Tabla9,"PROV",[1]Tablas!$A$114,"SEFIS",AO$16,"CANT",[1]Tablas!$A77),0)</f>
        <v>3</v>
      </c>
      <c r="AP106" s="15">
        <f ca="1">IFERROR(GETPIVOTDATA("Cuenta de CANT",Tabla9,"PROV",[1]Tablas!$A$114,"SEFIS",AP$16,"CANT",[1]Tablas!$A77),0)</f>
        <v>2</v>
      </c>
      <c r="AQ106" s="15">
        <f ca="1">IFERROR(GETPIVOTDATA("Cuenta de CANT",Tabla9,"PROV",[1]Tablas!$A$114,"SEFIS",AQ$16,"CANT",[1]Tablas!$A77),0)</f>
        <v>6</v>
      </c>
      <c r="AR106" s="15">
        <f ca="1">IFERROR(GETPIVOTDATA("Cuenta de CANT",Tabla9,"PROV",[1]Tablas!$A$114,"SEFIS",AR$16,"CANT",[1]Tablas!$A77),0)</f>
        <v>3</v>
      </c>
      <c r="AS106" s="15">
        <f ca="1">IFERROR(GETPIVOTDATA("Cuenta de CANT",Tabla9,"PROV",[1]Tablas!$A$114,"SEFIS",AS$16,"CANT",[1]Tablas!$A77),0)</f>
        <v>3</v>
      </c>
      <c r="AT106" s="15">
        <f ca="1">IFERROR(GETPIVOTDATA("Cuenta de CANT",Tabla9,"PROV",[1]Tablas!$A$114,"SEFIS",AT$16,"CANT",[1]Tablas!$A77),0)</f>
        <v>3</v>
      </c>
      <c r="AU106" s="15">
        <f ca="1">IFERROR(GETPIVOTDATA("Cuenta de CANT",Tabla9,"PROV",[1]Tablas!$A$114,"SEFIS",AU$16,"CANT",[1]Tablas!$A77),0)</f>
        <v>3</v>
      </c>
      <c r="AV106" s="15">
        <f ca="1">IFERROR(GETPIVOTDATA("Cuenta de CANT",Tabla9,"PROV",[1]Tablas!$A$114,"SEFIS",AV$16,"CANT",[1]Tablas!$A77),0)</f>
        <v>2</v>
      </c>
      <c r="AW106" s="15">
        <f ca="1">IFERROR(GETPIVOTDATA("Cuenta de CANT",Tabla9,"PROV",[1]Tablas!$A$114,"SEFIS",AW$16,"CANT",[1]Tablas!$A77),0)</f>
        <v>2</v>
      </c>
      <c r="AX106" s="15">
        <f ca="1">IFERROR(GETPIVOTDATA("Cuenta de CANT",Tabla9,"PROV",[1]Tablas!$A$114,"SEFIS",AX$16,"CANT",[1]Tablas!$A77),0)</f>
        <v>5</v>
      </c>
      <c r="AY106" s="15">
        <f ca="1">IFERROR(GETPIVOTDATA("Cuenta de CANT",Tabla9,"PROV",[1]Tablas!$A$114,"SEFIS",AY$16,"CANT",[1]Tablas!$A77),0)</f>
        <v>4</v>
      </c>
      <c r="AZ106" s="15">
        <f ca="1">IFERROR(GETPIVOTDATA("Cuenta de CANT",Tabla9,"PROV",[1]Tablas!$A$114,"SEFIS",AZ$16,"CANT",[1]Tablas!$A77),0)</f>
        <v>2</v>
      </c>
      <c r="BA106" s="15">
        <f ca="1">IFERROR(GETPIVOTDATA("Cuenta de CANT",Tabla9,"PROV",[1]Tablas!$A$114,"SEFIS",BA$16,"CANT",[1]Tablas!$A77),0)</f>
        <v>5</v>
      </c>
      <c r="BB106" s="15">
        <f ca="1">IFERROR(GETPIVOTDATA("Cuenta de CANT",Tabla9,"PROV",[1]Tablas!$A$114,"SEFIS",BB$16,"CANT",[1]Tablas!$A77),0)</f>
        <v>2</v>
      </c>
      <c r="BC106" s="15">
        <f ca="1">IFERROR(GETPIVOTDATA("Cuenta de CANT",Tabla9,"PROV",[1]Tablas!$A$114,"SEFIS",BC$16,"CANT",[1]Tablas!$A77),0)</f>
        <v>3</v>
      </c>
    </row>
    <row r="107" spans="1:55" x14ac:dyDescent="0.35">
      <c r="A107" s="14"/>
      <c r="B107" s="12"/>
      <c r="C107" s="13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  <c r="BC107" s="2"/>
    </row>
    <row r="108" spans="1:55" x14ac:dyDescent="0.35">
      <c r="A108" s="14" t="s">
        <v>98</v>
      </c>
      <c r="B108" s="10">
        <f t="shared" ca="1" si="7"/>
        <v>0</v>
      </c>
      <c r="C108" s="13"/>
      <c r="D108" s="15">
        <f ca="1">IFERROR(GETPIVOTDATA("Cuenta de CANT",Tabla9,"PROV",[1]Tablas!$A$27,"SEFIS",D$16,"CANT",[1]Tablas!$A79),0)+IFERROR(GETPIVOTDATA("Cuenta de CANT",Tabla9,"PROV",[1]Tablas!$A$49,"SEFIS",D$16,"CANT",[1]Tablas!$A79),0)+IFERROR(GETPIVOTDATA("Cuenta de CANT",Tabla9,"PROV",[1]Tablas!$A$66,"SEFIS",D$16,"CANT",[1]Tablas!$A79),0)+IFERROR(GETPIVOTDATA("Cuenta de CANT",Tabla9,"PROV",[1]Tablas!$A$76,"SEFIS",D$16,"CANT",[1]Tablas!$A79),0)+IFERROR(GETPIVOTDATA("Cuenta de CANT",Tabla9,"PROV",[1]Tablas!$A$88,"SEFIS",D$16,"CANT",[1]Tablas!$A79),0)+IFERROR(GETPIVOTDATA("Cuenta de CANT",Tabla9,"PROV",[1]Tablas!$A$101,"SEFIS",D$16,"CANT",[1]Tablas!$A79),0)+IFERROR(GETPIVOTDATA("Cuenta de CANT",Tabla9,"PROV",[1]Tablas!$A$114,"SEFIS",D$16,"CANT",[1]Tablas!$A79),0)</f>
        <v>0</v>
      </c>
      <c r="E108" s="15">
        <f ca="1">IFERROR(GETPIVOTDATA("Cuenta de CANT",Tabla9,"PROV",[1]Tablas!$A$27,"SEFIS",E$16,"CANT",[1]Tablas!$A79),0)+IFERROR(GETPIVOTDATA("Cuenta de CANT",Tabla9,"PROV",[1]Tablas!$A$49,"SEFIS",E$16,"CANT",[1]Tablas!$A79),0)+IFERROR(GETPIVOTDATA("Cuenta de CANT",Tabla9,"PROV",[1]Tablas!$A$66,"SEFIS",E$16,"CANT",[1]Tablas!$A79),0)+IFERROR(GETPIVOTDATA("Cuenta de CANT",Tabla9,"PROV",[1]Tablas!$A$76,"SEFIS",E$16,"CANT",[1]Tablas!$A79),0)+IFERROR(GETPIVOTDATA("Cuenta de CANT",Tabla9,"PROV",[1]Tablas!$A$88,"SEFIS",E$16,"CANT",[1]Tablas!$A79),0)+IFERROR(GETPIVOTDATA("Cuenta de CANT",Tabla9,"PROV",[1]Tablas!$A$101,"SEFIS",E$16,"CANT",[1]Tablas!$A79),0)+IFERROR(GETPIVOTDATA("Cuenta de CANT",Tabla9,"PROV",[1]Tablas!$A$114,"SEFIS",E$16,"CANT",[1]Tablas!$A79),0)</f>
        <v>0</v>
      </c>
      <c r="F108" s="15">
        <f ca="1">IFERROR(GETPIVOTDATA("Cuenta de CANT",Tabla9,"PROV",[1]Tablas!$A$27,"SEFIS",F$16,"CANT",[1]Tablas!$A79),0)+IFERROR(GETPIVOTDATA("Cuenta de CANT",Tabla9,"PROV",[1]Tablas!$A$49,"SEFIS",F$16,"CANT",[1]Tablas!$A79),0)+IFERROR(GETPIVOTDATA("Cuenta de CANT",Tabla9,"PROV",[1]Tablas!$A$66,"SEFIS",F$16,"CANT",[1]Tablas!$A79),0)+IFERROR(GETPIVOTDATA("Cuenta de CANT",Tabla9,"PROV",[1]Tablas!$A$76,"SEFIS",F$16,"CANT",[1]Tablas!$A79),0)+IFERROR(GETPIVOTDATA("Cuenta de CANT",Tabla9,"PROV",[1]Tablas!$A$88,"SEFIS",F$16,"CANT",[1]Tablas!$A79),0)+IFERROR(GETPIVOTDATA("Cuenta de CANT",Tabla9,"PROV",[1]Tablas!$A$101,"SEFIS",F$16,"CANT",[1]Tablas!$A79),0)+IFERROR(GETPIVOTDATA("Cuenta de CANT",Tabla9,"PROV",[1]Tablas!$A$114,"SEFIS",F$16,"CANT",[1]Tablas!$A79),0)</f>
        <v>0</v>
      </c>
      <c r="G108" s="15">
        <f ca="1">IFERROR(GETPIVOTDATA("Cuenta de CANT",Tabla9,"PROV",[1]Tablas!$A$27,"SEFIS",G$16,"CANT",[1]Tablas!$A79),0)+IFERROR(GETPIVOTDATA("Cuenta de CANT",Tabla9,"PROV",[1]Tablas!$A$49,"SEFIS",G$16,"CANT",[1]Tablas!$A79),0)+IFERROR(GETPIVOTDATA("Cuenta de CANT",Tabla9,"PROV",[1]Tablas!$A$66,"SEFIS",G$16,"CANT",[1]Tablas!$A79),0)+IFERROR(GETPIVOTDATA("Cuenta de CANT",Tabla9,"PROV",[1]Tablas!$A$76,"SEFIS",G$16,"CANT",[1]Tablas!$A79),0)+IFERROR(GETPIVOTDATA("Cuenta de CANT",Tabla9,"PROV",[1]Tablas!$A$88,"SEFIS",G$16,"CANT",[1]Tablas!$A79),0)+IFERROR(GETPIVOTDATA("Cuenta de CANT",Tabla9,"PROV",[1]Tablas!$A$101,"SEFIS",G$16,"CANT",[1]Tablas!$A79),0)+IFERROR(GETPIVOTDATA("Cuenta de CANT",Tabla9,"PROV",[1]Tablas!$A$114,"SEFIS",G$16,"CANT",[1]Tablas!$A79),0)</f>
        <v>0</v>
      </c>
      <c r="H108" s="15">
        <f ca="1">IFERROR(GETPIVOTDATA("Cuenta de CANT",Tabla9,"PROV",[1]Tablas!$A$27,"SEFIS",H$16,"CANT",[1]Tablas!$A79),0)+IFERROR(GETPIVOTDATA("Cuenta de CANT",Tabla9,"PROV",[1]Tablas!$A$49,"SEFIS",H$16,"CANT",[1]Tablas!$A79),0)+IFERROR(GETPIVOTDATA("Cuenta de CANT",Tabla9,"PROV",[1]Tablas!$A$66,"SEFIS",H$16,"CANT",[1]Tablas!$A79),0)+IFERROR(GETPIVOTDATA("Cuenta de CANT",Tabla9,"PROV",[1]Tablas!$A$76,"SEFIS",H$16,"CANT",[1]Tablas!$A79),0)+IFERROR(GETPIVOTDATA("Cuenta de CANT",Tabla9,"PROV",[1]Tablas!$A$88,"SEFIS",H$16,"CANT",[1]Tablas!$A79),0)+IFERROR(GETPIVOTDATA("Cuenta de CANT",Tabla9,"PROV",[1]Tablas!$A$101,"SEFIS",H$16,"CANT",[1]Tablas!$A79),0)+IFERROR(GETPIVOTDATA("Cuenta de CANT",Tabla9,"PROV",[1]Tablas!$A$114,"SEFIS",H$16,"CANT",[1]Tablas!$A79),0)</f>
        <v>0</v>
      </c>
      <c r="I108" s="15">
        <f ca="1">IFERROR(GETPIVOTDATA("Cuenta de CANT",Tabla9,"PROV",[1]Tablas!$A$27,"SEFIS",I$16,"CANT",[1]Tablas!$A79),0)+IFERROR(GETPIVOTDATA("Cuenta de CANT",Tabla9,"PROV",[1]Tablas!$A$49,"SEFIS",I$16,"CANT",[1]Tablas!$A79),0)+IFERROR(GETPIVOTDATA("Cuenta de CANT",Tabla9,"PROV",[1]Tablas!$A$66,"SEFIS",I$16,"CANT",[1]Tablas!$A79),0)+IFERROR(GETPIVOTDATA("Cuenta de CANT",Tabla9,"PROV",[1]Tablas!$A$76,"SEFIS",I$16,"CANT",[1]Tablas!$A79),0)+IFERROR(GETPIVOTDATA("Cuenta de CANT",Tabla9,"PROV",[1]Tablas!$A$88,"SEFIS",I$16,"CANT",[1]Tablas!$A79),0)+IFERROR(GETPIVOTDATA("Cuenta de CANT",Tabla9,"PROV",[1]Tablas!$A$101,"SEFIS",I$16,"CANT",[1]Tablas!$A79),0)+IFERROR(GETPIVOTDATA("Cuenta de CANT",Tabla9,"PROV",[1]Tablas!$A$114,"SEFIS",I$16,"CANT",[1]Tablas!$A79),0)</f>
        <v>0</v>
      </c>
      <c r="J108" s="15">
        <f ca="1">IFERROR(GETPIVOTDATA("Cuenta de CANT",Tabla9,"PROV",[1]Tablas!$A$27,"SEFIS",J$16,"CANT",[1]Tablas!$A79),0)+IFERROR(GETPIVOTDATA("Cuenta de CANT",Tabla9,"PROV",[1]Tablas!$A$49,"SEFIS",J$16,"CANT",[1]Tablas!$A79),0)+IFERROR(GETPIVOTDATA("Cuenta de CANT",Tabla9,"PROV",[1]Tablas!$A$66,"SEFIS",J$16,"CANT",[1]Tablas!$A79),0)+IFERROR(GETPIVOTDATA("Cuenta de CANT",Tabla9,"PROV",[1]Tablas!$A$76,"SEFIS",J$16,"CANT",[1]Tablas!$A79),0)+IFERROR(GETPIVOTDATA("Cuenta de CANT",Tabla9,"PROV",[1]Tablas!$A$88,"SEFIS",J$16,"CANT",[1]Tablas!$A79),0)+IFERROR(GETPIVOTDATA("Cuenta de CANT",Tabla9,"PROV",[1]Tablas!$A$101,"SEFIS",J$16,"CANT",[1]Tablas!$A79),0)+IFERROR(GETPIVOTDATA("Cuenta de CANT",Tabla9,"PROV",[1]Tablas!$A$114,"SEFIS",J$16,"CANT",[1]Tablas!$A79),0)</f>
        <v>0</v>
      </c>
      <c r="K108" s="15">
        <f ca="1">IFERROR(GETPIVOTDATA("Cuenta de CANT",Tabla9,"PROV",[1]Tablas!$A$27,"SEFIS",K$16,"CANT",[1]Tablas!$A79),0)+IFERROR(GETPIVOTDATA("Cuenta de CANT",Tabla9,"PROV",[1]Tablas!$A$49,"SEFIS",K$16,"CANT",[1]Tablas!$A79),0)+IFERROR(GETPIVOTDATA("Cuenta de CANT",Tabla9,"PROV",[1]Tablas!$A$66,"SEFIS",K$16,"CANT",[1]Tablas!$A79),0)+IFERROR(GETPIVOTDATA("Cuenta de CANT",Tabla9,"PROV",[1]Tablas!$A$76,"SEFIS",K$16,"CANT",[1]Tablas!$A79),0)+IFERROR(GETPIVOTDATA("Cuenta de CANT",Tabla9,"PROV",[1]Tablas!$A$88,"SEFIS",K$16,"CANT",[1]Tablas!$A79),0)+IFERROR(GETPIVOTDATA("Cuenta de CANT",Tabla9,"PROV",[1]Tablas!$A$101,"SEFIS",K$16,"CANT",[1]Tablas!$A79),0)+IFERROR(GETPIVOTDATA("Cuenta de CANT",Tabla9,"PROV",[1]Tablas!$A$114,"SEFIS",K$16,"CANT",[1]Tablas!$A79),0)</f>
        <v>0</v>
      </c>
      <c r="L108" s="15">
        <f ca="1">IFERROR(GETPIVOTDATA("Cuenta de CANT",Tabla9,"PROV",[1]Tablas!$A$27,"SEFIS",L$16,"CANT",[1]Tablas!$A79),0)+IFERROR(GETPIVOTDATA("Cuenta de CANT",Tabla9,"PROV",[1]Tablas!$A$49,"SEFIS",L$16,"CANT",[1]Tablas!$A79),0)+IFERROR(GETPIVOTDATA("Cuenta de CANT",Tabla9,"PROV",[1]Tablas!$A$66,"SEFIS",L$16,"CANT",[1]Tablas!$A79),0)+IFERROR(GETPIVOTDATA("Cuenta de CANT",Tabla9,"PROV",[1]Tablas!$A$76,"SEFIS",L$16,"CANT",[1]Tablas!$A79),0)+IFERROR(GETPIVOTDATA("Cuenta de CANT",Tabla9,"PROV",[1]Tablas!$A$88,"SEFIS",L$16,"CANT",[1]Tablas!$A79),0)+IFERROR(GETPIVOTDATA("Cuenta de CANT",Tabla9,"PROV",[1]Tablas!$A$101,"SEFIS",L$16,"CANT",[1]Tablas!$A79),0)+IFERROR(GETPIVOTDATA("Cuenta de CANT",Tabla9,"PROV",[1]Tablas!$A$114,"SEFIS",L$16,"CANT",[1]Tablas!$A79),0)</f>
        <v>0</v>
      </c>
      <c r="M108" s="15">
        <f ca="1">IFERROR(GETPIVOTDATA("Cuenta de CANT",Tabla9,"PROV",[1]Tablas!$A$27,"SEFIS",M$16,"CANT",[1]Tablas!$A79),0)+IFERROR(GETPIVOTDATA("Cuenta de CANT",Tabla9,"PROV",[1]Tablas!$A$49,"SEFIS",M$16,"CANT",[1]Tablas!$A79),0)+IFERROR(GETPIVOTDATA("Cuenta de CANT",Tabla9,"PROV",[1]Tablas!$A$66,"SEFIS",M$16,"CANT",[1]Tablas!$A79),0)+IFERROR(GETPIVOTDATA("Cuenta de CANT",Tabla9,"PROV",[1]Tablas!$A$76,"SEFIS",M$16,"CANT",[1]Tablas!$A79),0)+IFERROR(GETPIVOTDATA("Cuenta de CANT",Tabla9,"PROV",[1]Tablas!$A$88,"SEFIS",M$16,"CANT",[1]Tablas!$A79),0)+IFERROR(GETPIVOTDATA("Cuenta de CANT",Tabla9,"PROV",[1]Tablas!$A$101,"SEFIS",M$16,"CANT",[1]Tablas!$A79),0)+IFERROR(GETPIVOTDATA("Cuenta de CANT",Tabla9,"PROV",[1]Tablas!$A$114,"SEFIS",M$16,"CANT",[1]Tablas!$A79),0)</f>
        <v>0</v>
      </c>
      <c r="N108" s="15">
        <f ca="1">IFERROR(GETPIVOTDATA("Cuenta de CANT",Tabla9,"PROV",[1]Tablas!$A$27,"SEFIS",N$16,"CANT",[1]Tablas!$A79),0)+IFERROR(GETPIVOTDATA("Cuenta de CANT",Tabla9,"PROV",[1]Tablas!$A$49,"SEFIS",N$16,"CANT",[1]Tablas!$A79),0)+IFERROR(GETPIVOTDATA("Cuenta de CANT",Tabla9,"PROV",[1]Tablas!$A$66,"SEFIS",N$16,"CANT",[1]Tablas!$A79),0)+IFERROR(GETPIVOTDATA("Cuenta de CANT",Tabla9,"PROV",[1]Tablas!$A$76,"SEFIS",N$16,"CANT",[1]Tablas!$A79),0)+IFERROR(GETPIVOTDATA("Cuenta de CANT",Tabla9,"PROV",[1]Tablas!$A$88,"SEFIS",N$16,"CANT",[1]Tablas!$A79),0)+IFERROR(GETPIVOTDATA("Cuenta de CANT",Tabla9,"PROV",[1]Tablas!$A$101,"SEFIS",N$16,"CANT",[1]Tablas!$A79),0)+IFERROR(GETPIVOTDATA("Cuenta de CANT",Tabla9,"PROV",[1]Tablas!$A$114,"SEFIS",N$16,"CANT",[1]Tablas!$A79),0)</f>
        <v>0</v>
      </c>
      <c r="O108" s="15">
        <f ca="1">IFERROR(GETPIVOTDATA("Cuenta de CANT",Tabla9,"PROV",[1]Tablas!$A$27,"SEFIS",O$16,"CANT",[1]Tablas!$A79),0)+IFERROR(GETPIVOTDATA("Cuenta de CANT",Tabla9,"PROV",[1]Tablas!$A$49,"SEFIS",O$16,"CANT",[1]Tablas!$A79),0)+IFERROR(GETPIVOTDATA("Cuenta de CANT",Tabla9,"PROV",[1]Tablas!$A$66,"SEFIS",O$16,"CANT",[1]Tablas!$A79),0)+IFERROR(GETPIVOTDATA("Cuenta de CANT",Tabla9,"PROV",[1]Tablas!$A$76,"SEFIS",O$16,"CANT",[1]Tablas!$A79),0)+IFERROR(GETPIVOTDATA("Cuenta de CANT",Tabla9,"PROV",[1]Tablas!$A$88,"SEFIS",O$16,"CANT",[1]Tablas!$A79),0)+IFERROR(GETPIVOTDATA("Cuenta de CANT",Tabla9,"PROV",[1]Tablas!$A$101,"SEFIS",O$16,"CANT",[1]Tablas!$A79),0)+IFERROR(GETPIVOTDATA("Cuenta de CANT",Tabla9,"PROV",[1]Tablas!$A$114,"SEFIS",O$16,"CANT",[1]Tablas!$A79),0)</f>
        <v>0</v>
      </c>
      <c r="P108" s="15">
        <f ca="1">IFERROR(GETPIVOTDATA("Cuenta de CANT",Tabla9,"PROV",[1]Tablas!$A$27,"SEFIS",P$16,"CANT",[1]Tablas!$A79),0)+IFERROR(GETPIVOTDATA("Cuenta de CANT",Tabla9,"PROV",[1]Tablas!$A$49,"SEFIS",P$16,"CANT",[1]Tablas!$A79),0)+IFERROR(GETPIVOTDATA("Cuenta de CANT",Tabla9,"PROV",[1]Tablas!$A$66,"SEFIS",P$16,"CANT",[1]Tablas!$A79),0)+IFERROR(GETPIVOTDATA("Cuenta de CANT",Tabla9,"PROV",[1]Tablas!$A$76,"SEFIS",P$16,"CANT",[1]Tablas!$A79),0)+IFERROR(GETPIVOTDATA("Cuenta de CANT",Tabla9,"PROV",[1]Tablas!$A$88,"SEFIS",P$16,"CANT",[1]Tablas!$A79),0)+IFERROR(GETPIVOTDATA("Cuenta de CANT",Tabla9,"PROV",[1]Tablas!$A$101,"SEFIS",P$16,"CANT",[1]Tablas!$A79),0)+IFERROR(GETPIVOTDATA("Cuenta de CANT",Tabla9,"PROV",[1]Tablas!$A$114,"SEFIS",P$16,"CANT",[1]Tablas!$A79),0)</f>
        <v>0</v>
      </c>
      <c r="Q108" s="15">
        <f ca="1">IFERROR(GETPIVOTDATA("Cuenta de CANT",Tabla9,"PROV",[1]Tablas!$A$27,"SEFIS",Q$16,"CANT",[1]Tablas!$A79),0)+IFERROR(GETPIVOTDATA("Cuenta de CANT",Tabla9,"PROV",[1]Tablas!$A$49,"SEFIS",Q$16,"CANT",[1]Tablas!$A79),0)+IFERROR(GETPIVOTDATA("Cuenta de CANT",Tabla9,"PROV",[1]Tablas!$A$66,"SEFIS",Q$16,"CANT",[1]Tablas!$A79),0)+IFERROR(GETPIVOTDATA("Cuenta de CANT",Tabla9,"PROV",[1]Tablas!$A$76,"SEFIS",Q$16,"CANT",[1]Tablas!$A79),0)+IFERROR(GETPIVOTDATA("Cuenta de CANT",Tabla9,"PROV",[1]Tablas!$A$88,"SEFIS",Q$16,"CANT",[1]Tablas!$A79),0)+IFERROR(GETPIVOTDATA("Cuenta de CANT",Tabla9,"PROV",[1]Tablas!$A$101,"SEFIS",Q$16,"CANT",[1]Tablas!$A79),0)+IFERROR(GETPIVOTDATA("Cuenta de CANT",Tabla9,"PROV",[1]Tablas!$A$114,"SEFIS",Q$16,"CANT",[1]Tablas!$A79),0)</f>
        <v>0</v>
      </c>
      <c r="R108" s="15">
        <f ca="1">IFERROR(GETPIVOTDATA("Cuenta de CANT",Tabla9,"PROV",[1]Tablas!$A$27,"SEFIS",R$16,"CANT",[1]Tablas!$A79),0)+IFERROR(GETPIVOTDATA("Cuenta de CANT",Tabla9,"PROV",[1]Tablas!$A$49,"SEFIS",R$16,"CANT",[1]Tablas!$A79),0)+IFERROR(GETPIVOTDATA("Cuenta de CANT",Tabla9,"PROV",[1]Tablas!$A$66,"SEFIS",R$16,"CANT",[1]Tablas!$A79),0)+IFERROR(GETPIVOTDATA("Cuenta de CANT",Tabla9,"PROV",[1]Tablas!$A$76,"SEFIS",R$16,"CANT",[1]Tablas!$A79),0)+IFERROR(GETPIVOTDATA("Cuenta de CANT",Tabla9,"PROV",[1]Tablas!$A$88,"SEFIS",R$16,"CANT",[1]Tablas!$A79),0)+IFERROR(GETPIVOTDATA("Cuenta de CANT",Tabla9,"PROV",[1]Tablas!$A$101,"SEFIS",R$16,"CANT",[1]Tablas!$A79),0)+IFERROR(GETPIVOTDATA("Cuenta de CANT",Tabla9,"PROV",[1]Tablas!$A$114,"SEFIS",R$16,"CANT",[1]Tablas!$A79),0)</f>
        <v>0</v>
      </c>
      <c r="S108" s="15">
        <f ca="1">IFERROR(GETPIVOTDATA("Cuenta de CANT",Tabla9,"PROV",[1]Tablas!$A$27,"SEFIS",S$16,"CANT",[1]Tablas!$A79),0)+IFERROR(GETPIVOTDATA("Cuenta de CANT",Tabla9,"PROV",[1]Tablas!$A$49,"SEFIS",S$16,"CANT",[1]Tablas!$A79),0)+IFERROR(GETPIVOTDATA("Cuenta de CANT",Tabla9,"PROV",[1]Tablas!$A$66,"SEFIS",S$16,"CANT",[1]Tablas!$A79),0)+IFERROR(GETPIVOTDATA("Cuenta de CANT",Tabla9,"PROV",[1]Tablas!$A$76,"SEFIS",S$16,"CANT",[1]Tablas!$A79),0)+IFERROR(GETPIVOTDATA("Cuenta de CANT",Tabla9,"PROV",[1]Tablas!$A$88,"SEFIS",S$16,"CANT",[1]Tablas!$A79),0)+IFERROR(GETPIVOTDATA("Cuenta de CANT",Tabla9,"PROV",[1]Tablas!$A$101,"SEFIS",S$16,"CANT",[1]Tablas!$A79),0)+IFERROR(GETPIVOTDATA("Cuenta de CANT",Tabla9,"PROV",[1]Tablas!$A$114,"SEFIS",S$16,"CANT",[1]Tablas!$A79),0)</f>
        <v>0</v>
      </c>
      <c r="T108" s="15">
        <f ca="1">IFERROR(GETPIVOTDATA("Cuenta de CANT",Tabla9,"PROV",[1]Tablas!$A$27,"SEFIS",T$16,"CANT",[1]Tablas!$A79),0)+IFERROR(GETPIVOTDATA("Cuenta de CANT",Tabla9,"PROV",[1]Tablas!$A$49,"SEFIS",T$16,"CANT",[1]Tablas!$A79),0)+IFERROR(GETPIVOTDATA("Cuenta de CANT",Tabla9,"PROV",[1]Tablas!$A$66,"SEFIS",T$16,"CANT",[1]Tablas!$A79),0)+IFERROR(GETPIVOTDATA("Cuenta de CANT",Tabla9,"PROV",[1]Tablas!$A$76,"SEFIS",T$16,"CANT",[1]Tablas!$A79),0)+IFERROR(GETPIVOTDATA("Cuenta de CANT",Tabla9,"PROV",[1]Tablas!$A$88,"SEFIS",T$16,"CANT",[1]Tablas!$A79),0)+IFERROR(GETPIVOTDATA("Cuenta de CANT",Tabla9,"PROV",[1]Tablas!$A$101,"SEFIS",T$16,"CANT",[1]Tablas!$A79),0)+IFERROR(GETPIVOTDATA("Cuenta de CANT",Tabla9,"PROV",[1]Tablas!$A$114,"SEFIS",T$16,"CANT",[1]Tablas!$A79),0)</f>
        <v>0</v>
      </c>
      <c r="U108" s="15">
        <f ca="1">IFERROR(GETPIVOTDATA("Cuenta de CANT",Tabla9,"PROV",[1]Tablas!$A$27,"SEFIS",U$16,"CANT",[1]Tablas!$A79),0)+IFERROR(GETPIVOTDATA("Cuenta de CANT",Tabla9,"PROV",[1]Tablas!$A$49,"SEFIS",U$16,"CANT",[1]Tablas!$A79),0)+IFERROR(GETPIVOTDATA("Cuenta de CANT",Tabla9,"PROV",[1]Tablas!$A$66,"SEFIS",U$16,"CANT",[1]Tablas!$A79),0)+IFERROR(GETPIVOTDATA("Cuenta de CANT",Tabla9,"PROV",[1]Tablas!$A$76,"SEFIS",U$16,"CANT",[1]Tablas!$A79),0)+IFERROR(GETPIVOTDATA("Cuenta de CANT",Tabla9,"PROV",[1]Tablas!$A$88,"SEFIS",U$16,"CANT",[1]Tablas!$A79),0)+IFERROR(GETPIVOTDATA("Cuenta de CANT",Tabla9,"PROV",[1]Tablas!$A$101,"SEFIS",U$16,"CANT",[1]Tablas!$A79),0)+IFERROR(GETPIVOTDATA("Cuenta de CANT",Tabla9,"PROV",[1]Tablas!$A$114,"SEFIS",U$16,"CANT",[1]Tablas!$A79),0)</f>
        <v>0</v>
      </c>
      <c r="V108" s="15">
        <f ca="1">IFERROR(GETPIVOTDATA("Cuenta de CANT",Tabla9,"PROV",[1]Tablas!$A$27,"SEFIS",V$16,"CANT",[1]Tablas!$A79),0)+IFERROR(GETPIVOTDATA("Cuenta de CANT",Tabla9,"PROV",[1]Tablas!$A$49,"SEFIS",V$16,"CANT",[1]Tablas!$A79),0)+IFERROR(GETPIVOTDATA("Cuenta de CANT",Tabla9,"PROV",[1]Tablas!$A$66,"SEFIS",V$16,"CANT",[1]Tablas!$A79),0)+IFERROR(GETPIVOTDATA("Cuenta de CANT",Tabla9,"PROV",[1]Tablas!$A$76,"SEFIS",V$16,"CANT",[1]Tablas!$A79),0)+IFERROR(GETPIVOTDATA("Cuenta de CANT",Tabla9,"PROV",[1]Tablas!$A$88,"SEFIS",V$16,"CANT",[1]Tablas!$A79),0)+IFERROR(GETPIVOTDATA("Cuenta de CANT",Tabla9,"PROV",[1]Tablas!$A$101,"SEFIS",V$16,"CANT",[1]Tablas!$A79),0)+IFERROR(GETPIVOTDATA("Cuenta de CANT",Tabla9,"PROV",[1]Tablas!$A$114,"SEFIS",V$16,"CANT",[1]Tablas!$A79),0)</f>
        <v>0</v>
      </c>
      <c r="W108" s="15">
        <f ca="1">IFERROR(GETPIVOTDATA("Cuenta de CANT",Tabla9,"PROV",[1]Tablas!$A$27,"SEFIS",W$16,"CANT",[1]Tablas!$A79),0)+IFERROR(GETPIVOTDATA("Cuenta de CANT",Tabla9,"PROV",[1]Tablas!$A$49,"SEFIS",W$16,"CANT",[1]Tablas!$A79),0)+IFERROR(GETPIVOTDATA("Cuenta de CANT",Tabla9,"PROV",[1]Tablas!$A$66,"SEFIS",W$16,"CANT",[1]Tablas!$A79),0)+IFERROR(GETPIVOTDATA("Cuenta de CANT",Tabla9,"PROV",[1]Tablas!$A$76,"SEFIS",W$16,"CANT",[1]Tablas!$A79),0)+IFERROR(GETPIVOTDATA("Cuenta de CANT",Tabla9,"PROV",[1]Tablas!$A$88,"SEFIS",W$16,"CANT",[1]Tablas!$A79),0)+IFERROR(GETPIVOTDATA("Cuenta de CANT",Tabla9,"PROV",[1]Tablas!$A$101,"SEFIS",W$16,"CANT",[1]Tablas!$A79),0)+IFERROR(GETPIVOTDATA("Cuenta de CANT",Tabla9,"PROV",[1]Tablas!$A$114,"SEFIS",W$16,"CANT",[1]Tablas!$A79),0)</f>
        <v>0</v>
      </c>
      <c r="X108" s="15">
        <f ca="1">IFERROR(GETPIVOTDATA("Cuenta de CANT",Tabla9,"PROV",[1]Tablas!$A$27,"SEFIS",X$16,"CANT",[1]Tablas!$A79),0)+IFERROR(GETPIVOTDATA("Cuenta de CANT",Tabla9,"PROV",[1]Tablas!$A$49,"SEFIS",X$16,"CANT",[1]Tablas!$A79),0)+IFERROR(GETPIVOTDATA("Cuenta de CANT",Tabla9,"PROV",[1]Tablas!$A$66,"SEFIS",X$16,"CANT",[1]Tablas!$A79),0)+IFERROR(GETPIVOTDATA("Cuenta de CANT",Tabla9,"PROV",[1]Tablas!$A$76,"SEFIS",X$16,"CANT",[1]Tablas!$A79),0)+IFERROR(GETPIVOTDATA("Cuenta de CANT",Tabla9,"PROV",[1]Tablas!$A$88,"SEFIS",X$16,"CANT",[1]Tablas!$A79),0)+IFERROR(GETPIVOTDATA("Cuenta de CANT",Tabla9,"PROV",[1]Tablas!$A$101,"SEFIS",X$16,"CANT",[1]Tablas!$A79),0)+IFERROR(GETPIVOTDATA("Cuenta de CANT",Tabla9,"PROV",[1]Tablas!$A$114,"SEFIS",X$16,"CANT",[1]Tablas!$A79),0)</f>
        <v>0</v>
      </c>
      <c r="Y108" s="15">
        <f ca="1">IFERROR(GETPIVOTDATA("Cuenta de CANT",Tabla9,"PROV",[1]Tablas!$A$27,"SEFIS",Y$16,"CANT",[1]Tablas!$A79),0)+IFERROR(GETPIVOTDATA("Cuenta de CANT",Tabla9,"PROV",[1]Tablas!$A$49,"SEFIS",Y$16,"CANT",[1]Tablas!$A79),0)+IFERROR(GETPIVOTDATA("Cuenta de CANT",Tabla9,"PROV",[1]Tablas!$A$66,"SEFIS",Y$16,"CANT",[1]Tablas!$A79),0)+IFERROR(GETPIVOTDATA("Cuenta de CANT",Tabla9,"PROV",[1]Tablas!$A$76,"SEFIS",Y$16,"CANT",[1]Tablas!$A79),0)+IFERROR(GETPIVOTDATA("Cuenta de CANT",Tabla9,"PROV",[1]Tablas!$A$88,"SEFIS",Y$16,"CANT",[1]Tablas!$A79),0)+IFERROR(GETPIVOTDATA("Cuenta de CANT",Tabla9,"PROV",[1]Tablas!$A$101,"SEFIS",Y$16,"CANT",[1]Tablas!$A79),0)+IFERROR(GETPIVOTDATA("Cuenta de CANT",Tabla9,"PROV",[1]Tablas!$A$114,"SEFIS",Y$16,"CANT",[1]Tablas!$A79),0)</f>
        <v>0</v>
      </c>
      <c r="Z108" s="15">
        <f ca="1">IFERROR(GETPIVOTDATA("Cuenta de CANT",Tabla9,"PROV",[1]Tablas!$A$27,"SEFIS",Z$16,"CANT",[1]Tablas!$A79),0)+IFERROR(GETPIVOTDATA("Cuenta de CANT",Tabla9,"PROV",[1]Tablas!$A$49,"SEFIS",Z$16,"CANT",[1]Tablas!$A79),0)+IFERROR(GETPIVOTDATA("Cuenta de CANT",Tabla9,"PROV",[1]Tablas!$A$66,"SEFIS",Z$16,"CANT",[1]Tablas!$A79),0)+IFERROR(GETPIVOTDATA("Cuenta de CANT",Tabla9,"PROV",[1]Tablas!$A$76,"SEFIS",Z$16,"CANT",[1]Tablas!$A79),0)+IFERROR(GETPIVOTDATA("Cuenta de CANT",Tabla9,"PROV",[1]Tablas!$A$88,"SEFIS",Z$16,"CANT",[1]Tablas!$A79),0)+IFERROR(GETPIVOTDATA("Cuenta de CANT",Tabla9,"PROV",[1]Tablas!$A$101,"SEFIS",Z$16,"CANT",[1]Tablas!$A79),0)+IFERROR(GETPIVOTDATA("Cuenta de CANT",Tabla9,"PROV",[1]Tablas!$A$114,"SEFIS",Z$16,"CANT",[1]Tablas!$A79),0)</f>
        <v>0</v>
      </c>
      <c r="AA108" s="15">
        <f ca="1">IFERROR(GETPIVOTDATA("Cuenta de CANT",Tabla9,"PROV",[1]Tablas!$A$27,"SEFIS",AA$16,"CANT",[1]Tablas!$A79),0)+IFERROR(GETPIVOTDATA("Cuenta de CANT",Tabla9,"PROV",[1]Tablas!$A$49,"SEFIS",AA$16,"CANT",[1]Tablas!$A79),0)+IFERROR(GETPIVOTDATA("Cuenta de CANT",Tabla9,"PROV",[1]Tablas!$A$66,"SEFIS",AA$16,"CANT",[1]Tablas!$A79),0)+IFERROR(GETPIVOTDATA("Cuenta de CANT",Tabla9,"PROV",[1]Tablas!$A$76,"SEFIS",AA$16,"CANT",[1]Tablas!$A79),0)+IFERROR(GETPIVOTDATA("Cuenta de CANT",Tabla9,"PROV",[1]Tablas!$A$88,"SEFIS",AA$16,"CANT",[1]Tablas!$A79),0)+IFERROR(GETPIVOTDATA("Cuenta de CANT",Tabla9,"PROV",[1]Tablas!$A$101,"SEFIS",AA$16,"CANT",[1]Tablas!$A79),0)+IFERROR(GETPIVOTDATA("Cuenta de CANT",Tabla9,"PROV",[1]Tablas!$A$114,"SEFIS",AA$16,"CANT",[1]Tablas!$A79),0)</f>
        <v>0</v>
      </c>
      <c r="AB108" s="15">
        <f ca="1">IFERROR(GETPIVOTDATA("Cuenta de CANT",Tabla9,"PROV",[1]Tablas!$A$27,"SEFIS",AB$16,"CANT",[1]Tablas!$A79),0)+IFERROR(GETPIVOTDATA("Cuenta de CANT",Tabla9,"PROV",[1]Tablas!$A$49,"SEFIS",AB$16,"CANT",[1]Tablas!$A79),0)+IFERROR(GETPIVOTDATA("Cuenta de CANT",Tabla9,"PROV",[1]Tablas!$A$66,"SEFIS",AB$16,"CANT",[1]Tablas!$A79),0)+IFERROR(GETPIVOTDATA("Cuenta de CANT",Tabla9,"PROV",[1]Tablas!$A$76,"SEFIS",AB$16,"CANT",[1]Tablas!$A79),0)+IFERROR(GETPIVOTDATA("Cuenta de CANT",Tabla9,"PROV",[1]Tablas!$A$88,"SEFIS",AB$16,"CANT",[1]Tablas!$A79),0)+IFERROR(GETPIVOTDATA("Cuenta de CANT",Tabla9,"PROV",[1]Tablas!$A$101,"SEFIS",AB$16,"CANT",[1]Tablas!$A79),0)+IFERROR(GETPIVOTDATA("Cuenta de CANT",Tabla9,"PROV",[1]Tablas!$A$114,"SEFIS",AB$16,"CANT",[1]Tablas!$A79),0)</f>
        <v>0</v>
      </c>
      <c r="AC108" s="15">
        <f ca="1">IFERROR(GETPIVOTDATA("Cuenta de CANT",Tabla9,"PROV",[1]Tablas!$A$27,"SEFIS",AC$16,"CANT",[1]Tablas!$A79),0)+IFERROR(GETPIVOTDATA("Cuenta de CANT",Tabla9,"PROV",[1]Tablas!$A$49,"SEFIS",AC$16,"CANT",[1]Tablas!$A79),0)+IFERROR(GETPIVOTDATA("Cuenta de CANT",Tabla9,"PROV",[1]Tablas!$A$66,"SEFIS",AC$16,"CANT",[1]Tablas!$A79),0)+IFERROR(GETPIVOTDATA("Cuenta de CANT",Tabla9,"PROV",[1]Tablas!$A$76,"SEFIS",AC$16,"CANT",[1]Tablas!$A79),0)+IFERROR(GETPIVOTDATA("Cuenta de CANT",Tabla9,"PROV",[1]Tablas!$A$88,"SEFIS",AC$16,"CANT",[1]Tablas!$A79),0)+IFERROR(GETPIVOTDATA("Cuenta de CANT",Tabla9,"PROV",[1]Tablas!$A$101,"SEFIS",AC$16,"CANT",[1]Tablas!$A79),0)+IFERROR(GETPIVOTDATA("Cuenta de CANT",Tabla9,"PROV",[1]Tablas!$A$114,"SEFIS",AC$16,"CANT",[1]Tablas!$A79),0)</f>
        <v>0</v>
      </c>
      <c r="AD108" s="15">
        <f ca="1">IFERROR(GETPIVOTDATA("Cuenta de CANT",Tabla9,"PROV",[1]Tablas!$A$27,"SEFIS",AD$16,"CANT",[1]Tablas!$A79),0)+IFERROR(GETPIVOTDATA("Cuenta de CANT",Tabla9,"PROV",[1]Tablas!$A$49,"SEFIS",AD$16,"CANT",[1]Tablas!$A79),0)+IFERROR(GETPIVOTDATA("Cuenta de CANT",Tabla9,"PROV",[1]Tablas!$A$66,"SEFIS",AD$16,"CANT",[1]Tablas!$A79),0)+IFERROR(GETPIVOTDATA("Cuenta de CANT",Tabla9,"PROV",[1]Tablas!$A$76,"SEFIS",AD$16,"CANT",[1]Tablas!$A79),0)+IFERROR(GETPIVOTDATA("Cuenta de CANT",Tabla9,"PROV",[1]Tablas!$A$88,"SEFIS",AD$16,"CANT",[1]Tablas!$A79),0)+IFERROR(GETPIVOTDATA("Cuenta de CANT",Tabla9,"PROV",[1]Tablas!$A$101,"SEFIS",AD$16,"CANT",[1]Tablas!$A79),0)+IFERROR(GETPIVOTDATA("Cuenta de CANT",Tabla9,"PROV",[1]Tablas!$A$114,"SEFIS",AD$16,"CANT",[1]Tablas!$A79),0)</f>
        <v>0</v>
      </c>
      <c r="AE108" s="15">
        <f ca="1">IFERROR(GETPIVOTDATA("Cuenta de CANT",Tabla9,"PROV",[1]Tablas!$A$27,"SEFIS",AE$16,"CANT",[1]Tablas!$A79),0)+IFERROR(GETPIVOTDATA("Cuenta de CANT",Tabla9,"PROV",[1]Tablas!$A$49,"SEFIS",AE$16,"CANT",[1]Tablas!$A79),0)+IFERROR(GETPIVOTDATA("Cuenta de CANT",Tabla9,"PROV",[1]Tablas!$A$66,"SEFIS",AE$16,"CANT",[1]Tablas!$A79),0)+IFERROR(GETPIVOTDATA("Cuenta de CANT",Tabla9,"PROV",[1]Tablas!$A$76,"SEFIS",AE$16,"CANT",[1]Tablas!$A79),0)+IFERROR(GETPIVOTDATA("Cuenta de CANT",Tabla9,"PROV",[1]Tablas!$A$88,"SEFIS",AE$16,"CANT",[1]Tablas!$A79),0)+IFERROR(GETPIVOTDATA("Cuenta de CANT",Tabla9,"PROV",[1]Tablas!$A$101,"SEFIS",AE$16,"CANT",[1]Tablas!$A79),0)+IFERROR(GETPIVOTDATA("Cuenta de CANT",Tabla9,"PROV",[1]Tablas!$A$114,"SEFIS",AE$16,"CANT",[1]Tablas!$A79),0)</f>
        <v>0</v>
      </c>
      <c r="AF108" s="15">
        <f ca="1">IFERROR(GETPIVOTDATA("Cuenta de CANT",Tabla9,"PROV",[1]Tablas!$A$27,"SEFIS",AF$16,"CANT",[1]Tablas!$A79),0)+IFERROR(GETPIVOTDATA("Cuenta de CANT",Tabla9,"PROV",[1]Tablas!$A$49,"SEFIS",AF$16,"CANT",[1]Tablas!$A79),0)+IFERROR(GETPIVOTDATA("Cuenta de CANT",Tabla9,"PROV",[1]Tablas!$A$66,"SEFIS",AF$16,"CANT",[1]Tablas!$A79),0)+IFERROR(GETPIVOTDATA("Cuenta de CANT",Tabla9,"PROV",[1]Tablas!$A$76,"SEFIS",AF$16,"CANT",[1]Tablas!$A79),0)+IFERROR(GETPIVOTDATA("Cuenta de CANT",Tabla9,"PROV",[1]Tablas!$A$88,"SEFIS",AF$16,"CANT",[1]Tablas!$A79),0)+IFERROR(GETPIVOTDATA("Cuenta de CANT",Tabla9,"PROV",[1]Tablas!$A$101,"SEFIS",AF$16,"CANT",[1]Tablas!$A79),0)+IFERROR(GETPIVOTDATA("Cuenta de CANT",Tabla9,"PROV",[1]Tablas!$A$114,"SEFIS",AF$16,"CANT",[1]Tablas!$A79),0)</f>
        <v>0</v>
      </c>
      <c r="AG108" s="15">
        <f ca="1">IFERROR(GETPIVOTDATA("Cuenta de CANT",Tabla9,"PROV",[1]Tablas!$A$27,"SEFIS",AG$16,"CANT",[1]Tablas!$A79),0)+IFERROR(GETPIVOTDATA("Cuenta de CANT",Tabla9,"PROV",[1]Tablas!$A$49,"SEFIS",AG$16,"CANT",[1]Tablas!$A79),0)+IFERROR(GETPIVOTDATA("Cuenta de CANT",Tabla9,"PROV",[1]Tablas!$A$66,"SEFIS",AG$16,"CANT",[1]Tablas!$A79),0)+IFERROR(GETPIVOTDATA("Cuenta de CANT",Tabla9,"PROV",[1]Tablas!$A$76,"SEFIS",AG$16,"CANT",[1]Tablas!$A79),0)+IFERROR(GETPIVOTDATA("Cuenta de CANT",Tabla9,"PROV",[1]Tablas!$A$88,"SEFIS",AG$16,"CANT",[1]Tablas!$A79),0)+IFERROR(GETPIVOTDATA("Cuenta de CANT",Tabla9,"PROV",[1]Tablas!$A$101,"SEFIS",AG$16,"CANT",[1]Tablas!$A79),0)+IFERROR(GETPIVOTDATA("Cuenta de CANT",Tabla9,"PROV",[1]Tablas!$A$114,"SEFIS",AG$16,"CANT",[1]Tablas!$A79),0)</f>
        <v>0</v>
      </c>
      <c r="AH108" s="15">
        <f ca="1">IFERROR(GETPIVOTDATA("Cuenta de CANT",Tabla9,"PROV",[1]Tablas!$A$27,"SEFIS",AH$16,"CANT",[1]Tablas!$A79),0)+IFERROR(GETPIVOTDATA("Cuenta de CANT",Tabla9,"PROV",[1]Tablas!$A$49,"SEFIS",AH$16,"CANT",[1]Tablas!$A79),0)+IFERROR(GETPIVOTDATA("Cuenta de CANT",Tabla9,"PROV",[1]Tablas!$A$66,"SEFIS",AH$16,"CANT",[1]Tablas!$A79),0)+IFERROR(GETPIVOTDATA("Cuenta de CANT",Tabla9,"PROV",[1]Tablas!$A$76,"SEFIS",AH$16,"CANT",[1]Tablas!$A79),0)+IFERROR(GETPIVOTDATA("Cuenta de CANT",Tabla9,"PROV",[1]Tablas!$A$88,"SEFIS",AH$16,"CANT",[1]Tablas!$A79),0)+IFERROR(GETPIVOTDATA("Cuenta de CANT",Tabla9,"PROV",[1]Tablas!$A$101,"SEFIS",AH$16,"CANT",[1]Tablas!$A79),0)+IFERROR(GETPIVOTDATA("Cuenta de CANT",Tabla9,"PROV",[1]Tablas!$A$114,"SEFIS",AH$16,"CANT",[1]Tablas!$A79),0)</f>
        <v>0</v>
      </c>
      <c r="AI108" s="15">
        <f ca="1">IFERROR(GETPIVOTDATA("Cuenta de CANT",Tabla9,"PROV",[1]Tablas!$A$27,"SEFIS",AI$16,"CANT",[1]Tablas!$A79),0)+IFERROR(GETPIVOTDATA("Cuenta de CANT",Tabla9,"PROV",[1]Tablas!$A$49,"SEFIS",AI$16,"CANT",[1]Tablas!$A79),0)+IFERROR(GETPIVOTDATA("Cuenta de CANT",Tabla9,"PROV",[1]Tablas!$A$66,"SEFIS",AI$16,"CANT",[1]Tablas!$A79),0)+IFERROR(GETPIVOTDATA("Cuenta de CANT",Tabla9,"PROV",[1]Tablas!$A$76,"SEFIS",AI$16,"CANT",[1]Tablas!$A79),0)+IFERROR(GETPIVOTDATA("Cuenta de CANT",Tabla9,"PROV",[1]Tablas!$A$88,"SEFIS",AI$16,"CANT",[1]Tablas!$A79),0)+IFERROR(GETPIVOTDATA("Cuenta de CANT",Tabla9,"PROV",[1]Tablas!$A$101,"SEFIS",AI$16,"CANT",[1]Tablas!$A79),0)+IFERROR(GETPIVOTDATA("Cuenta de CANT",Tabla9,"PROV",[1]Tablas!$A$114,"SEFIS",AI$16,"CANT",[1]Tablas!$A79),0)</f>
        <v>0</v>
      </c>
      <c r="AJ108" s="15">
        <f ca="1">IFERROR(GETPIVOTDATA("Cuenta de CANT",Tabla9,"PROV",[1]Tablas!$A$27,"SEFIS",AJ$16,"CANT",[1]Tablas!$A79),0)+IFERROR(GETPIVOTDATA("Cuenta de CANT",Tabla9,"PROV",[1]Tablas!$A$49,"SEFIS",AJ$16,"CANT",[1]Tablas!$A79),0)+IFERROR(GETPIVOTDATA("Cuenta de CANT",Tabla9,"PROV",[1]Tablas!$A$66,"SEFIS",AJ$16,"CANT",[1]Tablas!$A79),0)+IFERROR(GETPIVOTDATA("Cuenta de CANT",Tabla9,"PROV",[1]Tablas!$A$76,"SEFIS",AJ$16,"CANT",[1]Tablas!$A79),0)+IFERROR(GETPIVOTDATA("Cuenta de CANT",Tabla9,"PROV",[1]Tablas!$A$88,"SEFIS",AJ$16,"CANT",[1]Tablas!$A79),0)+IFERROR(GETPIVOTDATA("Cuenta de CANT",Tabla9,"PROV",[1]Tablas!$A$101,"SEFIS",AJ$16,"CANT",[1]Tablas!$A79),0)+IFERROR(GETPIVOTDATA("Cuenta de CANT",Tabla9,"PROV",[1]Tablas!$A$114,"SEFIS",AJ$16,"CANT",[1]Tablas!$A79),0)</f>
        <v>0</v>
      </c>
      <c r="AK108" s="15">
        <f ca="1">IFERROR(GETPIVOTDATA("Cuenta de CANT",Tabla9,"PROV",[1]Tablas!$A$27,"SEFIS",AK$16,"CANT",[1]Tablas!$A79),0)+IFERROR(GETPIVOTDATA("Cuenta de CANT",Tabla9,"PROV",[1]Tablas!$A$49,"SEFIS",AK$16,"CANT",[1]Tablas!$A79),0)+IFERROR(GETPIVOTDATA("Cuenta de CANT",Tabla9,"PROV",[1]Tablas!$A$66,"SEFIS",AK$16,"CANT",[1]Tablas!$A79),0)+IFERROR(GETPIVOTDATA("Cuenta de CANT",Tabla9,"PROV",[1]Tablas!$A$76,"SEFIS",AK$16,"CANT",[1]Tablas!$A79),0)+IFERROR(GETPIVOTDATA("Cuenta de CANT",Tabla9,"PROV",[1]Tablas!$A$88,"SEFIS",AK$16,"CANT",[1]Tablas!$A79),0)+IFERROR(GETPIVOTDATA("Cuenta de CANT",Tabla9,"PROV",[1]Tablas!$A$101,"SEFIS",AK$16,"CANT",[1]Tablas!$A79),0)+IFERROR(GETPIVOTDATA("Cuenta de CANT",Tabla9,"PROV",[1]Tablas!$A$114,"SEFIS",AK$16,"CANT",[1]Tablas!$A79),0)</f>
        <v>0</v>
      </c>
      <c r="AL108" s="15">
        <f ca="1">IFERROR(GETPIVOTDATA("Cuenta de CANT",Tabla9,"PROV",[1]Tablas!$A$27,"SEFIS",AL$16,"CANT",[1]Tablas!$A79),0)+IFERROR(GETPIVOTDATA("Cuenta de CANT",Tabla9,"PROV",[1]Tablas!$A$49,"SEFIS",AL$16,"CANT",[1]Tablas!$A79),0)+IFERROR(GETPIVOTDATA("Cuenta de CANT",Tabla9,"PROV",[1]Tablas!$A$66,"SEFIS",AL$16,"CANT",[1]Tablas!$A79),0)+IFERROR(GETPIVOTDATA("Cuenta de CANT",Tabla9,"PROV",[1]Tablas!$A$76,"SEFIS",AL$16,"CANT",[1]Tablas!$A79),0)+IFERROR(GETPIVOTDATA("Cuenta de CANT",Tabla9,"PROV",[1]Tablas!$A$88,"SEFIS",AL$16,"CANT",[1]Tablas!$A79),0)+IFERROR(GETPIVOTDATA("Cuenta de CANT",Tabla9,"PROV",[1]Tablas!$A$101,"SEFIS",AL$16,"CANT",[1]Tablas!$A79),0)+IFERROR(GETPIVOTDATA("Cuenta de CANT",Tabla9,"PROV",[1]Tablas!$A$114,"SEFIS",AL$16,"CANT",[1]Tablas!$A79),0)</f>
        <v>0</v>
      </c>
      <c r="AM108" s="15">
        <f ca="1">IFERROR(GETPIVOTDATA("Cuenta de CANT",Tabla9,"PROV",[1]Tablas!$A$27,"SEFIS",AM$16,"CANT",[1]Tablas!$A79),0)+IFERROR(GETPIVOTDATA("Cuenta de CANT",Tabla9,"PROV",[1]Tablas!$A$49,"SEFIS",AM$16,"CANT",[1]Tablas!$A79),0)+IFERROR(GETPIVOTDATA("Cuenta de CANT",Tabla9,"PROV",[1]Tablas!$A$66,"SEFIS",AM$16,"CANT",[1]Tablas!$A79),0)+IFERROR(GETPIVOTDATA("Cuenta de CANT",Tabla9,"PROV",[1]Tablas!$A$76,"SEFIS",AM$16,"CANT",[1]Tablas!$A79),0)+IFERROR(GETPIVOTDATA("Cuenta de CANT",Tabla9,"PROV",[1]Tablas!$A$88,"SEFIS",AM$16,"CANT",[1]Tablas!$A79),0)+IFERROR(GETPIVOTDATA("Cuenta de CANT",Tabla9,"PROV",[1]Tablas!$A$101,"SEFIS",AM$16,"CANT",[1]Tablas!$A79),0)+IFERROR(GETPIVOTDATA("Cuenta de CANT",Tabla9,"PROV",[1]Tablas!$A$114,"SEFIS",AM$16,"CANT",[1]Tablas!$A79),0)</f>
        <v>0</v>
      </c>
      <c r="AN108" s="15">
        <f ca="1">IFERROR(GETPIVOTDATA("Cuenta de CANT",Tabla9,"PROV",[1]Tablas!$A$27,"SEFIS",AN$16,"CANT",[1]Tablas!$A79),0)+IFERROR(GETPIVOTDATA("Cuenta de CANT",Tabla9,"PROV",[1]Tablas!$A$49,"SEFIS",AN$16,"CANT",[1]Tablas!$A79),0)+IFERROR(GETPIVOTDATA("Cuenta de CANT",Tabla9,"PROV",[1]Tablas!$A$66,"SEFIS",AN$16,"CANT",[1]Tablas!$A79),0)+IFERROR(GETPIVOTDATA("Cuenta de CANT",Tabla9,"PROV",[1]Tablas!$A$76,"SEFIS",AN$16,"CANT",[1]Tablas!$A79),0)+IFERROR(GETPIVOTDATA("Cuenta de CANT",Tabla9,"PROV",[1]Tablas!$A$88,"SEFIS",AN$16,"CANT",[1]Tablas!$A79),0)+IFERROR(GETPIVOTDATA("Cuenta de CANT",Tabla9,"PROV",[1]Tablas!$A$101,"SEFIS",AN$16,"CANT",[1]Tablas!$A79),0)+IFERROR(GETPIVOTDATA("Cuenta de CANT",Tabla9,"PROV",[1]Tablas!$A$114,"SEFIS",AN$16,"CANT",[1]Tablas!$A79),0)</f>
        <v>0</v>
      </c>
      <c r="AO108" s="15">
        <f ca="1">IFERROR(GETPIVOTDATA("Cuenta de CANT",Tabla9,"PROV",[1]Tablas!$A$27,"SEFIS",AO$16,"CANT",[1]Tablas!$A79),0)+IFERROR(GETPIVOTDATA("Cuenta de CANT",Tabla9,"PROV",[1]Tablas!$A$49,"SEFIS",AO$16,"CANT",[1]Tablas!$A79),0)+IFERROR(GETPIVOTDATA("Cuenta de CANT",Tabla9,"PROV",[1]Tablas!$A$66,"SEFIS",AO$16,"CANT",[1]Tablas!$A79),0)+IFERROR(GETPIVOTDATA("Cuenta de CANT",Tabla9,"PROV",[1]Tablas!$A$76,"SEFIS",AO$16,"CANT",[1]Tablas!$A79),0)+IFERROR(GETPIVOTDATA("Cuenta de CANT",Tabla9,"PROV",[1]Tablas!$A$88,"SEFIS",AO$16,"CANT",[1]Tablas!$A79),0)+IFERROR(GETPIVOTDATA("Cuenta de CANT",Tabla9,"PROV",[1]Tablas!$A$101,"SEFIS",AO$16,"CANT",[1]Tablas!$A79),0)+IFERROR(GETPIVOTDATA("Cuenta de CANT",Tabla9,"PROV",[1]Tablas!$A$114,"SEFIS",AO$16,"CANT",[1]Tablas!$A79),0)</f>
        <v>0</v>
      </c>
      <c r="AP108" s="15">
        <f ca="1">IFERROR(GETPIVOTDATA("Cuenta de CANT",Tabla9,"PROV",[1]Tablas!$A$27,"SEFIS",AP$16,"CANT",[1]Tablas!$A79),0)+IFERROR(GETPIVOTDATA("Cuenta de CANT",Tabla9,"PROV",[1]Tablas!$A$49,"SEFIS",AP$16,"CANT",[1]Tablas!$A79),0)+IFERROR(GETPIVOTDATA("Cuenta de CANT",Tabla9,"PROV",[1]Tablas!$A$66,"SEFIS",AP$16,"CANT",[1]Tablas!$A79),0)+IFERROR(GETPIVOTDATA("Cuenta de CANT",Tabla9,"PROV",[1]Tablas!$A$76,"SEFIS",AP$16,"CANT",[1]Tablas!$A79),0)+IFERROR(GETPIVOTDATA("Cuenta de CANT",Tabla9,"PROV",[1]Tablas!$A$88,"SEFIS",AP$16,"CANT",[1]Tablas!$A79),0)+IFERROR(GETPIVOTDATA("Cuenta de CANT",Tabla9,"PROV",[1]Tablas!$A$101,"SEFIS",AP$16,"CANT",[1]Tablas!$A79),0)+IFERROR(GETPIVOTDATA("Cuenta de CANT",Tabla9,"PROV",[1]Tablas!$A$114,"SEFIS",AP$16,"CANT",[1]Tablas!$A79),0)</f>
        <v>0</v>
      </c>
      <c r="AQ108" s="15">
        <f ca="1">IFERROR(GETPIVOTDATA("Cuenta de CANT",Tabla9,"PROV",[1]Tablas!$A$27,"SEFIS",AQ$16,"CANT",[1]Tablas!$A79),0)+IFERROR(GETPIVOTDATA("Cuenta de CANT",Tabla9,"PROV",[1]Tablas!$A$49,"SEFIS",AQ$16,"CANT",[1]Tablas!$A79),0)+IFERROR(GETPIVOTDATA("Cuenta de CANT",Tabla9,"PROV",[1]Tablas!$A$66,"SEFIS",AQ$16,"CANT",[1]Tablas!$A79),0)+IFERROR(GETPIVOTDATA("Cuenta de CANT",Tabla9,"PROV",[1]Tablas!$A$76,"SEFIS",AQ$16,"CANT",[1]Tablas!$A79),0)+IFERROR(GETPIVOTDATA("Cuenta de CANT",Tabla9,"PROV",[1]Tablas!$A$88,"SEFIS",AQ$16,"CANT",[1]Tablas!$A79),0)+IFERROR(GETPIVOTDATA("Cuenta de CANT",Tabla9,"PROV",[1]Tablas!$A$101,"SEFIS",AQ$16,"CANT",[1]Tablas!$A79),0)+IFERROR(GETPIVOTDATA("Cuenta de CANT",Tabla9,"PROV",[1]Tablas!$A$114,"SEFIS",AQ$16,"CANT",[1]Tablas!$A79),0)</f>
        <v>0</v>
      </c>
      <c r="AR108" s="15">
        <f ca="1">IFERROR(GETPIVOTDATA("Cuenta de CANT",Tabla9,"PROV",[1]Tablas!$A$27,"SEFIS",AR$16,"CANT",[1]Tablas!$A79),0)+IFERROR(GETPIVOTDATA("Cuenta de CANT",Tabla9,"PROV",[1]Tablas!$A$49,"SEFIS",AR$16,"CANT",[1]Tablas!$A79),0)+IFERROR(GETPIVOTDATA("Cuenta de CANT",Tabla9,"PROV",[1]Tablas!$A$66,"SEFIS",AR$16,"CANT",[1]Tablas!$A79),0)+IFERROR(GETPIVOTDATA("Cuenta de CANT",Tabla9,"PROV",[1]Tablas!$A$76,"SEFIS",AR$16,"CANT",[1]Tablas!$A79),0)+IFERROR(GETPIVOTDATA("Cuenta de CANT",Tabla9,"PROV",[1]Tablas!$A$88,"SEFIS",AR$16,"CANT",[1]Tablas!$A79),0)+IFERROR(GETPIVOTDATA("Cuenta de CANT",Tabla9,"PROV",[1]Tablas!$A$101,"SEFIS",AR$16,"CANT",[1]Tablas!$A79),0)+IFERROR(GETPIVOTDATA("Cuenta de CANT",Tabla9,"PROV",[1]Tablas!$A$114,"SEFIS",AR$16,"CANT",[1]Tablas!$A79),0)</f>
        <v>0</v>
      </c>
      <c r="AS108" s="15">
        <f ca="1">IFERROR(GETPIVOTDATA("Cuenta de CANT",Tabla9,"PROV",[1]Tablas!$A$27,"SEFIS",AS$16,"CANT",[1]Tablas!$A79),0)+IFERROR(GETPIVOTDATA("Cuenta de CANT",Tabla9,"PROV",[1]Tablas!$A$49,"SEFIS",AS$16,"CANT",[1]Tablas!$A79),0)+IFERROR(GETPIVOTDATA("Cuenta de CANT",Tabla9,"PROV",[1]Tablas!$A$66,"SEFIS",AS$16,"CANT",[1]Tablas!$A79),0)+IFERROR(GETPIVOTDATA("Cuenta de CANT",Tabla9,"PROV",[1]Tablas!$A$76,"SEFIS",AS$16,"CANT",[1]Tablas!$A79),0)+IFERROR(GETPIVOTDATA("Cuenta de CANT",Tabla9,"PROV",[1]Tablas!$A$88,"SEFIS",AS$16,"CANT",[1]Tablas!$A79),0)+IFERROR(GETPIVOTDATA("Cuenta de CANT",Tabla9,"PROV",[1]Tablas!$A$101,"SEFIS",AS$16,"CANT",[1]Tablas!$A79),0)+IFERROR(GETPIVOTDATA("Cuenta de CANT",Tabla9,"PROV",[1]Tablas!$A$114,"SEFIS",AS$16,"CANT",[1]Tablas!$A79),0)</f>
        <v>0</v>
      </c>
      <c r="AT108" s="15">
        <f ca="1">IFERROR(GETPIVOTDATA("Cuenta de CANT",Tabla9,"PROV",[1]Tablas!$A$27,"SEFIS",AT$16,"CANT",[1]Tablas!$A79),0)+IFERROR(GETPIVOTDATA("Cuenta de CANT",Tabla9,"PROV",[1]Tablas!$A$49,"SEFIS",AT$16,"CANT",[1]Tablas!$A79),0)+IFERROR(GETPIVOTDATA("Cuenta de CANT",Tabla9,"PROV",[1]Tablas!$A$66,"SEFIS",AT$16,"CANT",[1]Tablas!$A79),0)+IFERROR(GETPIVOTDATA("Cuenta de CANT",Tabla9,"PROV",[1]Tablas!$A$76,"SEFIS",AT$16,"CANT",[1]Tablas!$A79),0)+IFERROR(GETPIVOTDATA("Cuenta de CANT",Tabla9,"PROV",[1]Tablas!$A$88,"SEFIS",AT$16,"CANT",[1]Tablas!$A79),0)+IFERROR(GETPIVOTDATA("Cuenta de CANT",Tabla9,"PROV",[1]Tablas!$A$101,"SEFIS",AT$16,"CANT",[1]Tablas!$A79),0)+IFERROR(GETPIVOTDATA("Cuenta de CANT",Tabla9,"PROV",[1]Tablas!$A$114,"SEFIS",AT$16,"CANT",[1]Tablas!$A79),0)</f>
        <v>0</v>
      </c>
      <c r="AU108" s="15">
        <f ca="1">IFERROR(GETPIVOTDATA("Cuenta de CANT",Tabla9,"PROV",[1]Tablas!$A$27,"SEFIS",AU$16,"CANT",[1]Tablas!$A79),0)+IFERROR(GETPIVOTDATA("Cuenta de CANT",Tabla9,"PROV",[1]Tablas!$A$49,"SEFIS",AU$16,"CANT",[1]Tablas!$A79),0)+IFERROR(GETPIVOTDATA("Cuenta de CANT",Tabla9,"PROV",[1]Tablas!$A$66,"SEFIS",AU$16,"CANT",[1]Tablas!$A79),0)+IFERROR(GETPIVOTDATA("Cuenta de CANT",Tabla9,"PROV",[1]Tablas!$A$76,"SEFIS",AU$16,"CANT",[1]Tablas!$A79),0)+IFERROR(GETPIVOTDATA("Cuenta de CANT",Tabla9,"PROV",[1]Tablas!$A$88,"SEFIS",AU$16,"CANT",[1]Tablas!$A79),0)+IFERROR(GETPIVOTDATA("Cuenta de CANT",Tabla9,"PROV",[1]Tablas!$A$101,"SEFIS",AU$16,"CANT",[1]Tablas!$A79),0)+IFERROR(GETPIVOTDATA("Cuenta de CANT",Tabla9,"PROV",[1]Tablas!$A$114,"SEFIS",AU$16,"CANT",[1]Tablas!$A79),0)</f>
        <v>0</v>
      </c>
      <c r="AV108" s="15">
        <f ca="1">IFERROR(GETPIVOTDATA("Cuenta de CANT",Tabla9,"PROV",[1]Tablas!$A$27,"SEFIS",AV$16,"CANT",[1]Tablas!$A79),0)+IFERROR(GETPIVOTDATA("Cuenta de CANT",Tabla9,"PROV",[1]Tablas!$A$49,"SEFIS",AV$16,"CANT",[1]Tablas!$A79),0)+IFERROR(GETPIVOTDATA("Cuenta de CANT",Tabla9,"PROV",[1]Tablas!$A$66,"SEFIS",AV$16,"CANT",[1]Tablas!$A79),0)+IFERROR(GETPIVOTDATA("Cuenta de CANT",Tabla9,"PROV",[1]Tablas!$A$76,"SEFIS",AV$16,"CANT",[1]Tablas!$A79),0)+IFERROR(GETPIVOTDATA("Cuenta de CANT",Tabla9,"PROV",[1]Tablas!$A$88,"SEFIS",AV$16,"CANT",[1]Tablas!$A79),0)+IFERROR(GETPIVOTDATA("Cuenta de CANT",Tabla9,"PROV",[1]Tablas!$A$101,"SEFIS",AV$16,"CANT",[1]Tablas!$A79),0)+IFERROR(GETPIVOTDATA("Cuenta de CANT",Tabla9,"PROV",[1]Tablas!$A$114,"SEFIS",AV$16,"CANT",[1]Tablas!$A79),0)</f>
        <v>0</v>
      </c>
      <c r="AW108" s="15">
        <f ca="1">IFERROR(GETPIVOTDATA("Cuenta de CANT",Tabla9,"PROV",[1]Tablas!$A$27,"SEFIS",AW$16,"CANT",[1]Tablas!$A79),0)+IFERROR(GETPIVOTDATA("Cuenta de CANT",Tabla9,"PROV",[1]Tablas!$A$49,"SEFIS",AW$16,"CANT",[1]Tablas!$A79),0)+IFERROR(GETPIVOTDATA("Cuenta de CANT",Tabla9,"PROV",[1]Tablas!$A$66,"SEFIS",AW$16,"CANT",[1]Tablas!$A79),0)+IFERROR(GETPIVOTDATA("Cuenta de CANT",Tabla9,"PROV",[1]Tablas!$A$76,"SEFIS",AW$16,"CANT",[1]Tablas!$A79),0)+IFERROR(GETPIVOTDATA("Cuenta de CANT",Tabla9,"PROV",[1]Tablas!$A$88,"SEFIS",AW$16,"CANT",[1]Tablas!$A79),0)+IFERROR(GETPIVOTDATA("Cuenta de CANT",Tabla9,"PROV",[1]Tablas!$A$101,"SEFIS",AW$16,"CANT",[1]Tablas!$A79),0)+IFERROR(GETPIVOTDATA("Cuenta de CANT",Tabla9,"PROV",[1]Tablas!$A$114,"SEFIS",AW$16,"CANT",[1]Tablas!$A79),0)</f>
        <v>0</v>
      </c>
      <c r="AX108" s="15">
        <f ca="1">IFERROR(GETPIVOTDATA("Cuenta de CANT",Tabla9,"PROV",[1]Tablas!$A$27,"SEFIS",AX$16,"CANT",[1]Tablas!$A79),0)+IFERROR(GETPIVOTDATA("Cuenta de CANT",Tabla9,"PROV",[1]Tablas!$A$49,"SEFIS",AX$16,"CANT",[1]Tablas!$A79),0)+IFERROR(GETPIVOTDATA("Cuenta de CANT",Tabla9,"PROV",[1]Tablas!$A$66,"SEFIS",AX$16,"CANT",[1]Tablas!$A79),0)+IFERROR(GETPIVOTDATA("Cuenta de CANT",Tabla9,"PROV",[1]Tablas!$A$76,"SEFIS",AX$16,"CANT",[1]Tablas!$A79),0)+IFERROR(GETPIVOTDATA("Cuenta de CANT",Tabla9,"PROV",[1]Tablas!$A$88,"SEFIS",AX$16,"CANT",[1]Tablas!$A79),0)+IFERROR(GETPIVOTDATA("Cuenta de CANT",Tabla9,"PROV",[1]Tablas!$A$101,"SEFIS",AX$16,"CANT",[1]Tablas!$A79),0)+IFERROR(GETPIVOTDATA("Cuenta de CANT",Tabla9,"PROV",[1]Tablas!$A$114,"SEFIS",AX$16,"CANT",[1]Tablas!$A79),0)</f>
        <v>0</v>
      </c>
      <c r="AY108" s="15">
        <f ca="1">IFERROR(GETPIVOTDATA("Cuenta de CANT",Tabla9,"PROV",[1]Tablas!$A$27,"SEFIS",AY$16,"CANT",[1]Tablas!$A79),0)+IFERROR(GETPIVOTDATA("Cuenta de CANT",Tabla9,"PROV",[1]Tablas!$A$49,"SEFIS",AY$16,"CANT",[1]Tablas!$A79),0)+IFERROR(GETPIVOTDATA("Cuenta de CANT",Tabla9,"PROV",[1]Tablas!$A$66,"SEFIS",AY$16,"CANT",[1]Tablas!$A79),0)+IFERROR(GETPIVOTDATA("Cuenta de CANT",Tabla9,"PROV",[1]Tablas!$A$76,"SEFIS",AY$16,"CANT",[1]Tablas!$A79),0)+IFERROR(GETPIVOTDATA("Cuenta de CANT",Tabla9,"PROV",[1]Tablas!$A$88,"SEFIS",AY$16,"CANT",[1]Tablas!$A79),0)+IFERROR(GETPIVOTDATA("Cuenta de CANT",Tabla9,"PROV",[1]Tablas!$A$101,"SEFIS",AY$16,"CANT",[1]Tablas!$A79),0)+IFERROR(GETPIVOTDATA("Cuenta de CANT",Tabla9,"PROV",[1]Tablas!$A$114,"SEFIS",AY$16,"CANT",[1]Tablas!$A79),0)</f>
        <v>0</v>
      </c>
      <c r="AZ108" s="15">
        <f ca="1">IFERROR(GETPIVOTDATA("Cuenta de CANT",Tabla9,"PROV",[1]Tablas!$A$27,"SEFIS",AZ$16,"CANT",[1]Tablas!$A79),0)+IFERROR(GETPIVOTDATA("Cuenta de CANT",Tabla9,"PROV",[1]Tablas!$A$49,"SEFIS",AZ$16,"CANT",[1]Tablas!$A79),0)+IFERROR(GETPIVOTDATA("Cuenta de CANT",Tabla9,"PROV",[1]Tablas!$A$66,"SEFIS",AZ$16,"CANT",[1]Tablas!$A79),0)+IFERROR(GETPIVOTDATA("Cuenta de CANT",Tabla9,"PROV",[1]Tablas!$A$76,"SEFIS",AZ$16,"CANT",[1]Tablas!$A79),0)+IFERROR(GETPIVOTDATA("Cuenta de CANT",Tabla9,"PROV",[1]Tablas!$A$88,"SEFIS",AZ$16,"CANT",[1]Tablas!$A79),0)+IFERROR(GETPIVOTDATA("Cuenta de CANT",Tabla9,"PROV",[1]Tablas!$A$101,"SEFIS",AZ$16,"CANT",[1]Tablas!$A79),0)+IFERROR(GETPIVOTDATA("Cuenta de CANT",Tabla9,"PROV",[1]Tablas!$A$114,"SEFIS",AZ$16,"CANT",[1]Tablas!$A79),0)</f>
        <v>0</v>
      </c>
      <c r="BA108" s="15">
        <f ca="1">IFERROR(GETPIVOTDATA("Cuenta de CANT",Tabla9,"PROV",[1]Tablas!$A$27,"SEFIS",BA$16,"CANT",[1]Tablas!$A79),0)+IFERROR(GETPIVOTDATA("Cuenta de CANT",Tabla9,"PROV",[1]Tablas!$A$49,"SEFIS",BA$16,"CANT",[1]Tablas!$A79),0)+IFERROR(GETPIVOTDATA("Cuenta de CANT",Tabla9,"PROV",[1]Tablas!$A$66,"SEFIS",BA$16,"CANT",[1]Tablas!$A79),0)+IFERROR(GETPIVOTDATA("Cuenta de CANT",Tabla9,"PROV",[1]Tablas!$A$76,"SEFIS",BA$16,"CANT",[1]Tablas!$A79),0)+IFERROR(GETPIVOTDATA("Cuenta de CANT",Tabla9,"PROV",[1]Tablas!$A$88,"SEFIS",BA$16,"CANT",[1]Tablas!$A79),0)+IFERROR(GETPIVOTDATA("Cuenta de CANT",Tabla9,"PROV",[1]Tablas!$A$101,"SEFIS",BA$16,"CANT",[1]Tablas!$A79),0)+IFERROR(GETPIVOTDATA("Cuenta de CANT",Tabla9,"PROV",[1]Tablas!$A$114,"SEFIS",BA$16,"CANT",[1]Tablas!$A79),0)</f>
        <v>0</v>
      </c>
      <c r="BB108" s="15">
        <f ca="1">IFERROR(GETPIVOTDATA("Cuenta de CANT",Tabla9,"PROV",[1]Tablas!$A$27,"SEFIS",BB$16,"CANT",[1]Tablas!$A79),0)+IFERROR(GETPIVOTDATA("Cuenta de CANT",Tabla9,"PROV",[1]Tablas!$A$49,"SEFIS",BB$16,"CANT",[1]Tablas!$A79),0)+IFERROR(GETPIVOTDATA("Cuenta de CANT",Tabla9,"PROV",[1]Tablas!$A$66,"SEFIS",BB$16,"CANT",[1]Tablas!$A79),0)+IFERROR(GETPIVOTDATA("Cuenta de CANT",Tabla9,"PROV",[1]Tablas!$A$76,"SEFIS",BB$16,"CANT",[1]Tablas!$A79),0)+IFERROR(GETPIVOTDATA("Cuenta de CANT",Tabla9,"PROV",[1]Tablas!$A$88,"SEFIS",BB$16,"CANT",[1]Tablas!$A79),0)+IFERROR(GETPIVOTDATA("Cuenta de CANT",Tabla9,"PROV",[1]Tablas!$A$101,"SEFIS",BB$16,"CANT",[1]Tablas!$A79),0)+IFERROR(GETPIVOTDATA("Cuenta de CANT",Tabla9,"PROV",[1]Tablas!$A$114,"SEFIS",BB$16,"CANT",[1]Tablas!$A79),0)</f>
        <v>0</v>
      </c>
      <c r="BC108" s="15">
        <f ca="1">IFERROR(GETPIVOTDATA("Cuenta de CANT",Tabla9,"PROV",[1]Tablas!$A$27,"SEFIS",BC$16,"CANT",[1]Tablas!$A79),0)+IFERROR(GETPIVOTDATA("Cuenta de CANT",Tabla9,"PROV",[1]Tablas!$A$49,"SEFIS",BC$16,"CANT",[1]Tablas!$A79),0)+IFERROR(GETPIVOTDATA("Cuenta de CANT",Tabla9,"PROV",[1]Tablas!$A$66,"SEFIS",BC$16,"CANT",[1]Tablas!$A79),0)+IFERROR(GETPIVOTDATA("Cuenta de CANT",Tabla9,"PROV",[1]Tablas!$A$76,"SEFIS",BC$16,"CANT",[1]Tablas!$A79),0)+IFERROR(GETPIVOTDATA("Cuenta de CANT",Tabla9,"PROV",[1]Tablas!$A$88,"SEFIS",BC$16,"CANT",[1]Tablas!$A79),0)+IFERROR(GETPIVOTDATA("Cuenta de CANT",Tabla9,"PROV",[1]Tablas!$A$101,"SEFIS",BC$16,"CANT",[1]Tablas!$A79),0)+IFERROR(GETPIVOTDATA("Cuenta de CANT",Tabla9,"PROV",[1]Tablas!$A$114,"SEFIS",BC$16,"CANT",[1]Tablas!$A79),0)</f>
        <v>0</v>
      </c>
    </row>
    <row r="109" spans="1:55" x14ac:dyDescent="0.35">
      <c r="A109" s="14" t="s">
        <v>99</v>
      </c>
      <c r="B109" s="10">
        <f t="shared" ca="1" si="7"/>
        <v>0</v>
      </c>
      <c r="C109" s="13"/>
      <c r="D109" s="15">
        <f ca="1">IFERROR(GETPIVOTDATA("Cuenta de CANT",Tabla9,"PROV",[1]Tablas!$A$27,"SEFIS",D$16,"CANT",[1]Tablas!$A80),0)+IFERROR(GETPIVOTDATA("Cuenta de CANT",Tabla9,"PROV",[1]Tablas!$A$49,"SEFIS",D$16,"CANT",[1]Tablas!$A80),0)+IFERROR(GETPIVOTDATA("Cuenta de CANT",Tabla9,"PROV",[1]Tablas!$A$66,"SEFIS",D$16,"CANT",[1]Tablas!$A80),0)+IFERROR(GETPIVOTDATA("Cuenta de CANT",Tabla9,"PROV",[1]Tablas!$A$76,"SEFIS",D$16,"CANT",[1]Tablas!$A80),0)+IFERROR(GETPIVOTDATA("Cuenta de CANT",Tabla9,"PROV",[1]Tablas!$A$88,"SEFIS",D$16,"CANT",[1]Tablas!$A80),0)+IFERROR(GETPIVOTDATA("Cuenta de CANT",Tabla9,"PROV",[1]Tablas!$A$101,"SEFIS",D$16,"CANT",[1]Tablas!$A80),0)+IFERROR(GETPIVOTDATA("Cuenta de CANT",Tabla9,"PROV",[1]Tablas!$A$114,"SEFIS",D$16,"CANT",[1]Tablas!$A80),0)</f>
        <v>0</v>
      </c>
      <c r="E109" s="15">
        <f ca="1">IFERROR(GETPIVOTDATA("Cuenta de CANT",Tabla9,"PROV",[1]Tablas!$A$27,"SEFIS",E$16,"CANT",[1]Tablas!$A80),0)+IFERROR(GETPIVOTDATA("Cuenta de CANT",Tabla9,"PROV",[1]Tablas!$A$49,"SEFIS",E$16,"CANT",[1]Tablas!$A80),0)+IFERROR(GETPIVOTDATA("Cuenta de CANT",Tabla9,"PROV",[1]Tablas!$A$66,"SEFIS",E$16,"CANT",[1]Tablas!$A80),0)+IFERROR(GETPIVOTDATA("Cuenta de CANT",Tabla9,"PROV",[1]Tablas!$A$76,"SEFIS",E$16,"CANT",[1]Tablas!$A80),0)+IFERROR(GETPIVOTDATA("Cuenta de CANT",Tabla9,"PROV",[1]Tablas!$A$88,"SEFIS",E$16,"CANT",[1]Tablas!$A80),0)+IFERROR(GETPIVOTDATA("Cuenta de CANT",Tabla9,"PROV",[1]Tablas!$A$101,"SEFIS",E$16,"CANT",[1]Tablas!$A80),0)+IFERROR(GETPIVOTDATA("Cuenta de CANT",Tabla9,"PROV",[1]Tablas!$A$114,"SEFIS",E$16,"CANT",[1]Tablas!$A80),0)</f>
        <v>0</v>
      </c>
      <c r="F109" s="15">
        <f ca="1">IFERROR(GETPIVOTDATA("Cuenta de CANT",Tabla9,"PROV",[1]Tablas!$A$27,"SEFIS",F$16,"CANT",[1]Tablas!$A80),0)+IFERROR(GETPIVOTDATA("Cuenta de CANT",Tabla9,"PROV",[1]Tablas!$A$49,"SEFIS",F$16,"CANT",[1]Tablas!$A80),0)+IFERROR(GETPIVOTDATA("Cuenta de CANT",Tabla9,"PROV",[1]Tablas!$A$66,"SEFIS",F$16,"CANT",[1]Tablas!$A80),0)+IFERROR(GETPIVOTDATA("Cuenta de CANT",Tabla9,"PROV",[1]Tablas!$A$76,"SEFIS",F$16,"CANT",[1]Tablas!$A80),0)+IFERROR(GETPIVOTDATA("Cuenta de CANT",Tabla9,"PROV",[1]Tablas!$A$88,"SEFIS",F$16,"CANT",[1]Tablas!$A80),0)+IFERROR(GETPIVOTDATA("Cuenta de CANT",Tabla9,"PROV",[1]Tablas!$A$101,"SEFIS",F$16,"CANT",[1]Tablas!$A80),0)+IFERROR(GETPIVOTDATA("Cuenta de CANT",Tabla9,"PROV",[1]Tablas!$A$114,"SEFIS",F$16,"CANT",[1]Tablas!$A80),0)</f>
        <v>0</v>
      </c>
      <c r="G109" s="15">
        <f ca="1">IFERROR(GETPIVOTDATA("Cuenta de CANT",Tabla9,"PROV",[1]Tablas!$A$27,"SEFIS",G$16,"CANT",[1]Tablas!$A80),0)+IFERROR(GETPIVOTDATA("Cuenta de CANT",Tabla9,"PROV",[1]Tablas!$A$49,"SEFIS",G$16,"CANT",[1]Tablas!$A80),0)+IFERROR(GETPIVOTDATA("Cuenta de CANT",Tabla9,"PROV",[1]Tablas!$A$66,"SEFIS",G$16,"CANT",[1]Tablas!$A80),0)+IFERROR(GETPIVOTDATA("Cuenta de CANT",Tabla9,"PROV",[1]Tablas!$A$76,"SEFIS",G$16,"CANT",[1]Tablas!$A80),0)+IFERROR(GETPIVOTDATA("Cuenta de CANT",Tabla9,"PROV",[1]Tablas!$A$88,"SEFIS",G$16,"CANT",[1]Tablas!$A80),0)+IFERROR(GETPIVOTDATA("Cuenta de CANT",Tabla9,"PROV",[1]Tablas!$A$101,"SEFIS",G$16,"CANT",[1]Tablas!$A80),0)+IFERROR(GETPIVOTDATA("Cuenta de CANT",Tabla9,"PROV",[1]Tablas!$A$114,"SEFIS",G$16,"CANT",[1]Tablas!$A80),0)</f>
        <v>0</v>
      </c>
      <c r="H109" s="15">
        <f ca="1">IFERROR(GETPIVOTDATA("Cuenta de CANT",Tabla9,"PROV",[1]Tablas!$A$27,"SEFIS",H$16,"CANT",[1]Tablas!$A80),0)+IFERROR(GETPIVOTDATA("Cuenta de CANT",Tabla9,"PROV",[1]Tablas!$A$49,"SEFIS",H$16,"CANT",[1]Tablas!$A80),0)+IFERROR(GETPIVOTDATA("Cuenta de CANT",Tabla9,"PROV",[1]Tablas!$A$66,"SEFIS",H$16,"CANT",[1]Tablas!$A80),0)+IFERROR(GETPIVOTDATA("Cuenta de CANT",Tabla9,"PROV",[1]Tablas!$A$76,"SEFIS",H$16,"CANT",[1]Tablas!$A80),0)+IFERROR(GETPIVOTDATA("Cuenta de CANT",Tabla9,"PROV",[1]Tablas!$A$88,"SEFIS",H$16,"CANT",[1]Tablas!$A80),0)+IFERROR(GETPIVOTDATA("Cuenta de CANT",Tabla9,"PROV",[1]Tablas!$A$101,"SEFIS",H$16,"CANT",[1]Tablas!$A80),0)+IFERROR(GETPIVOTDATA("Cuenta de CANT",Tabla9,"PROV",[1]Tablas!$A$114,"SEFIS",H$16,"CANT",[1]Tablas!$A80),0)</f>
        <v>0</v>
      </c>
      <c r="I109" s="15">
        <f ca="1">IFERROR(GETPIVOTDATA("Cuenta de CANT",Tabla9,"PROV",[1]Tablas!$A$27,"SEFIS",I$16,"CANT",[1]Tablas!$A80),0)+IFERROR(GETPIVOTDATA("Cuenta de CANT",Tabla9,"PROV",[1]Tablas!$A$49,"SEFIS",I$16,"CANT",[1]Tablas!$A80),0)+IFERROR(GETPIVOTDATA("Cuenta de CANT",Tabla9,"PROV",[1]Tablas!$A$66,"SEFIS",I$16,"CANT",[1]Tablas!$A80),0)+IFERROR(GETPIVOTDATA("Cuenta de CANT",Tabla9,"PROV",[1]Tablas!$A$76,"SEFIS",I$16,"CANT",[1]Tablas!$A80),0)+IFERROR(GETPIVOTDATA("Cuenta de CANT",Tabla9,"PROV",[1]Tablas!$A$88,"SEFIS",I$16,"CANT",[1]Tablas!$A80),0)+IFERROR(GETPIVOTDATA("Cuenta de CANT",Tabla9,"PROV",[1]Tablas!$A$101,"SEFIS",I$16,"CANT",[1]Tablas!$A80),0)+IFERROR(GETPIVOTDATA("Cuenta de CANT",Tabla9,"PROV",[1]Tablas!$A$114,"SEFIS",I$16,"CANT",[1]Tablas!$A80),0)</f>
        <v>0</v>
      </c>
      <c r="J109" s="15">
        <f ca="1">IFERROR(GETPIVOTDATA("Cuenta de CANT",Tabla9,"PROV",[1]Tablas!$A$27,"SEFIS",J$16,"CANT",[1]Tablas!$A80),0)+IFERROR(GETPIVOTDATA("Cuenta de CANT",Tabla9,"PROV",[1]Tablas!$A$49,"SEFIS",J$16,"CANT",[1]Tablas!$A80),0)+IFERROR(GETPIVOTDATA("Cuenta de CANT",Tabla9,"PROV",[1]Tablas!$A$66,"SEFIS",J$16,"CANT",[1]Tablas!$A80),0)+IFERROR(GETPIVOTDATA("Cuenta de CANT",Tabla9,"PROV",[1]Tablas!$A$76,"SEFIS",J$16,"CANT",[1]Tablas!$A80),0)+IFERROR(GETPIVOTDATA("Cuenta de CANT",Tabla9,"PROV",[1]Tablas!$A$88,"SEFIS",J$16,"CANT",[1]Tablas!$A80),0)+IFERROR(GETPIVOTDATA("Cuenta de CANT",Tabla9,"PROV",[1]Tablas!$A$101,"SEFIS",J$16,"CANT",[1]Tablas!$A80),0)+IFERROR(GETPIVOTDATA("Cuenta de CANT",Tabla9,"PROV",[1]Tablas!$A$114,"SEFIS",J$16,"CANT",[1]Tablas!$A80),0)</f>
        <v>0</v>
      </c>
      <c r="K109" s="15">
        <f ca="1">IFERROR(GETPIVOTDATA("Cuenta de CANT",Tabla9,"PROV",[1]Tablas!$A$27,"SEFIS",K$16,"CANT",[1]Tablas!$A80),0)+IFERROR(GETPIVOTDATA("Cuenta de CANT",Tabla9,"PROV",[1]Tablas!$A$49,"SEFIS",K$16,"CANT",[1]Tablas!$A80),0)+IFERROR(GETPIVOTDATA("Cuenta de CANT",Tabla9,"PROV",[1]Tablas!$A$66,"SEFIS",K$16,"CANT",[1]Tablas!$A80),0)+IFERROR(GETPIVOTDATA("Cuenta de CANT",Tabla9,"PROV",[1]Tablas!$A$76,"SEFIS",K$16,"CANT",[1]Tablas!$A80),0)+IFERROR(GETPIVOTDATA("Cuenta de CANT",Tabla9,"PROV",[1]Tablas!$A$88,"SEFIS",K$16,"CANT",[1]Tablas!$A80),0)+IFERROR(GETPIVOTDATA("Cuenta de CANT",Tabla9,"PROV",[1]Tablas!$A$101,"SEFIS",K$16,"CANT",[1]Tablas!$A80),0)+IFERROR(GETPIVOTDATA("Cuenta de CANT",Tabla9,"PROV",[1]Tablas!$A$114,"SEFIS",K$16,"CANT",[1]Tablas!$A80),0)</f>
        <v>0</v>
      </c>
      <c r="L109" s="15">
        <f ca="1">IFERROR(GETPIVOTDATA("Cuenta de CANT",Tabla9,"PROV",[1]Tablas!$A$27,"SEFIS",L$16,"CANT",[1]Tablas!$A80),0)+IFERROR(GETPIVOTDATA("Cuenta de CANT",Tabla9,"PROV",[1]Tablas!$A$49,"SEFIS",L$16,"CANT",[1]Tablas!$A80),0)+IFERROR(GETPIVOTDATA("Cuenta de CANT",Tabla9,"PROV",[1]Tablas!$A$66,"SEFIS",L$16,"CANT",[1]Tablas!$A80),0)+IFERROR(GETPIVOTDATA("Cuenta de CANT",Tabla9,"PROV",[1]Tablas!$A$76,"SEFIS",L$16,"CANT",[1]Tablas!$A80),0)+IFERROR(GETPIVOTDATA("Cuenta de CANT",Tabla9,"PROV",[1]Tablas!$A$88,"SEFIS",L$16,"CANT",[1]Tablas!$A80),0)+IFERROR(GETPIVOTDATA("Cuenta de CANT",Tabla9,"PROV",[1]Tablas!$A$101,"SEFIS",L$16,"CANT",[1]Tablas!$A80),0)+IFERROR(GETPIVOTDATA("Cuenta de CANT",Tabla9,"PROV",[1]Tablas!$A$114,"SEFIS",L$16,"CANT",[1]Tablas!$A80),0)</f>
        <v>0</v>
      </c>
      <c r="M109" s="15">
        <f ca="1">IFERROR(GETPIVOTDATA("Cuenta de CANT",Tabla9,"PROV",[1]Tablas!$A$27,"SEFIS",M$16,"CANT",[1]Tablas!$A80),0)+IFERROR(GETPIVOTDATA("Cuenta de CANT",Tabla9,"PROV",[1]Tablas!$A$49,"SEFIS",M$16,"CANT",[1]Tablas!$A80),0)+IFERROR(GETPIVOTDATA("Cuenta de CANT",Tabla9,"PROV",[1]Tablas!$A$66,"SEFIS",M$16,"CANT",[1]Tablas!$A80),0)+IFERROR(GETPIVOTDATA("Cuenta de CANT",Tabla9,"PROV",[1]Tablas!$A$76,"SEFIS",M$16,"CANT",[1]Tablas!$A80),0)+IFERROR(GETPIVOTDATA("Cuenta de CANT",Tabla9,"PROV",[1]Tablas!$A$88,"SEFIS",M$16,"CANT",[1]Tablas!$A80),0)+IFERROR(GETPIVOTDATA("Cuenta de CANT",Tabla9,"PROV",[1]Tablas!$A$101,"SEFIS",M$16,"CANT",[1]Tablas!$A80),0)+IFERROR(GETPIVOTDATA("Cuenta de CANT",Tabla9,"PROV",[1]Tablas!$A$114,"SEFIS",M$16,"CANT",[1]Tablas!$A80),0)</f>
        <v>0</v>
      </c>
      <c r="N109" s="15">
        <f ca="1">IFERROR(GETPIVOTDATA("Cuenta de CANT",Tabla9,"PROV",[1]Tablas!$A$27,"SEFIS",N$16,"CANT",[1]Tablas!$A80),0)+IFERROR(GETPIVOTDATA("Cuenta de CANT",Tabla9,"PROV",[1]Tablas!$A$49,"SEFIS",N$16,"CANT",[1]Tablas!$A80),0)+IFERROR(GETPIVOTDATA("Cuenta de CANT",Tabla9,"PROV",[1]Tablas!$A$66,"SEFIS",N$16,"CANT",[1]Tablas!$A80),0)+IFERROR(GETPIVOTDATA("Cuenta de CANT",Tabla9,"PROV",[1]Tablas!$A$76,"SEFIS",N$16,"CANT",[1]Tablas!$A80),0)+IFERROR(GETPIVOTDATA("Cuenta de CANT",Tabla9,"PROV",[1]Tablas!$A$88,"SEFIS",N$16,"CANT",[1]Tablas!$A80),0)+IFERROR(GETPIVOTDATA("Cuenta de CANT",Tabla9,"PROV",[1]Tablas!$A$101,"SEFIS",N$16,"CANT",[1]Tablas!$A80),0)+IFERROR(GETPIVOTDATA("Cuenta de CANT",Tabla9,"PROV",[1]Tablas!$A$114,"SEFIS",N$16,"CANT",[1]Tablas!$A80),0)</f>
        <v>0</v>
      </c>
      <c r="O109" s="15">
        <f ca="1">IFERROR(GETPIVOTDATA("Cuenta de CANT",Tabla9,"PROV",[1]Tablas!$A$27,"SEFIS",O$16,"CANT",[1]Tablas!$A80),0)+IFERROR(GETPIVOTDATA("Cuenta de CANT",Tabla9,"PROV",[1]Tablas!$A$49,"SEFIS",O$16,"CANT",[1]Tablas!$A80),0)+IFERROR(GETPIVOTDATA("Cuenta de CANT",Tabla9,"PROV",[1]Tablas!$A$66,"SEFIS",O$16,"CANT",[1]Tablas!$A80),0)+IFERROR(GETPIVOTDATA("Cuenta de CANT",Tabla9,"PROV",[1]Tablas!$A$76,"SEFIS",O$16,"CANT",[1]Tablas!$A80),0)+IFERROR(GETPIVOTDATA("Cuenta de CANT",Tabla9,"PROV",[1]Tablas!$A$88,"SEFIS",O$16,"CANT",[1]Tablas!$A80),0)+IFERROR(GETPIVOTDATA("Cuenta de CANT",Tabla9,"PROV",[1]Tablas!$A$101,"SEFIS",O$16,"CANT",[1]Tablas!$A80),0)+IFERROR(GETPIVOTDATA("Cuenta de CANT",Tabla9,"PROV",[1]Tablas!$A$114,"SEFIS",O$16,"CANT",[1]Tablas!$A80),0)</f>
        <v>0</v>
      </c>
      <c r="P109" s="15">
        <f ca="1">IFERROR(GETPIVOTDATA("Cuenta de CANT",Tabla9,"PROV",[1]Tablas!$A$27,"SEFIS",P$16,"CANT",[1]Tablas!$A80),0)+IFERROR(GETPIVOTDATA("Cuenta de CANT",Tabla9,"PROV",[1]Tablas!$A$49,"SEFIS",P$16,"CANT",[1]Tablas!$A80),0)+IFERROR(GETPIVOTDATA("Cuenta de CANT",Tabla9,"PROV",[1]Tablas!$A$66,"SEFIS",P$16,"CANT",[1]Tablas!$A80),0)+IFERROR(GETPIVOTDATA("Cuenta de CANT",Tabla9,"PROV",[1]Tablas!$A$76,"SEFIS",P$16,"CANT",[1]Tablas!$A80),0)+IFERROR(GETPIVOTDATA("Cuenta de CANT",Tabla9,"PROV",[1]Tablas!$A$88,"SEFIS",P$16,"CANT",[1]Tablas!$A80),0)+IFERROR(GETPIVOTDATA("Cuenta de CANT",Tabla9,"PROV",[1]Tablas!$A$101,"SEFIS",P$16,"CANT",[1]Tablas!$A80),0)+IFERROR(GETPIVOTDATA("Cuenta de CANT",Tabla9,"PROV",[1]Tablas!$A$114,"SEFIS",P$16,"CANT",[1]Tablas!$A80),0)</f>
        <v>0</v>
      </c>
      <c r="Q109" s="15">
        <f ca="1">IFERROR(GETPIVOTDATA("Cuenta de CANT",Tabla9,"PROV",[1]Tablas!$A$27,"SEFIS",Q$16,"CANT",[1]Tablas!$A80),0)+IFERROR(GETPIVOTDATA("Cuenta de CANT",Tabla9,"PROV",[1]Tablas!$A$49,"SEFIS",Q$16,"CANT",[1]Tablas!$A80),0)+IFERROR(GETPIVOTDATA("Cuenta de CANT",Tabla9,"PROV",[1]Tablas!$A$66,"SEFIS",Q$16,"CANT",[1]Tablas!$A80),0)+IFERROR(GETPIVOTDATA("Cuenta de CANT",Tabla9,"PROV",[1]Tablas!$A$76,"SEFIS",Q$16,"CANT",[1]Tablas!$A80),0)+IFERROR(GETPIVOTDATA("Cuenta de CANT",Tabla9,"PROV",[1]Tablas!$A$88,"SEFIS",Q$16,"CANT",[1]Tablas!$A80),0)+IFERROR(GETPIVOTDATA("Cuenta de CANT",Tabla9,"PROV",[1]Tablas!$A$101,"SEFIS",Q$16,"CANT",[1]Tablas!$A80),0)+IFERROR(GETPIVOTDATA("Cuenta de CANT",Tabla9,"PROV",[1]Tablas!$A$114,"SEFIS",Q$16,"CANT",[1]Tablas!$A80),0)</f>
        <v>0</v>
      </c>
      <c r="R109" s="15">
        <f ca="1">IFERROR(GETPIVOTDATA("Cuenta de CANT",Tabla9,"PROV",[1]Tablas!$A$27,"SEFIS",R$16,"CANT",[1]Tablas!$A80),0)+IFERROR(GETPIVOTDATA("Cuenta de CANT",Tabla9,"PROV",[1]Tablas!$A$49,"SEFIS",R$16,"CANT",[1]Tablas!$A80),0)+IFERROR(GETPIVOTDATA("Cuenta de CANT",Tabla9,"PROV",[1]Tablas!$A$66,"SEFIS",R$16,"CANT",[1]Tablas!$A80),0)+IFERROR(GETPIVOTDATA("Cuenta de CANT",Tabla9,"PROV",[1]Tablas!$A$76,"SEFIS",R$16,"CANT",[1]Tablas!$A80),0)+IFERROR(GETPIVOTDATA("Cuenta de CANT",Tabla9,"PROV",[1]Tablas!$A$88,"SEFIS",R$16,"CANT",[1]Tablas!$A80),0)+IFERROR(GETPIVOTDATA("Cuenta de CANT",Tabla9,"PROV",[1]Tablas!$A$101,"SEFIS",R$16,"CANT",[1]Tablas!$A80),0)+IFERROR(GETPIVOTDATA("Cuenta de CANT",Tabla9,"PROV",[1]Tablas!$A$114,"SEFIS",R$16,"CANT",[1]Tablas!$A80),0)</f>
        <v>0</v>
      </c>
      <c r="S109" s="15">
        <f ca="1">IFERROR(GETPIVOTDATA("Cuenta de CANT",Tabla9,"PROV",[1]Tablas!$A$27,"SEFIS",S$16,"CANT",[1]Tablas!$A80),0)+IFERROR(GETPIVOTDATA("Cuenta de CANT",Tabla9,"PROV",[1]Tablas!$A$49,"SEFIS",S$16,"CANT",[1]Tablas!$A80),0)+IFERROR(GETPIVOTDATA("Cuenta de CANT",Tabla9,"PROV",[1]Tablas!$A$66,"SEFIS",S$16,"CANT",[1]Tablas!$A80),0)+IFERROR(GETPIVOTDATA("Cuenta de CANT",Tabla9,"PROV",[1]Tablas!$A$76,"SEFIS",S$16,"CANT",[1]Tablas!$A80),0)+IFERROR(GETPIVOTDATA("Cuenta de CANT",Tabla9,"PROV",[1]Tablas!$A$88,"SEFIS",S$16,"CANT",[1]Tablas!$A80),0)+IFERROR(GETPIVOTDATA("Cuenta de CANT",Tabla9,"PROV",[1]Tablas!$A$101,"SEFIS",S$16,"CANT",[1]Tablas!$A80),0)+IFERROR(GETPIVOTDATA("Cuenta de CANT",Tabla9,"PROV",[1]Tablas!$A$114,"SEFIS",S$16,"CANT",[1]Tablas!$A80),0)</f>
        <v>0</v>
      </c>
      <c r="T109" s="15">
        <f ca="1">IFERROR(GETPIVOTDATA("Cuenta de CANT",Tabla9,"PROV",[1]Tablas!$A$27,"SEFIS",T$16,"CANT",[1]Tablas!$A80),0)+IFERROR(GETPIVOTDATA("Cuenta de CANT",Tabla9,"PROV",[1]Tablas!$A$49,"SEFIS",T$16,"CANT",[1]Tablas!$A80),0)+IFERROR(GETPIVOTDATA("Cuenta de CANT",Tabla9,"PROV",[1]Tablas!$A$66,"SEFIS",T$16,"CANT",[1]Tablas!$A80),0)+IFERROR(GETPIVOTDATA("Cuenta de CANT",Tabla9,"PROV",[1]Tablas!$A$76,"SEFIS",T$16,"CANT",[1]Tablas!$A80),0)+IFERROR(GETPIVOTDATA("Cuenta de CANT",Tabla9,"PROV",[1]Tablas!$A$88,"SEFIS",T$16,"CANT",[1]Tablas!$A80),0)+IFERROR(GETPIVOTDATA("Cuenta de CANT",Tabla9,"PROV",[1]Tablas!$A$101,"SEFIS",T$16,"CANT",[1]Tablas!$A80),0)+IFERROR(GETPIVOTDATA("Cuenta de CANT",Tabla9,"PROV",[1]Tablas!$A$114,"SEFIS",T$16,"CANT",[1]Tablas!$A80),0)</f>
        <v>0</v>
      </c>
      <c r="U109" s="15">
        <f ca="1">IFERROR(GETPIVOTDATA("Cuenta de CANT",Tabla9,"PROV",[1]Tablas!$A$27,"SEFIS",U$16,"CANT",[1]Tablas!$A80),0)+IFERROR(GETPIVOTDATA("Cuenta de CANT",Tabla9,"PROV",[1]Tablas!$A$49,"SEFIS",U$16,"CANT",[1]Tablas!$A80),0)+IFERROR(GETPIVOTDATA("Cuenta de CANT",Tabla9,"PROV",[1]Tablas!$A$66,"SEFIS",U$16,"CANT",[1]Tablas!$A80),0)+IFERROR(GETPIVOTDATA("Cuenta de CANT",Tabla9,"PROV",[1]Tablas!$A$76,"SEFIS",U$16,"CANT",[1]Tablas!$A80),0)+IFERROR(GETPIVOTDATA("Cuenta de CANT",Tabla9,"PROV",[1]Tablas!$A$88,"SEFIS",U$16,"CANT",[1]Tablas!$A80),0)+IFERROR(GETPIVOTDATA("Cuenta de CANT",Tabla9,"PROV",[1]Tablas!$A$101,"SEFIS",U$16,"CANT",[1]Tablas!$A80),0)+IFERROR(GETPIVOTDATA("Cuenta de CANT",Tabla9,"PROV",[1]Tablas!$A$114,"SEFIS",U$16,"CANT",[1]Tablas!$A80),0)</f>
        <v>0</v>
      </c>
      <c r="V109" s="15">
        <f ca="1">IFERROR(GETPIVOTDATA("Cuenta de CANT",Tabla9,"PROV",[1]Tablas!$A$27,"SEFIS",V$16,"CANT",[1]Tablas!$A80),0)+IFERROR(GETPIVOTDATA("Cuenta de CANT",Tabla9,"PROV",[1]Tablas!$A$49,"SEFIS",V$16,"CANT",[1]Tablas!$A80),0)+IFERROR(GETPIVOTDATA("Cuenta de CANT",Tabla9,"PROV",[1]Tablas!$A$66,"SEFIS",V$16,"CANT",[1]Tablas!$A80),0)+IFERROR(GETPIVOTDATA("Cuenta de CANT",Tabla9,"PROV",[1]Tablas!$A$76,"SEFIS",V$16,"CANT",[1]Tablas!$A80),0)+IFERROR(GETPIVOTDATA("Cuenta de CANT",Tabla9,"PROV",[1]Tablas!$A$88,"SEFIS",V$16,"CANT",[1]Tablas!$A80),0)+IFERROR(GETPIVOTDATA("Cuenta de CANT",Tabla9,"PROV",[1]Tablas!$A$101,"SEFIS",V$16,"CANT",[1]Tablas!$A80),0)+IFERROR(GETPIVOTDATA("Cuenta de CANT",Tabla9,"PROV",[1]Tablas!$A$114,"SEFIS",V$16,"CANT",[1]Tablas!$A80),0)</f>
        <v>0</v>
      </c>
      <c r="W109" s="15">
        <f ca="1">IFERROR(GETPIVOTDATA("Cuenta de CANT",Tabla9,"PROV",[1]Tablas!$A$27,"SEFIS",W$16,"CANT",[1]Tablas!$A80),0)+IFERROR(GETPIVOTDATA("Cuenta de CANT",Tabla9,"PROV",[1]Tablas!$A$49,"SEFIS",W$16,"CANT",[1]Tablas!$A80),0)+IFERROR(GETPIVOTDATA("Cuenta de CANT",Tabla9,"PROV",[1]Tablas!$A$66,"SEFIS",W$16,"CANT",[1]Tablas!$A80),0)+IFERROR(GETPIVOTDATA("Cuenta de CANT",Tabla9,"PROV",[1]Tablas!$A$76,"SEFIS",W$16,"CANT",[1]Tablas!$A80),0)+IFERROR(GETPIVOTDATA("Cuenta de CANT",Tabla9,"PROV",[1]Tablas!$A$88,"SEFIS",W$16,"CANT",[1]Tablas!$A80),0)+IFERROR(GETPIVOTDATA("Cuenta de CANT",Tabla9,"PROV",[1]Tablas!$A$101,"SEFIS",W$16,"CANT",[1]Tablas!$A80),0)+IFERROR(GETPIVOTDATA("Cuenta de CANT",Tabla9,"PROV",[1]Tablas!$A$114,"SEFIS",W$16,"CANT",[1]Tablas!$A80),0)</f>
        <v>0</v>
      </c>
      <c r="X109" s="15">
        <f ca="1">IFERROR(GETPIVOTDATA("Cuenta de CANT",Tabla9,"PROV",[1]Tablas!$A$27,"SEFIS",X$16,"CANT",[1]Tablas!$A80),0)+IFERROR(GETPIVOTDATA("Cuenta de CANT",Tabla9,"PROV",[1]Tablas!$A$49,"SEFIS",X$16,"CANT",[1]Tablas!$A80),0)+IFERROR(GETPIVOTDATA("Cuenta de CANT",Tabla9,"PROV",[1]Tablas!$A$66,"SEFIS",X$16,"CANT",[1]Tablas!$A80),0)+IFERROR(GETPIVOTDATA("Cuenta de CANT",Tabla9,"PROV",[1]Tablas!$A$76,"SEFIS",X$16,"CANT",[1]Tablas!$A80),0)+IFERROR(GETPIVOTDATA("Cuenta de CANT",Tabla9,"PROV",[1]Tablas!$A$88,"SEFIS",X$16,"CANT",[1]Tablas!$A80),0)+IFERROR(GETPIVOTDATA("Cuenta de CANT",Tabla9,"PROV",[1]Tablas!$A$101,"SEFIS",X$16,"CANT",[1]Tablas!$A80),0)+IFERROR(GETPIVOTDATA("Cuenta de CANT",Tabla9,"PROV",[1]Tablas!$A$114,"SEFIS",X$16,"CANT",[1]Tablas!$A80),0)</f>
        <v>0</v>
      </c>
      <c r="Y109" s="15">
        <f ca="1">IFERROR(GETPIVOTDATA("Cuenta de CANT",Tabla9,"PROV",[1]Tablas!$A$27,"SEFIS",Y$16,"CANT",[1]Tablas!$A80),0)+IFERROR(GETPIVOTDATA("Cuenta de CANT",Tabla9,"PROV",[1]Tablas!$A$49,"SEFIS",Y$16,"CANT",[1]Tablas!$A80),0)+IFERROR(GETPIVOTDATA("Cuenta de CANT",Tabla9,"PROV",[1]Tablas!$A$66,"SEFIS",Y$16,"CANT",[1]Tablas!$A80),0)+IFERROR(GETPIVOTDATA("Cuenta de CANT",Tabla9,"PROV",[1]Tablas!$A$76,"SEFIS",Y$16,"CANT",[1]Tablas!$A80),0)+IFERROR(GETPIVOTDATA("Cuenta de CANT",Tabla9,"PROV",[1]Tablas!$A$88,"SEFIS",Y$16,"CANT",[1]Tablas!$A80),0)+IFERROR(GETPIVOTDATA("Cuenta de CANT",Tabla9,"PROV",[1]Tablas!$A$101,"SEFIS",Y$16,"CANT",[1]Tablas!$A80),0)+IFERROR(GETPIVOTDATA("Cuenta de CANT",Tabla9,"PROV",[1]Tablas!$A$114,"SEFIS",Y$16,"CANT",[1]Tablas!$A80),0)</f>
        <v>0</v>
      </c>
      <c r="Z109" s="15">
        <f ca="1">IFERROR(GETPIVOTDATA("Cuenta de CANT",Tabla9,"PROV",[1]Tablas!$A$27,"SEFIS",Z$16,"CANT",[1]Tablas!$A80),0)+IFERROR(GETPIVOTDATA("Cuenta de CANT",Tabla9,"PROV",[1]Tablas!$A$49,"SEFIS",Z$16,"CANT",[1]Tablas!$A80),0)+IFERROR(GETPIVOTDATA("Cuenta de CANT",Tabla9,"PROV",[1]Tablas!$A$66,"SEFIS",Z$16,"CANT",[1]Tablas!$A80),0)+IFERROR(GETPIVOTDATA("Cuenta de CANT",Tabla9,"PROV",[1]Tablas!$A$76,"SEFIS",Z$16,"CANT",[1]Tablas!$A80),0)+IFERROR(GETPIVOTDATA("Cuenta de CANT",Tabla9,"PROV",[1]Tablas!$A$88,"SEFIS",Z$16,"CANT",[1]Tablas!$A80),0)+IFERROR(GETPIVOTDATA("Cuenta de CANT",Tabla9,"PROV",[1]Tablas!$A$101,"SEFIS",Z$16,"CANT",[1]Tablas!$A80),0)+IFERROR(GETPIVOTDATA("Cuenta de CANT",Tabla9,"PROV",[1]Tablas!$A$114,"SEFIS",Z$16,"CANT",[1]Tablas!$A80),0)</f>
        <v>0</v>
      </c>
      <c r="AA109" s="15">
        <f ca="1">IFERROR(GETPIVOTDATA("Cuenta de CANT",Tabla9,"PROV",[1]Tablas!$A$27,"SEFIS",AA$16,"CANT",[1]Tablas!$A80),0)+IFERROR(GETPIVOTDATA("Cuenta de CANT",Tabla9,"PROV",[1]Tablas!$A$49,"SEFIS",AA$16,"CANT",[1]Tablas!$A80),0)+IFERROR(GETPIVOTDATA("Cuenta de CANT",Tabla9,"PROV",[1]Tablas!$A$66,"SEFIS",AA$16,"CANT",[1]Tablas!$A80),0)+IFERROR(GETPIVOTDATA("Cuenta de CANT",Tabla9,"PROV",[1]Tablas!$A$76,"SEFIS",AA$16,"CANT",[1]Tablas!$A80),0)+IFERROR(GETPIVOTDATA("Cuenta de CANT",Tabla9,"PROV",[1]Tablas!$A$88,"SEFIS",AA$16,"CANT",[1]Tablas!$A80),0)+IFERROR(GETPIVOTDATA("Cuenta de CANT",Tabla9,"PROV",[1]Tablas!$A$101,"SEFIS",AA$16,"CANT",[1]Tablas!$A80),0)+IFERROR(GETPIVOTDATA("Cuenta de CANT",Tabla9,"PROV",[1]Tablas!$A$114,"SEFIS",AA$16,"CANT",[1]Tablas!$A80),0)</f>
        <v>0</v>
      </c>
      <c r="AB109" s="15">
        <f ca="1">IFERROR(GETPIVOTDATA("Cuenta de CANT",Tabla9,"PROV",[1]Tablas!$A$27,"SEFIS",AB$16,"CANT",[1]Tablas!$A80),0)+IFERROR(GETPIVOTDATA("Cuenta de CANT",Tabla9,"PROV",[1]Tablas!$A$49,"SEFIS",AB$16,"CANT",[1]Tablas!$A80),0)+IFERROR(GETPIVOTDATA("Cuenta de CANT",Tabla9,"PROV",[1]Tablas!$A$66,"SEFIS",AB$16,"CANT",[1]Tablas!$A80),0)+IFERROR(GETPIVOTDATA("Cuenta de CANT",Tabla9,"PROV",[1]Tablas!$A$76,"SEFIS",AB$16,"CANT",[1]Tablas!$A80),0)+IFERROR(GETPIVOTDATA("Cuenta de CANT",Tabla9,"PROV",[1]Tablas!$A$88,"SEFIS",AB$16,"CANT",[1]Tablas!$A80),0)+IFERROR(GETPIVOTDATA("Cuenta de CANT",Tabla9,"PROV",[1]Tablas!$A$101,"SEFIS",AB$16,"CANT",[1]Tablas!$A80),0)+IFERROR(GETPIVOTDATA("Cuenta de CANT",Tabla9,"PROV",[1]Tablas!$A$114,"SEFIS",AB$16,"CANT",[1]Tablas!$A80),0)</f>
        <v>0</v>
      </c>
      <c r="AC109" s="15">
        <f ca="1">IFERROR(GETPIVOTDATA("Cuenta de CANT",Tabla9,"PROV",[1]Tablas!$A$27,"SEFIS",AC$16,"CANT",[1]Tablas!$A80),0)+IFERROR(GETPIVOTDATA("Cuenta de CANT",Tabla9,"PROV",[1]Tablas!$A$49,"SEFIS",AC$16,"CANT",[1]Tablas!$A80),0)+IFERROR(GETPIVOTDATA("Cuenta de CANT",Tabla9,"PROV",[1]Tablas!$A$66,"SEFIS",AC$16,"CANT",[1]Tablas!$A80),0)+IFERROR(GETPIVOTDATA("Cuenta de CANT",Tabla9,"PROV",[1]Tablas!$A$76,"SEFIS",AC$16,"CANT",[1]Tablas!$A80),0)+IFERROR(GETPIVOTDATA("Cuenta de CANT",Tabla9,"PROV",[1]Tablas!$A$88,"SEFIS",AC$16,"CANT",[1]Tablas!$A80),0)+IFERROR(GETPIVOTDATA("Cuenta de CANT",Tabla9,"PROV",[1]Tablas!$A$101,"SEFIS",AC$16,"CANT",[1]Tablas!$A80),0)+IFERROR(GETPIVOTDATA("Cuenta de CANT",Tabla9,"PROV",[1]Tablas!$A$114,"SEFIS",AC$16,"CANT",[1]Tablas!$A80),0)</f>
        <v>0</v>
      </c>
      <c r="AD109" s="15">
        <f ca="1">IFERROR(GETPIVOTDATA("Cuenta de CANT",Tabla9,"PROV",[1]Tablas!$A$27,"SEFIS",AD$16,"CANT",[1]Tablas!$A80),0)+IFERROR(GETPIVOTDATA("Cuenta de CANT",Tabla9,"PROV",[1]Tablas!$A$49,"SEFIS",AD$16,"CANT",[1]Tablas!$A80),0)+IFERROR(GETPIVOTDATA("Cuenta de CANT",Tabla9,"PROV",[1]Tablas!$A$66,"SEFIS",AD$16,"CANT",[1]Tablas!$A80),0)+IFERROR(GETPIVOTDATA("Cuenta de CANT",Tabla9,"PROV",[1]Tablas!$A$76,"SEFIS",AD$16,"CANT",[1]Tablas!$A80),0)+IFERROR(GETPIVOTDATA("Cuenta de CANT",Tabla9,"PROV",[1]Tablas!$A$88,"SEFIS",AD$16,"CANT",[1]Tablas!$A80),0)+IFERROR(GETPIVOTDATA("Cuenta de CANT",Tabla9,"PROV",[1]Tablas!$A$101,"SEFIS",AD$16,"CANT",[1]Tablas!$A80),0)+IFERROR(GETPIVOTDATA("Cuenta de CANT",Tabla9,"PROV",[1]Tablas!$A$114,"SEFIS",AD$16,"CANT",[1]Tablas!$A80),0)</f>
        <v>0</v>
      </c>
      <c r="AE109" s="15">
        <f ca="1">IFERROR(GETPIVOTDATA("Cuenta de CANT",Tabla9,"PROV",[1]Tablas!$A$27,"SEFIS",AE$16,"CANT",[1]Tablas!$A80),0)+IFERROR(GETPIVOTDATA("Cuenta de CANT",Tabla9,"PROV",[1]Tablas!$A$49,"SEFIS",AE$16,"CANT",[1]Tablas!$A80),0)+IFERROR(GETPIVOTDATA("Cuenta de CANT",Tabla9,"PROV",[1]Tablas!$A$66,"SEFIS",AE$16,"CANT",[1]Tablas!$A80),0)+IFERROR(GETPIVOTDATA("Cuenta de CANT",Tabla9,"PROV",[1]Tablas!$A$76,"SEFIS",AE$16,"CANT",[1]Tablas!$A80),0)+IFERROR(GETPIVOTDATA("Cuenta de CANT",Tabla9,"PROV",[1]Tablas!$A$88,"SEFIS",AE$16,"CANT",[1]Tablas!$A80),0)+IFERROR(GETPIVOTDATA("Cuenta de CANT",Tabla9,"PROV",[1]Tablas!$A$101,"SEFIS",AE$16,"CANT",[1]Tablas!$A80),0)+IFERROR(GETPIVOTDATA("Cuenta de CANT",Tabla9,"PROV",[1]Tablas!$A$114,"SEFIS",AE$16,"CANT",[1]Tablas!$A80),0)</f>
        <v>0</v>
      </c>
      <c r="AF109" s="15">
        <f ca="1">IFERROR(GETPIVOTDATA("Cuenta de CANT",Tabla9,"PROV",[1]Tablas!$A$27,"SEFIS",AF$16,"CANT",[1]Tablas!$A80),0)+IFERROR(GETPIVOTDATA("Cuenta de CANT",Tabla9,"PROV",[1]Tablas!$A$49,"SEFIS",AF$16,"CANT",[1]Tablas!$A80),0)+IFERROR(GETPIVOTDATA("Cuenta de CANT",Tabla9,"PROV",[1]Tablas!$A$66,"SEFIS",AF$16,"CANT",[1]Tablas!$A80),0)+IFERROR(GETPIVOTDATA("Cuenta de CANT",Tabla9,"PROV",[1]Tablas!$A$76,"SEFIS",AF$16,"CANT",[1]Tablas!$A80),0)+IFERROR(GETPIVOTDATA("Cuenta de CANT",Tabla9,"PROV",[1]Tablas!$A$88,"SEFIS",AF$16,"CANT",[1]Tablas!$A80),0)+IFERROR(GETPIVOTDATA("Cuenta de CANT",Tabla9,"PROV",[1]Tablas!$A$101,"SEFIS",AF$16,"CANT",[1]Tablas!$A80),0)+IFERROR(GETPIVOTDATA("Cuenta de CANT",Tabla9,"PROV",[1]Tablas!$A$114,"SEFIS",AF$16,"CANT",[1]Tablas!$A80),0)</f>
        <v>0</v>
      </c>
      <c r="AG109" s="15">
        <f ca="1">IFERROR(GETPIVOTDATA("Cuenta de CANT",Tabla9,"PROV",[1]Tablas!$A$27,"SEFIS",AG$16,"CANT",[1]Tablas!$A80),0)+IFERROR(GETPIVOTDATA("Cuenta de CANT",Tabla9,"PROV",[1]Tablas!$A$49,"SEFIS",AG$16,"CANT",[1]Tablas!$A80),0)+IFERROR(GETPIVOTDATA("Cuenta de CANT",Tabla9,"PROV",[1]Tablas!$A$66,"SEFIS",AG$16,"CANT",[1]Tablas!$A80),0)+IFERROR(GETPIVOTDATA("Cuenta de CANT",Tabla9,"PROV",[1]Tablas!$A$76,"SEFIS",AG$16,"CANT",[1]Tablas!$A80),0)+IFERROR(GETPIVOTDATA("Cuenta de CANT",Tabla9,"PROV",[1]Tablas!$A$88,"SEFIS",AG$16,"CANT",[1]Tablas!$A80),0)+IFERROR(GETPIVOTDATA("Cuenta de CANT",Tabla9,"PROV",[1]Tablas!$A$101,"SEFIS",AG$16,"CANT",[1]Tablas!$A80),0)+IFERROR(GETPIVOTDATA("Cuenta de CANT",Tabla9,"PROV",[1]Tablas!$A$114,"SEFIS",AG$16,"CANT",[1]Tablas!$A80),0)</f>
        <v>0</v>
      </c>
      <c r="AH109" s="15">
        <f ca="1">IFERROR(GETPIVOTDATA("Cuenta de CANT",Tabla9,"PROV",[1]Tablas!$A$27,"SEFIS",AH$16,"CANT",[1]Tablas!$A80),0)+IFERROR(GETPIVOTDATA("Cuenta de CANT",Tabla9,"PROV",[1]Tablas!$A$49,"SEFIS",AH$16,"CANT",[1]Tablas!$A80),0)+IFERROR(GETPIVOTDATA("Cuenta de CANT",Tabla9,"PROV",[1]Tablas!$A$66,"SEFIS",AH$16,"CANT",[1]Tablas!$A80),0)+IFERROR(GETPIVOTDATA("Cuenta de CANT",Tabla9,"PROV",[1]Tablas!$A$76,"SEFIS",AH$16,"CANT",[1]Tablas!$A80),0)+IFERROR(GETPIVOTDATA("Cuenta de CANT",Tabla9,"PROV",[1]Tablas!$A$88,"SEFIS",AH$16,"CANT",[1]Tablas!$A80),0)+IFERROR(GETPIVOTDATA("Cuenta de CANT",Tabla9,"PROV",[1]Tablas!$A$101,"SEFIS",AH$16,"CANT",[1]Tablas!$A80),0)+IFERROR(GETPIVOTDATA("Cuenta de CANT",Tabla9,"PROV",[1]Tablas!$A$114,"SEFIS",AH$16,"CANT",[1]Tablas!$A80),0)</f>
        <v>0</v>
      </c>
      <c r="AI109" s="15">
        <f ca="1">IFERROR(GETPIVOTDATA("Cuenta de CANT",Tabla9,"PROV",[1]Tablas!$A$27,"SEFIS",AI$16,"CANT",[1]Tablas!$A80),0)+IFERROR(GETPIVOTDATA("Cuenta de CANT",Tabla9,"PROV",[1]Tablas!$A$49,"SEFIS",AI$16,"CANT",[1]Tablas!$A80),0)+IFERROR(GETPIVOTDATA("Cuenta de CANT",Tabla9,"PROV",[1]Tablas!$A$66,"SEFIS",AI$16,"CANT",[1]Tablas!$A80),0)+IFERROR(GETPIVOTDATA("Cuenta de CANT",Tabla9,"PROV",[1]Tablas!$A$76,"SEFIS",AI$16,"CANT",[1]Tablas!$A80),0)+IFERROR(GETPIVOTDATA("Cuenta de CANT",Tabla9,"PROV",[1]Tablas!$A$88,"SEFIS",AI$16,"CANT",[1]Tablas!$A80),0)+IFERROR(GETPIVOTDATA("Cuenta de CANT",Tabla9,"PROV",[1]Tablas!$A$101,"SEFIS",AI$16,"CANT",[1]Tablas!$A80),0)+IFERROR(GETPIVOTDATA("Cuenta de CANT",Tabla9,"PROV",[1]Tablas!$A$114,"SEFIS",AI$16,"CANT",[1]Tablas!$A80),0)</f>
        <v>0</v>
      </c>
      <c r="AJ109" s="15">
        <f ca="1">IFERROR(GETPIVOTDATA("Cuenta de CANT",Tabla9,"PROV",[1]Tablas!$A$27,"SEFIS",AJ$16,"CANT",[1]Tablas!$A80),0)+IFERROR(GETPIVOTDATA("Cuenta de CANT",Tabla9,"PROV",[1]Tablas!$A$49,"SEFIS",AJ$16,"CANT",[1]Tablas!$A80),0)+IFERROR(GETPIVOTDATA("Cuenta de CANT",Tabla9,"PROV",[1]Tablas!$A$66,"SEFIS",AJ$16,"CANT",[1]Tablas!$A80),0)+IFERROR(GETPIVOTDATA("Cuenta de CANT",Tabla9,"PROV",[1]Tablas!$A$76,"SEFIS",AJ$16,"CANT",[1]Tablas!$A80),0)+IFERROR(GETPIVOTDATA("Cuenta de CANT",Tabla9,"PROV",[1]Tablas!$A$88,"SEFIS",AJ$16,"CANT",[1]Tablas!$A80),0)+IFERROR(GETPIVOTDATA("Cuenta de CANT",Tabla9,"PROV",[1]Tablas!$A$101,"SEFIS",AJ$16,"CANT",[1]Tablas!$A80),0)+IFERROR(GETPIVOTDATA("Cuenta de CANT",Tabla9,"PROV",[1]Tablas!$A$114,"SEFIS",AJ$16,"CANT",[1]Tablas!$A80),0)</f>
        <v>0</v>
      </c>
      <c r="AK109" s="15">
        <f ca="1">IFERROR(GETPIVOTDATA("Cuenta de CANT",Tabla9,"PROV",[1]Tablas!$A$27,"SEFIS",AK$16,"CANT",[1]Tablas!$A80),0)+IFERROR(GETPIVOTDATA("Cuenta de CANT",Tabla9,"PROV",[1]Tablas!$A$49,"SEFIS",AK$16,"CANT",[1]Tablas!$A80),0)+IFERROR(GETPIVOTDATA("Cuenta de CANT",Tabla9,"PROV",[1]Tablas!$A$66,"SEFIS",AK$16,"CANT",[1]Tablas!$A80),0)+IFERROR(GETPIVOTDATA("Cuenta de CANT",Tabla9,"PROV",[1]Tablas!$A$76,"SEFIS",AK$16,"CANT",[1]Tablas!$A80),0)+IFERROR(GETPIVOTDATA("Cuenta de CANT",Tabla9,"PROV",[1]Tablas!$A$88,"SEFIS",AK$16,"CANT",[1]Tablas!$A80),0)+IFERROR(GETPIVOTDATA("Cuenta de CANT",Tabla9,"PROV",[1]Tablas!$A$101,"SEFIS",AK$16,"CANT",[1]Tablas!$A80),0)+IFERROR(GETPIVOTDATA("Cuenta de CANT",Tabla9,"PROV",[1]Tablas!$A$114,"SEFIS",AK$16,"CANT",[1]Tablas!$A80),0)</f>
        <v>0</v>
      </c>
      <c r="AL109" s="15">
        <f ca="1">IFERROR(GETPIVOTDATA("Cuenta de CANT",Tabla9,"PROV",[1]Tablas!$A$27,"SEFIS",AL$16,"CANT",[1]Tablas!$A80),0)+IFERROR(GETPIVOTDATA("Cuenta de CANT",Tabla9,"PROV",[1]Tablas!$A$49,"SEFIS",AL$16,"CANT",[1]Tablas!$A80),0)+IFERROR(GETPIVOTDATA("Cuenta de CANT",Tabla9,"PROV",[1]Tablas!$A$66,"SEFIS",AL$16,"CANT",[1]Tablas!$A80),0)+IFERROR(GETPIVOTDATA("Cuenta de CANT",Tabla9,"PROV",[1]Tablas!$A$76,"SEFIS",AL$16,"CANT",[1]Tablas!$A80),0)+IFERROR(GETPIVOTDATA("Cuenta de CANT",Tabla9,"PROV",[1]Tablas!$A$88,"SEFIS",AL$16,"CANT",[1]Tablas!$A80),0)+IFERROR(GETPIVOTDATA("Cuenta de CANT",Tabla9,"PROV",[1]Tablas!$A$101,"SEFIS",AL$16,"CANT",[1]Tablas!$A80),0)+IFERROR(GETPIVOTDATA("Cuenta de CANT",Tabla9,"PROV",[1]Tablas!$A$114,"SEFIS",AL$16,"CANT",[1]Tablas!$A80),0)</f>
        <v>0</v>
      </c>
      <c r="AM109" s="15">
        <f ca="1">IFERROR(GETPIVOTDATA("Cuenta de CANT",Tabla9,"PROV",[1]Tablas!$A$27,"SEFIS",AM$16,"CANT",[1]Tablas!$A80),0)+IFERROR(GETPIVOTDATA("Cuenta de CANT",Tabla9,"PROV",[1]Tablas!$A$49,"SEFIS",AM$16,"CANT",[1]Tablas!$A80),0)+IFERROR(GETPIVOTDATA("Cuenta de CANT",Tabla9,"PROV",[1]Tablas!$A$66,"SEFIS",AM$16,"CANT",[1]Tablas!$A80),0)+IFERROR(GETPIVOTDATA("Cuenta de CANT",Tabla9,"PROV",[1]Tablas!$A$76,"SEFIS",AM$16,"CANT",[1]Tablas!$A80),0)+IFERROR(GETPIVOTDATA("Cuenta de CANT",Tabla9,"PROV",[1]Tablas!$A$88,"SEFIS",AM$16,"CANT",[1]Tablas!$A80),0)+IFERROR(GETPIVOTDATA("Cuenta de CANT",Tabla9,"PROV",[1]Tablas!$A$101,"SEFIS",AM$16,"CANT",[1]Tablas!$A80),0)+IFERROR(GETPIVOTDATA("Cuenta de CANT",Tabla9,"PROV",[1]Tablas!$A$114,"SEFIS",AM$16,"CANT",[1]Tablas!$A80),0)</f>
        <v>0</v>
      </c>
      <c r="AN109" s="15">
        <f ca="1">IFERROR(GETPIVOTDATA("Cuenta de CANT",Tabla9,"PROV",[1]Tablas!$A$27,"SEFIS",AN$16,"CANT",[1]Tablas!$A80),0)+IFERROR(GETPIVOTDATA("Cuenta de CANT",Tabla9,"PROV",[1]Tablas!$A$49,"SEFIS",AN$16,"CANT",[1]Tablas!$A80),0)+IFERROR(GETPIVOTDATA("Cuenta de CANT",Tabla9,"PROV",[1]Tablas!$A$66,"SEFIS",AN$16,"CANT",[1]Tablas!$A80),0)+IFERROR(GETPIVOTDATA("Cuenta de CANT",Tabla9,"PROV",[1]Tablas!$A$76,"SEFIS",AN$16,"CANT",[1]Tablas!$A80),0)+IFERROR(GETPIVOTDATA("Cuenta de CANT",Tabla9,"PROV",[1]Tablas!$A$88,"SEFIS",AN$16,"CANT",[1]Tablas!$A80),0)+IFERROR(GETPIVOTDATA("Cuenta de CANT",Tabla9,"PROV",[1]Tablas!$A$101,"SEFIS",AN$16,"CANT",[1]Tablas!$A80),0)+IFERROR(GETPIVOTDATA("Cuenta de CANT",Tabla9,"PROV",[1]Tablas!$A$114,"SEFIS",AN$16,"CANT",[1]Tablas!$A80),0)</f>
        <v>0</v>
      </c>
      <c r="AO109" s="15">
        <f ca="1">IFERROR(GETPIVOTDATA("Cuenta de CANT",Tabla9,"PROV",[1]Tablas!$A$27,"SEFIS",AO$16,"CANT",[1]Tablas!$A80),0)+IFERROR(GETPIVOTDATA("Cuenta de CANT",Tabla9,"PROV",[1]Tablas!$A$49,"SEFIS",AO$16,"CANT",[1]Tablas!$A80),0)+IFERROR(GETPIVOTDATA("Cuenta de CANT",Tabla9,"PROV",[1]Tablas!$A$66,"SEFIS",AO$16,"CANT",[1]Tablas!$A80),0)+IFERROR(GETPIVOTDATA("Cuenta de CANT",Tabla9,"PROV",[1]Tablas!$A$76,"SEFIS",AO$16,"CANT",[1]Tablas!$A80),0)+IFERROR(GETPIVOTDATA("Cuenta de CANT",Tabla9,"PROV",[1]Tablas!$A$88,"SEFIS",AO$16,"CANT",[1]Tablas!$A80),0)+IFERROR(GETPIVOTDATA("Cuenta de CANT",Tabla9,"PROV",[1]Tablas!$A$101,"SEFIS",AO$16,"CANT",[1]Tablas!$A80),0)+IFERROR(GETPIVOTDATA("Cuenta de CANT",Tabla9,"PROV",[1]Tablas!$A$114,"SEFIS",AO$16,"CANT",[1]Tablas!$A80),0)</f>
        <v>0</v>
      </c>
      <c r="AP109" s="15">
        <f ca="1">IFERROR(GETPIVOTDATA("Cuenta de CANT",Tabla9,"PROV",[1]Tablas!$A$27,"SEFIS",AP$16,"CANT",[1]Tablas!$A80),0)+IFERROR(GETPIVOTDATA("Cuenta de CANT",Tabla9,"PROV",[1]Tablas!$A$49,"SEFIS",AP$16,"CANT",[1]Tablas!$A80),0)+IFERROR(GETPIVOTDATA("Cuenta de CANT",Tabla9,"PROV",[1]Tablas!$A$66,"SEFIS",AP$16,"CANT",[1]Tablas!$A80),0)+IFERROR(GETPIVOTDATA("Cuenta de CANT",Tabla9,"PROV",[1]Tablas!$A$76,"SEFIS",AP$16,"CANT",[1]Tablas!$A80),0)+IFERROR(GETPIVOTDATA("Cuenta de CANT",Tabla9,"PROV",[1]Tablas!$A$88,"SEFIS",AP$16,"CANT",[1]Tablas!$A80),0)+IFERROR(GETPIVOTDATA("Cuenta de CANT",Tabla9,"PROV",[1]Tablas!$A$101,"SEFIS",AP$16,"CANT",[1]Tablas!$A80),0)+IFERROR(GETPIVOTDATA("Cuenta de CANT",Tabla9,"PROV",[1]Tablas!$A$114,"SEFIS",AP$16,"CANT",[1]Tablas!$A80),0)</f>
        <v>0</v>
      </c>
      <c r="AQ109" s="15">
        <f ca="1">IFERROR(GETPIVOTDATA("Cuenta de CANT",Tabla9,"PROV",[1]Tablas!$A$27,"SEFIS",AQ$16,"CANT",[1]Tablas!$A80),0)+IFERROR(GETPIVOTDATA("Cuenta de CANT",Tabla9,"PROV",[1]Tablas!$A$49,"SEFIS",AQ$16,"CANT",[1]Tablas!$A80),0)+IFERROR(GETPIVOTDATA("Cuenta de CANT",Tabla9,"PROV",[1]Tablas!$A$66,"SEFIS",AQ$16,"CANT",[1]Tablas!$A80),0)+IFERROR(GETPIVOTDATA("Cuenta de CANT",Tabla9,"PROV",[1]Tablas!$A$76,"SEFIS",AQ$16,"CANT",[1]Tablas!$A80),0)+IFERROR(GETPIVOTDATA("Cuenta de CANT",Tabla9,"PROV",[1]Tablas!$A$88,"SEFIS",AQ$16,"CANT",[1]Tablas!$A80),0)+IFERROR(GETPIVOTDATA("Cuenta de CANT",Tabla9,"PROV",[1]Tablas!$A$101,"SEFIS",AQ$16,"CANT",[1]Tablas!$A80),0)+IFERROR(GETPIVOTDATA("Cuenta de CANT",Tabla9,"PROV",[1]Tablas!$A$114,"SEFIS",AQ$16,"CANT",[1]Tablas!$A80),0)</f>
        <v>0</v>
      </c>
      <c r="AR109" s="15">
        <f ca="1">IFERROR(GETPIVOTDATA("Cuenta de CANT",Tabla9,"PROV",[1]Tablas!$A$27,"SEFIS",AR$16,"CANT",[1]Tablas!$A80),0)+IFERROR(GETPIVOTDATA("Cuenta de CANT",Tabla9,"PROV",[1]Tablas!$A$49,"SEFIS",AR$16,"CANT",[1]Tablas!$A80),0)+IFERROR(GETPIVOTDATA("Cuenta de CANT",Tabla9,"PROV",[1]Tablas!$A$66,"SEFIS",AR$16,"CANT",[1]Tablas!$A80),0)+IFERROR(GETPIVOTDATA("Cuenta de CANT",Tabla9,"PROV",[1]Tablas!$A$76,"SEFIS",AR$16,"CANT",[1]Tablas!$A80),0)+IFERROR(GETPIVOTDATA("Cuenta de CANT",Tabla9,"PROV",[1]Tablas!$A$88,"SEFIS",AR$16,"CANT",[1]Tablas!$A80),0)+IFERROR(GETPIVOTDATA("Cuenta de CANT",Tabla9,"PROV",[1]Tablas!$A$101,"SEFIS",AR$16,"CANT",[1]Tablas!$A80),0)+IFERROR(GETPIVOTDATA("Cuenta de CANT",Tabla9,"PROV",[1]Tablas!$A$114,"SEFIS",AR$16,"CANT",[1]Tablas!$A80),0)</f>
        <v>0</v>
      </c>
      <c r="AS109" s="15">
        <f ca="1">IFERROR(GETPIVOTDATA("Cuenta de CANT",Tabla9,"PROV",[1]Tablas!$A$27,"SEFIS",AS$16,"CANT",[1]Tablas!$A80),0)+IFERROR(GETPIVOTDATA("Cuenta de CANT",Tabla9,"PROV",[1]Tablas!$A$49,"SEFIS",AS$16,"CANT",[1]Tablas!$A80),0)+IFERROR(GETPIVOTDATA("Cuenta de CANT",Tabla9,"PROV",[1]Tablas!$A$66,"SEFIS",AS$16,"CANT",[1]Tablas!$A80),0)+IFERROR(GETPIVOTDATA("Cuenta de CANT",Tabla9,"PROV",[1]Tablas!$A$76,"SEFIS",AS$16,"CANT",[1]Tablas!$A80),0)+IFERROR(GETPIVOTDATA("Cuenta de CANT",Tabla9,"PROV",[1]Tablas!$A$88,"SEFIS",AS$16,"CANT",[1]Tablas!$A80),0)+IFERROR(GETPIVOTDATA("Cuenta de CANT",Tabla9,"PROV",[1]Tablas!$A$101,"SEFIS",AS$16,"CANT",[1]Tablas!$A80),0)+IFERROR(GETPIVOTDATA("Cuenta de CANT",Tabla9,"PROV",[1]Tablas!$A$114,"SEFIS",AS$16,"CANT",[1]Tablas!$A80),0)</f>
        <v>0</v>
      </c>
      <c r="AT109" s="15">
        <f ca="1">IFERROR(GETPIVOTDATA("Cuenta de CANT",Tabla9,"PROV",[1]Tablas!$A$27,"SEFIS",AT$16,"CANT",[1]Tablas!$A80),0)+IFERROR(GETPIVOTDATA("Cuenta de CANT",Tabla9,"PROV",[1]Tablas!$A$49,"SEFIS",AT$16,"CANT",[1]Tablas!$A80),0)+IFERROR(GETPIVOTDATA("Cuenta de CANT",Tabla9,"PROV",[1]Tablas!$A$66,"SEFIS",AT$16,"CANT",[1]Tablas!$A80),0)+IFERROR(GETPIVOTDATA("Cuenta de CANT",Tabla9,"PROV",[1]Tablas!$A$76,"SEFIS",AT$16,"CANT",[1]Tablas!$A80),0)+IFERROR(GETPIVOTDATA("Cuenta de CANT",Tabla9,"PROV",[1]Tablas!$A$88,"SEFIS",AT$16,"CANT",[1]Tablas!$A80),0)+IFERROR(GETPIVOTDATA("Cuenta de CANT",Tabla9,"PROV",[1]Tablas!$A$101,"SEFIS",AT$16,"CANT",[1]Tablas!$A80),0)+IFERROR(GETPIVOTDATA("Cuenta de CANT",Tabla9,"PROV",[1]Tablas!$A$114,"SEFIS",AT$16,"CANT",[1]Tablas!$A80),0)</f>
        <v>0</v>
      </c>
      <c r="AU109" s="15">
        <f ca="1">IFERROR(GETPIVOTDATA("Cuenta de CANT",Tabla9,"PROV",[1]Tablas!$A$27,"SEFIS",AU$16,"CANT",[1]Tablas!$A80),0)+IFERROR(GETPIVOTDATA("Cuenta de CANT",Tabla9,"PROV",[1]Tablas!$A$49,"SEFIS",AU$16,"CANT",[1]Tablas!$A80),0)+IFERROR(GETPIVOTDATA("Cuenta de CANT",Tabla9,"PROV",[1]Tablas!$A$66,"SEFIS",AU$16,"CANT",[1]Tablas!$A80),0)+IFERROR(GETPIVOTDATA("Cuenta de CANT",Tabla9,"PROV",[1]Tablas!$A$76,"SEFIS",AU$16,"CANT",[1]Tablas!$A80),0)+IFERROR(GETPIVOTDATA("Cuenta de CANT",Tabla9,"PROV",[1]Tablas!$A$88,"SEFIS",AU$16,"CANT",[1]Tablas!$A80),0)+IFERROR(GETPIVOTDATA("Cuenta de CANT",Tabla9,"PROV",[1]Tablas!$A$101,"SEFIS",AU$16,"CANT",[1]Tablas!$A80),0)+IFERROR(GETPIVOTDATA("Cuenta de CANT",Tabla9,"PROV",[1]Tablas!$A$114,"SEFIS",AU$16,"CANT",[1]Tablas!$A80),0)</f>
        <v>0</v>
      </c>
      <c r="AV109" s="15">
        <f ca="1">IFERROR(GETPIVOTDATA("Cuenta de CANT",Tabla9,"PROV",[1]Tablas!$A$27,"SEFIS",AV$16,"CANT",[1]Tablas!$A80),0)+IFERROR(GETPIVOTDATA("Cuenta de CANT",Tabla9,"PROV",[1]Tablas!$A$49,"SEFIS",AV$16,"CANT",[1]Tablas!$A80),0)+IFERROR(GETPIVOTDATA("Cuenta de CANT",Tabla9,"PROV",[1]Tablas!$A$66,"SEFIS",AV$16,"CANT",[1]Tablas!$A80),0)+IFERROR(GETPIVOTDATA("Cuenta de CANT",Tabla9,"PROV",[1]Tablas!$A$76,"SEFIS",AV$16,"CANT",[1]Tablas!$A80),0)+IFERROR(GETPIVOTDATA("Cuenta de CANT",Tabla9,"PROV",[1]Tablas!$A$88,"SEFIS",AV$16,"CANT",[1]Tablas!$A80),0)+IFERROR(GETPIVOTDATA("Cuenta de CANT",Tabla9,"PROV",[1]Tablas!$A$101,"SEFIS",AV$16,"CANT",[1]Tablas!$A80),0)+IFERROR(GETPIVOTDATA("Cuenta de CANT",Tabla9,"PROV",[1]Tablas!$A$114,"SEFIS",AV$16,"CANT",[1]Tablas!$A80),0)</f>
        <v>0</v>
      </c>
      <c r="AW109" s="15">
        <f ca="1">IFERROR(GETPIVOTDATA("Cuenta de CANT",Tabla9,"PROV",[1]Tablas!$A$27,"SEFIS",AW$16,"CANT",[1]Tablas!$A80),0)+IFERROR(GETPIVOTDATA("Cuenta de CANT",Tabla9,"PROV",[1]Tablas!$A$49,"SEFIS",AW$16,"CANT",[1]Tablas!$A80),0)+IFERROR(GETPIVOTDATA("Cuenta de CANT",Tabla9,"PROV",[1]Tablas!$A$66,"SEFIS",AW$16,"CANT",[1]Tablas!$A80),0)+IFERROR(GETPIVOTDATA("Cuenta de CANT",Tabla9,"PROV",[1]Tablas!$A$76,"SEFIS",AW$16,"CANT",[1]Tablas!$A80),0)+IFERROR(GETPIVOTDATA("Cuenta de CANT",Tabla9,"PROV",[1]Tablas!$A$88,"SEFIS",AW$16,"CANT",[1]Tablas!$A80),0)+IFERROR(GETPIVOTDATA("Cuenta de CANT",Tabla9,"PROV",[1]Tablas!$A$101,"SEFIS",AW$16,"CANT",[1]Tablas!$A80),0)+IFERROR(GETPIVOTDATA("Cuenta de CANT",Tabla9,"PROV",[1]Tablas!$A$114,"SEFIS",AW$16,"CANT",[1]Tablas!$A80),0)</f>
        <v>0</v>
      </c>
      <c r="AX109" s="15">
        <f ca="1">IFERROR(GETPIVOTDATA("Cuenta de CANT",Tabla9,"PROV",[1]Tablas!$A$27,"SEFIS",AX$16,"CANT",[1]Tablas!$A80),0)+IFERROR(GETPIVOTDATA("Cuenta de CANT",Tabla9,"PROV",[1]Tablas!$A$49,"SEFIS",AX$16,"CANT",[1]Tablas!$A80),0)+IFERROR(GETPIVOTDATA("Cuenta de CANT",Tabla9,"PROV",[1]Tablas!$A$66,"SEFIS",AX$16,"CANT",[1]Tablas!$A80),0)+IFERROR(GETPIVOTDATA("Cuenta de CANT",Tabla9,"PROV",[1]Tablas!$A$76,"SEFIS",AX$16,"CANT",[1]Tablas!$A80),0)+IFERROR(GETPIVOTDATA("Cuenta de CANT",Tabla9,"PROV",[1]Tablas!$A$88,"SEFIS",AX$16,"CANT",[1]Tablas!$A80),0)+IFERROR(GETPIVOTDATA("Cuenta de CANT",Tabla9,"PROV",[1]Tablas!$A$101,"SEFIS",AX$16,"CANT",[1]Tablas!$A80),0)+IFERROR(GETPIVOTDATA("Cuenta de CANT",Tabla9,"PROV",[1]Tablas!$A$114,"SEFIS",AX$16,"CANT",[1]Tablas!$A80),0)</f>
        <v>0</v>
      </c>
      <c r="AY109" s="15">
        <f ca="1">IFERROR(GETPIVOTDATA("Cuenta de CANT",Tabla9,"PROV",[1]Tablas!$A$27,"SEFIS",AY$16,"CANT",[1]Tablas!$A80),0)+IFERROR(GETPIVOTDATA("Cuenta de CANT",Tabla9,"PROV",[1]Tablas!$A$49,"SEFIS",AY$16,"CANT",[1]Tablas!$A80),0)+IFERROR(GETPIVOTDATA("Cuenta de CANT",Tabla9,"PROV",[1]Tablas!$A$66,"SEFIS",AY$16,"CANT",[1]Tablas!$A80),0)+IFERROR(GETPIVOTDATA("Cuenta de CANT",Tabla9,"PROV",[1]Tablas!$A$76,"SEFIS",AY$16,"CANT",[1]Tablas!$A80),0)+IFERROR(GETPIVOTDATA("Cuenta de CANT",Tabla9,"PROV",[1]Tablas!$A$88,"SEFIS",AY$16,"CANT",[1]Tablas!$A80),0)+IFERROR(GETPIVOTDATA("Cuenta de CANT",Tabla9,"PROV",[1]Tablas!$A$101,"SEFIS",AY$16,"CANT",[1]Tablas!$A80),0)+IFERROR(GETPIVOTDATA("Cuenta de CANT",Tabla9,"PROV",[1]Tablas!$A$114,"SEFIS",AY$16,"CANT",[1]Tablas!$A80),0)</f>
        <v>0</v>
      </c>
      <c r="AZ109" s="15">
        <f ca="1">IFERROR(GETPIVOTDATA("Cuenta de CANT",Tabla9,"PROV",[1]Tablas!$A$27,"SEFIS",AZ$16,"CANT",[1]Tablas!$A80),0)+IFERROR(GETPIVOTDATA("Cuenta de CANT",Tabla9,"PROV",[1]Tablas!$A$49,"SEFIS",AZ$16,"CANT",[1]Tablas!$A80),0)+IFERROR(GETPIVOTDATA("Cuenta de CANT",Tabla9,"PROV",[1]Tablas!$A$66,"SEFIS",AZ$16,"CANT",[1]Tablas!$A80),0)+IFERROR(GETPIVOTDATA("Cuenta de CANT",Tabla9,"PROV",[1]Tablas!$A$76,"SEFIS",AZ$16,"CANT",[1]Tablas!$A80),0)+IFERROR(GETPIVOTDATA("Cuenta de CANT",Tabla9,"PROV",[1]Tablas!$A$88,"SEFIS",AZ$16,"CANT",[1]Tablas!$A80),0)+IFERROR(GETPIVOTDATA("Cuenta de CANT",Tabla9,"PROV",[1]Tablas!$A$101,"SEFIS",AZ$16,"CANT",[1]Tablas!$A80),0)+IFERROR(GETPIVOTDATA("Cuenta de CANT",Tabla9,"PROV",[1]Tablas!$A$114,"SEFIS",AZ$16,"CANT",[1]Tablas!$A80),0)</f>
        <v>0</v>
      </c>
      <c r="BA109" s="15">
        <f ca="1">IFERROR(GETPIVOTDATA("Cuenta de CANT",Tabla9,"PROV",[1]Tablas!$A$27,"SEFIS",BA$16,"CANT",[1]Tablas!$A80),0)+IFERROR(GETPIVOTDATA("Cuenta de CANT",Tabla9,"PROV",[1]Tablas!$A$49,"SEFIS",BA$16,"CANT",[1]Tablas!$A80),0)+IFERROR(GETPIVOTDATA("Cuenta de CANT",Tabla9,"PROV",[1]Tablas!$A$66,"SEFIS",BA$16,"CANT",[1]Tablas!$A80),0)+IFERROR(GETPIVOTDATA("Cuenta de CANT",Tabla9,"PROV",[1]Tablas!$A$76,"SEFIS",BA$16,"CANT",[1]Tablas!$A80),0)+IFERROR(GETPIVOTDATA("Cuenta de CANT",Tabla9,"PROV",[1]Tablas!$A$88,"SEFIS",BA$16,"CANT",[1]Tablas!$A80),0)+IFERROR(GETPIVOTDATA("Cuenta de CANT",Tabla9,"PROV",[1]Tablas!$A$101,"SEFIS",BA$16,"CANT",[1]Tablas!$A80),0)+IFERROR(GETPIVOTDATA("Cuenta de CANT",Tabla9,"PROV",[1]Tablas!$A$114,"SEFIS",BA$16,"CANT",[1]Tablas!$A80),0)</f>
        <v>0</v>
      </c>
      <c r="BB109" s="15">
        <f ca="1">IFERROR(GETPIVOTDATA("Cuenta de CANT",Tabla9,"PROV",[1]Tablas!$A$27,"SEFIS",BB$16,"CANT",[1]Tablas!$A80),0)+IFERROR(GETPIVOTDATA("Cuenta de CANT",Tabla9,"PROV",[1]Tablas!$A$49,"SEFIS",BB$16,"CANT",[1]Tablas!$A80),0)+IFERROR(GETPIVOTDATA("Cuenta de CANT",Tabla9,"PROV",[1]Tablas!$A$66,"SEFIS",BB$16,"CANT",[1]Tablas!$A80),0)+IFERROR(GETPIVOTDATA("Cuenta de CANT",Tabla9,"PROV",[1]Tablas!$A$76,"SEFIS",BB$16,"CANT",[1]Tablas!$A80),0)+IFERROR(GETPIVOTDATA("Cuenta de CANT",Tabla9,"PROV",[1]Tablas!$A$88,"SEFIS",BB$16,"CANT",[1]Tablas!$A80),0)+IFERROR(GETPIVOTDATA("Cuenta de CANT",Tabla9,"PROV",[1]Tablas!$A$101,"SEFIS",BB$16,"CANT",[1]Tablas!$A80),0)+IFERROR(GETPIVOTDATA("Cuenta de CANT",Tabla9,"PROV",[1]Tablas!$A$114,"SEFIS",BB$16,"CANT",[1]Tablas!$A80),0)</f>
        <v>0</v>
      </c>
      <c r="BC109" s="15">
        <f ca="1">IFERROR(GETPIVOTDATA("Cuenta de CANT",Tabla9,"PROV",[1]Tablas!$A$27,"SEFIS",BC$16,"CANT",[1]Tablas!$A80),0)+IFERROR(GETPIVOTDATA("Cuenta de CANT",Tabla9,"PROV",[1]Tablas!$A$49,"SEFIS",BC$16,"CANT",[1]Tablas!$A80),0)+IFERROR(GETPIVOTDATA("Cuenta de CANT",Tabla9,"PROV",[1]Tablas!$A$66,"SEFIS",BC$16,"CANT",[1]Tablas!$A80),0)+IFERROR(GETPIVOTDATA("Cuenta de CANT",Tabla9,"PROV",[1]Tablas!$A$76,"SEFIS",BC$16,"CANT",[1]Tablas!$A80),0)+IFERROR(GETPIVOTDATA("Cuenta de CANT",Tabla9,"PROV",[1]Tablas!$A$88,"SEFIS",BC$16,"CANT",[1]Tablas!$A80),0)+IFERROR(GETPIVOTDATA("Cuenta de CANT",Tabla9,"PROV",[1]Tablas!$A$101,"SEFIS",BC$16,"CANT",[1]Tablas!$A80),0)+IFERROR(GETPIVOTDATA("Cuenta de CANT",Tabla9,"PROV",[1]Tablas!$A$114,"SEFIS",BC$16,"CANT",[1]Tablas!$A80),0)</f>
        <v>0</v>
      </c>
    </row>
    <row r="110" spans="1:55" x14ac:dyDescent="0.35">
      <c r="A110" s="17" t="s">
        <v>100</v>
      </c>
      <c r="B110" s="18"/>
      <c r="C110" s="18"/>
      <c r="D110" s="18"/>
      <c r="E110" s="18"/>
      <c r="F110" s="18"/>
      <c r="G110" s="18"/>
      <c r="H110" s="18"/>
      <c r="I110" s="18"/>
      <c r="J110" s="18"/>
      <c r="K110" s="18"/>
      <c r="L110" s="18"/>
      <c r="M110" s="18"/>
      <c r="N110" s="18"/>
      <c r="O110" s="18"/>
      <c r="P110" s="18"/>
      <c r="Q110" s="18"/>
      <c r="R110" s="18"/>
      <c r="S110" s="18"/>
      <c r="T110" s="18"/>
      <c r="U110" s="18"/>
      <c r="V110" s="18"/>
      <c r="W110" s="18"/>
      <c r="X110" s="18"/>
      <c r="Y110" s="18"/>
      <c r="Z110" s="18"/>
      <c r="AA110" s="18"/>
      <c r="AB110" s="18"/>
      <c r="AC110" s="18"/>
      <c r="AD110" s="18"/>
      <c r="AE110" s="18"/>
      <c r="AF110" s="18"/>
      <c r="AG110" s="18"/>
      <c r="AH110" s="18"/>
      <c r="AI110" s="18"/>
      <c r="AJ110" s="18"/>
      <c r="AK110" s="18"/>
      <c r="AL110" s="18"/>
      <c r="AM110" s="18"/>
      <c r="AN110" s="18"/>
      <c r="AO110" s="18"/>
      <c r="AP110" s="18"/>
      <c r="AQ110" s="18"/>
      <c r="AR110" s="18"/>
      <c r="AS110" s="18"/>
      <c r="AT110" s="18"/>
      <c r="AU110" s="18"/>
      <c r="AV110" s="18"/>
      <c r="AW110" s="18"/>
      <c r="AX110" s="18"/>
      <c r="AY110" s="18"/>
      <c r="AZ110" s="18"/>
      <c r="BA110" s="18"/>
      <c r="BB110" s="18"/>
      <c r="BC110" s="18"/>
    </row>
    <row r="111" spans="1:55" x14ac:dyDescent="0.35">
      <c r="A111" s="14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2"/>
      <c r="BC111" s="2"/>
    </row>
  </sheetData>
  <mergeCells count="57">
    <mergeCell ref="AY8:AY9"/>
    <mergeCell ref="AZ8:AZ9"/>
    <mergeCell ref="BA8:BA9"/>
    <mergeCell ref="BB8:BB9"/>
    <mergeCell ref="BC8:BC9"/>
    <mergeCell ref="AX8:AX9"/>
    <mergeCell ref="AM8:AM9"/>
    <mergeCell ref="AN8:AN9"/>
    <mergeCell ref="AO8:AO9"/>
    <mergeCell ref="AP8:AP9"/>
    <mergeCell ref="AQ8:AQ9"/>
    <mergeCell ref="AR8:AR9"/>
    <mergeCell ref="AS8:AS9"/>
    <mergeCell ref="AT8:AT9"/>
    <mergeCell ref="AU8:AU9"/>
    <mergeCell ref="AV8:AV9"/>
    <mergeCell ref="AW8:AW9"/>
    <mergeCell ref="AL8:AL9"/>
    <mergeCell ref="AA8:AA9"/>
    <mergeCell ref="AB8:AB9"/>
    <mergeCell ref="AC8:AC9"/>
    <mergeCell ref="AD8:AD9"/>
    <mergeCell ref="AE8:AE9"/>
    <mergeCell ref="AF8:AF9"/>
    <mergeCell ref="AG8:AG9"/>
    <mergeCell ref="AH8:AH9"/>
    <mergeCell ref="AI8:AI9"/>
    <mergeCell ref="AJ8:AJ9"/>
    <mergeCell ref="AK8:AK9"/>
    <mergeCell ref="Z8:Z9"/>
    <mergeCell ref="O8:O9"/>
    <mergeCell ref="P8:P9"/>
    <mergeCell ref="Q8:Q9"/>
    <mergeCell ref="R8:R9"/>
    <mergeCell ref="S8:S9"/>
    <mergeCell ref="T8:T9"/>
    <mergeCell ref="U8:U9"/>
    <mergeCell ref="V8:V9"/>
    <mergeCell ref="W8:W9"/>
    <mergeCell ref="X8:X9"/>
    <mergeCell ref="Y8:Y9"/>
    <mergeCell ref="N8:N9"/>
    <mergeCell ref="A7:A9"/>
    <mergeCell ref="B7:C7"/>
    <mergeCell ref="D7:BC7"/>
    <mergeCell ref="B8:B9"/>
    <mergeCell ref="C8:C9"/>
    <mergeCell ref="D8:D9"/>
    <mergeCell ref="E8:E9"/>
    <mergeCell ref="F8:F9"/>
    <mergeCell ref="G8:G9"/>
    <mergeCell ref="H8:H9"/>
    <mergeCell ref="I8:I9"/>
    <mergeCell ref="J8:J9"/>
    <mergeCell ref="K8:K9"/>
    <mergeCell ref="L8:L9"/>
    <mergeCell ref="M8:M9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314BA1-A461-4DDC-8B4C-15C53FD10020}">
  <dimension ref="A1:BD111"/>
  <sheetViews>
    <sheetView workbookViewId="0"/>
  </sheetViews>
  <sheetFormatPr baseColWidth="10" defaultColWidth="11.453125" defaultRowHeight="14.5" x14ac:dyDescent="0.35"/>
  <sheetData>
    <row r="1" spans="1:56" x14ac:dyDescent="0.35">
      <c r="A1" s="1"/>
      <c r="B1" s="2"/>
      <c r="C1" s="3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</row>
    <row r="2" spans="1:56" x14ac:dyDescent="0.35">
      <c r="A2" s="1" t="s">
        <v>0</v>
      </c>
      <c r="B2" s="2"/>
      <c r="C2" s="3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</row>
    <row r="3" spans="1:56" x14ac:dyDescent="0.35">
      <c r="A3" s="1" t="s">
        <v>1</v>
      </c>
      <c r="B3" s="2"/>
      <c r="C3" s="3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</row>
    <row r="4" spans="1:56" x14ac:dyDescent="0.35">
      <c r="A4" s="4" t="s">
        <v>2</v>
      </c>
      <c r="B4" s="2"/>
      <c r="C4" s="3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  <c r="AU4" s="2"/>
      <c r="AV4" s="2"/>
      <c r="AW4" s="2"/>
      <c r="AX4" s="2"/>
      <c r="AY4" s="2"/>
      <c r="AZ4" s="2"/>
      <c r="BA4" s="2"/>
      <c r="BB4" s="2"/>
      <c r="BC4" s="2"/>
      <c r="BD4" s="2"/>
    </row>
    <row r="5" spans="1:56" x14ac:dyDescent="0.35">
      <c r="A5" s="1" t="s">
        <v>102</v>
      </c>
      <c r="B5" s="2"/>
      <c r="C5" s="3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  <c r="AN5" s="2"/>
      <c r="AO5" s="2"/>
      <c r="AP5" s="2"/>
      <c r="AQ5" s="2"/>
      <c r="AR5" s="2"/>
      <c r="AS5" s="2"/>
      <c r="AT5" s="2"/>
      <c r="AU5" s="2"/>
      <c r="AV5" s="2"/>
      <c r="AW5" s="2"/>
      <c r="AX5" s="2"/>
      <c r="AY5" s="2"/>
      <c r="AZ5" s="2"/>
      <c r="BA5" s="2"/>
      <c r="BB5" s="2"/>
      <c r="BC5" s="2"/>
      <c r="BD5" s="2"/>
    </row>
    <row r="6" spans="1:56" x14ac:dyDescent="0.35">
      <c r="A6" s="5"/>
      <c r="B6" s="6"/>
      <c r="C6" s="7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  <c r="AM6" s="2"/>
      <c r="AN6" s="2"/>
      <c r="AO6" s="2"/>
      <c r="AP6" s="2"/>
      <c r="AQ6" s="2"/>
      <c r="AR6" s="2"/>
      <c r="AS6" s="2"/>
      <c r="AT6" s="2"/>
      <c r="AU6" s="2"/>
      <c r="AV6" s="2"/>
      <c r="AW6" s="2"/>
      <c r="AX6" s="2"/>
      <c r="AY6" s="2"/>
      <c r="AZ6" s="2"/>
      <c r="BA6" s="2"/>
      <c r="BB6" s="2"/>
      <c r="BC6" s="2"/>
      <c r="BD6" s="2"/>
    </row>
    <row r="7" spans="1:56" x14ac:dyDescent="0.35">
      <c r="A7" s="77" t="s">
        <v>4</v>
      </c>
      <c r="B7" s="80" t="s">
        <v>5</v>
      </c>
      <c r="C7" s="80"/>
      <c r="D7" s="81" t="s">
        <v>6</v>
      </c>
      <c r="E7" s="81"/>
      <c r="F7" s="81"/>
      <c r="G7" s="81"/>
      <c r="H7" s="81"/>
      <c r="I7" s="81"/>
      <c r="J7" s="81"/>
      <c r="K7" s="81"/>
      <c r="L7" s="81"/>
      <c r="M7" s="81"/>
      <c r="N7" s="81"/>
      <c r="O7" s="81"/>
      <c r="P7" s="81"/>
      <c r="Q7" s="81"/>
      <c r="R7" s="81"/>
      <c r="S7" s="81"/>
      <c r="T7" s="81"/>
      <c r="U7" s="81"/>
      <c r="V7" s="81"/>
      <c r="W7" s="81"/>
      <c r="X7" s="81"/>
      <c r="Y7" s="81"/>
      <c r="Z7" s="81"/>
      <c r="AA7" s="81"/>
      <c r="AB7" s="81"/>
      <c r="AC7" s="81"/>
      <c r="AD7" s="81"/>
      <c r="AE7" s="81"/>
      <c r="AF7" s="81"/>
      <c r="AG7" s="81"/>
      <c r="AH7" s="81"/>
      <c r="AI7" s="81"/>
      <c r="AJ7" s="81"/>
      <c r="AK7" s="81"/>
      <c r="AL7" s="81"/>
      <c r="AM7" s="81"/>
      <c r="AN7" s="81"/>
      <c r="AO7" s="81"/>
      <c r="AP7" s="81"/>
      <c r="AQ7" s="81"/>
      <c r="AR7" s="81"/>
      <c r="AS7" s="81"/>
      <c r="AT7" s="81"/>
      <c r="AU7" s="81"/>
      <c r="AV7" s="81"/>
      <c r="AW7" s="81"/>
      <c r="AX7" s="81"/>
      <c r="AY7" s="81"/>
      <c r="AZ7" s="81"/>
      <c r="BA7" s="81"/>
      <c r="BB7" s="81"/>
      <c r="BC7" s="81"/>
      <c r="BD7" s="81"/>
    </row>
    <row r="8" spans="1:56" x14ac:dyDescent="0.35">
      <c r="A8" s="78"/>
      <c r="B8" s="82" t="s">
        <v>7</v>
      </c>
      <c r="C8" s="84" t="s">
        <v>8</v>
      </c>
      <c r="D8" s="75">
        <v>1</v>
      </c>
      <c r="E8" s="75">
        <v>2</v>
      </c>
      <c r="F8" s="75">
        <v>3</v>
      </c>
      <c r="G8" s="75">
        <v>4</v>
      </c>
      <c r="H8" s="75">
        <v>5</v>
      </c>
      <c r="I8" s="75">
        <v>6</v>
      </c>
      <c r="J8" s="75">
        <v>7</v>
      </c>
      <c r="K8" s="75">
        <v>8</v>
      </c>
      <c r="L8" s="75">
        <v>9</v>
      </c>
      <c r="M8" s="75">
        <v>10</v>
      </c>
      <c r="N8" s="75">
        <v>11</v>
      </c>
      <c r="O8" s="75">
        <v>12</v>
      </c>
      <c r="P8" s="75">
        <v>13</v>
      </c>
      <c r="Q8" s="75">
        <v>14</v>
      </c>
      <c r="R8" s="75">
        <v>15</v>
      </c>
      <c r="S8" s="75">
        <v>16</v>
      </c>
      <c r="T8" s="75">
        <v>17</v>
      </c>
      <c r="U8" s="75">
        <v>18</v>
      </c>
      <c r="V8" s="75">
        <v>19</v>
      </c>
      <c r="W8" s="75">
        <v>20</v>
      </c>
      <c r="X8" s="75">
        <v>21</v>
      </c>
      <c r="Y8" s="75">
        <v>22</v>
      </c>
      <c r="Z8" s="75">
        <v>23</v>
      </c>
      <c r="AA8" s="75">
        <v>24</v>
      </c>
      <c r="AB8" s="75">
        <v>25</v>
      </c>
      <c r="AC8" s="75">
        <v>26</v>
      </c>
      <c r="AD8" s="75">
        <v>27</v>
      </c>
      <c r="AE8" s="75">
        <v>28</v>
      </c>
      <c r="AF8" s="75">
        <v>29</v>
      </c>
      <c r="AG8" s="75">
        <v>30</v>
      </c>
      <c r="AH8" s="75">
        <v>31</v>
      </c>
      <c r="AI8" s="75">
        <v>32</v>
      </c>
      <c r="AJ8" s="75">
        <v>33</v>
      </c>
      <c r="AK8" s="75">
        <v>34</v>
      </c>
      <c r="AL8" s="75">
        <v>35</v>
      </c>
      <c r="AM8" s="75">
        <v>36</v>
      </c>
      <c r="AN8" s="75">
        <v>37</v>
      </c>
      <c r="AO8" s="75">
        <v>38</v>
      </c>
      <c r="AP8" s="75">
        <v>39</v>
      </c>
      <c r="AQ8" s="75">
        <v>40</v>
      </c>
      <c r="AR8" s="75">
        <v>41</v>
      </c>
      <c r="AS8" s="75">
        <v>42</v>
      </c>
      <c r="AT8" s="75">
        <v>43</v>
      </c>
      <c r="AU8" s="75">
        <v>44</v>
      </c>
      <c r="AV8" s="75">
        <v>45</v>
      </c>
      <c r="AW8" s="75">
        <v>46</v>
      </c>
      <c r="AX8" s="75">
        <v>47</v>
      </c>
      <c r="AY8" s="75">
        <v>48</v>
      </c>
      <c r="AZ8" s="75">
        <v>49</v>
      </c>
      <c r="BA8" s="75">
        <v>50</v>
      </c>
      <c r="BB8" s="75">
        <v>51</v>
      </c>
      <c r="BC8" s="75">
        <v>52</v>
      </c>
      <c r="BD8" s="75">
        <v>53</v>
      </c>
    </row>
    <row r="9" spans="1:56" x14ac:dyDescent="0.35">
      <c r="A9" s="79"/>
      <c r="B9" s="83"/>
      <c r="C9" s="85"/>
      <c r="D9" s="76"/>
      <c r="E9" s="76"/>
      <c r="F9" s="76"/>
      <c r="G9" s="76"/>
      <c r="H9" s="76"/>
      <c r="I9" s="76"/>
      <c r="J9" s="76"/>
      <c r="K9" s="76"/>
      <c r="L9" s="76"/>
      <c r="M9" s="76"/>
      <c r="N9" s="76"/>
      <c r="O9" s="76"/>
      <c r="P9" s="76"/>
      <c r="Q9" s="76"/>
      <c r="R9" s="76"/>
      <c r="S9" s="76"/>
      <c r="T9" s="76"/>
      <c r="U9" s="76"/>
      <c r="V9" s="76"/>
      <c r="W9" s="76"/>
      <c r="X9" s="76"/>
      <c r="Y9" s="76"/>
      <c r="Z9" s="76"/>
      <c r="AA9" s="76"/>
      <c r="AB9" s="76"/>
      <c r="AC9" s="76"/>
      <c r="AD9" s="76"/>
      <c r="AE9" s="76"/>
      <c r="AF9" s="76"/>
      <c r="AG9" s="76"/>
      <c r="AH9" s="76"/>
      <c r="AI9" s="76"/>
      <c r="AJ9" s="76"/>
      <c r="AK9" s="76"/>
      <c r="AL9" s="76"/>
      <c r="AM9" s="76"/>
      <c r="AN9" s="76"/>
      <c r="AO9" s="76"/>
      <c r="AP9" s="76"/>
      <c r="AQ9" s="76"/>
      <c r="AR9" s="76"/>
      <c r="AS9" s="76"/>
      <c r="AT9" s="76"/>
      <c r="AU9" s="76"/>
      <c r="AV9" s="76"/>
      <c r="AW9" s="76"/>
      <c r="AX9" s="76"/>
      <c r="AY9" s="76"/>
      <c r="AZ9" s="76"/>
      <c r="BA9" s="76"/>
      <c r="BB9" s="76"/>
      <c r="BC9" s="76"/>
      <c r="BD9" s="76"/>
    </row>
    <row r="10" spans="1:56" x14ac:dyDescent="0.35">
      <c r="A10" s="8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2"/>
      <c r="AL10" s="2"/>
      <c r="AM10" s="2"/>
      <c r="AN10" s="2"/>
      <c r="AO10" s="2"/>
      <c r="AP10" s="2"/>
      <c r="AQ10" s="2"/>
      <c r="AR10" s="2"/>
      <c r="AS10" s="2"/>
      <c r="AT10" s="2"/>
      <c r="AU10" s="2"/>
      <c r="AV10" s="2"/>
      <c r="AW10" s="2"/>
      <c r="AX10" s="2"/>
      <c r="AY10" s="2"/>
      <c r="AZ10" s="2"/>
      <c r="BA10" s="2"/>
      <c r="BB10" s="2"/>
      <c r="BC10" s="2"/>
      <c r="BD10" s="2"/>
    </row>
    <row r="11" spans="1:56" x14ac:dyDescent="0.35">
      <c r="A11" s="9" t="s">
        <v>9</v>
      </c>
      <c r="B11" s="10">
        <v>8657</v>
      </c>
      <c r="C11" s="11">
        <v>171.15464040226186</v>
      </c>
      <c r="D11" s="10">
        <v>22</v>
      </c>
      <c r="E11" s="10">
        <v>27</v>
      </c>
      <c r="F11" s="10">
        <v>19</v>
      </c>
      <c r="G11" s="10">
        <v>23</v>
      </c>
      <c r="H11" s="10">
        <v>21</v>
      </c>
      <c r="I11" s="10">
        <v>26</v>
      </c>
      <c r="J11" s="10">
        <v>38</v>
      </c>
      <c r="K11" s="10">
        <v>40</v>
      </c>
      <c r="L11" s="10">
        <v>49</v>
      </c>
      <c r="M11" s="10">
        <v>34</v>
      </c>
      <c r="N11" s="10">
        <v>42</v>
      </c>
      <c r="O11" s="10">
        <v>36</v>
      </c>
      <c r="P11" s="10">
        <v>30</v>
      </c>
      <c r="Q11" s="10">
        <v>38</v>
      </c>
      <c r="R11" s="10">
        <v>40</v>
      </c>
      <c r="S11" s="10">
        <v>37</v>
      </c>
      <c r="T11" s="10">
        <v>50</v>
      </c>
      <c r="U11" s="10">
        <v>62</v>
      </c>
      <c r="V11" s="10">
        <v>90</v>
      </c>
      <c r="W11" s="10">
        <v>103</v>
      </c>
      <c r="X11" s="10">
        <v>150</v>
      </c>
      <c r="Y11" s="10">
        <v>132</v>
      </c>
      <c r="Z11" s="10">
        <v>189</v>
      </c>
      <c r="AA11" s="10">
        <v>176</v>
      </c>
      <c r="AB11" s="10">
        <v>189</v>
      </c>
      <c r="AC11" s="10">
        <v>173</v>
      </c>
      <c r="AD11" s="10">
        <v>181</v>
      </c>
      <c r="AE11" s="10">
        <v>235</v>
      </c>
      <c r="AF11" s="10">
        <v>263</v>
      </c>
      <c r="AG11" s="10">
        <v>305</v>
      </c>
      <c r="AH11" s="10">
        <v>320</v>
      </c>
      <c r="AI11" s="10">
        <v>322</v>
      </c>
      <c r="AJ11" s="10">
        <v>287</v>
      </c>
      <c r="AK11" s="10">
        <v>346</v>
      </c>
      <c r="AL11" s="10">
        <v>302</v>
      </c>
      <c r="AM11" s="10">
        <v>300</v>
      </c>
      <c r="AN11" s="10">
        <v>327</v>
      </c>
      <c r="AO11" s="10">
        <v>264</v>
      </c>
      <c r="AP11" s="10">
        <v>258</v>
      </c>
      <c r="AQ11" s="10">
        <v>302</v>
      </c>
      <c r="AR11" s="10">
        <v>256</v>
      </c>
      <c r="AS11" s="10">
        <v>268</v>
      </c>
      <c r="AT11" s="10">
        <v>280</v>
      </c>
      <c r="AU11" s="10">
        <v>233</v>
      </c>
      <c r="AV11" s="10">
        <v>261</v>
      </c>
      <c r="AW11" s="10">
        <v>265</v>
      </c>
      <c r="AX11" s="10">
        <v>239</v>
      </c>
      <c r="AY11" s="10">
        <v>268</v>
      </c>
      <c r="AZ11" s="10">
        <v>259</v>
      </c>
      <c r="BA11" s="10">
        <v>192</v>
      </c>
      <c r="BB11" s="10">
        <v>196</v>
      </c>
      <c r="BC11" s="10">
        <v>92</v>
      </c>
      <c r="BD11" s="10">
        <v>0</v>
      </c>
    </row>
    <row r="12" spans="1:56" x14ac:dyDescent="0.35">
      <c r="A12" s="1"/>
      <c r="B12" s="12"/>
      <c r="C12" s="13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/>
      <c r="AK12" s="2"/>
      <c r="AL12" s="2"/>
      <c r="AM12" s="2"/>
      <c r="AN12" s="2"/>
      <c r="AO12" s="2"/>
      <c r="AP12" s="2"/>
      <c r="AQ12" s="2"/>
      <c r="AR12" s="2"/>
      <c r="AS12" s="2"/>
      <c r="AT12" s="2"/>
      <c r="AU12" s="2"/>
      <c r="AV12" s="2"/>
      <c r="AW12" s="2"/>
      <c r="AX12" s="2"/>
      <c r="AY12" s="2"/>
      <c r="AZ12" s="2"/>
      <c r="BA12" s="2"/>
      <c r="BB12" s="2"/>
      <c r="BC12" s="2"/>
      <c r="BD12" s="2"/>
    </row>
    <row r="13" spans="1:56" x14ac:dyDescent="0.35">
      <c r="A13" s="1" t="s">
        <v>10</v>
      </c>
      <c r="B13" s="10">
        <v>914</v>
      </c>
      <c r="C13" s="11">
        <v>55.442291792660392</v>
      </c>
      <c r="D13" s="10">
        <v>8</v>
      </c>
      <c r="E13" s="10">
        <v>2</v>
      </c>
      <c r="F13" s="10">
        <v>3</v>
      </c>
      <c r="G13" s="10">
        <v>5</v>
      </c>
      <c r="H13" s="10">
        <v>4</v>
      </c>
      <c r="I13" s="10">
        <v>4</v>
      </c>
      <c r="J13" s="10">
        <v>6</v>
      </c>
      <c r="K13" s="10">
        <v>6</v>
      </c>
      <c r="L13" s="10">
        <v>5</v>
      </c>
      <c r="M13" s="10">
        <v>5</v>
      </c>
      <c r="N13" s="10">
        <v>6</v>
      </c>
      <c r="O13" s="10">
        <v>3</v>
      </c>
      <c r="P13" s="10">
        <v>6</v>
      </c>
      <c r="Q13" s="10">
        <v>9</v>
      </c>
      <c r="R13" s="10">
        <v>8</v>
      </c>
      <c r="S13" s="10">
        <v>6</v>
      </c>
      <c r="T13" s="10">
        <v>6</v>
      </c>
      <c r="U13" s="10">
        <v>14</v>
      </c>
      <c r="V13" s="10">
        <v>12</v>
      </c>
      <c r="W13" s="10">
        <v>10</v>
      </c>
      <c r="X13" s="10">
        <v>18</v>
      </c>
      <c r="Y13" s="10">
        <v>18</v>
      </c>
      <c r="Z13" s="10">
        <v>18</v>
      </c>
      <c r="AA13" s="10">
        <v>14</v>
      </c>
      <c r="AB13" s="10">
        <v>15</v>
      </c>
      <c r="AC13" s="10">
        <v>13</v>
      </c>
      <c r="AD13" s="10">
        <v>16</v>
      </c>
      <c r="AE13" s="10">
        <v>17</v>
      </c>
      <c r="AF13" s="10">
        <v>19</v>
      </c>
      <c r="AG13" s="10">
        <v>22</v>
      </c>
      <c r="AH13" s="10">
        <v>21</v>
      </c>
      <c r="AI13" s="10">
        <v>28</v>
      </c>
      <c r="AJ13" s="10">
        <v>25</v>
      </c>
      <c r="AK13" s="10">
        <v>30</v>
      </c>
      <c r="AL13" s="10">
        <v>16</v>
      </c>
      <c r="AM13" s="10">
        <v>17</v>
      </c>
      <c r="AN13" s="10">
        <v>32</v>
      </c>
      <c r="AO13" s="10">
        <v>29</v>
      </c>
      <c r="AP13" s="10">
        <v>14</v>
      </c>
      <c r="AQ13" s="10">
        <v>38</v>
      </c>
      <c r="AR13" s="10">
        <v>38</v>
      </c>
      <c r="AS13" s="10">
        <v>30</v>
      </c>
      <c r="AT13" s="10">
        <v>42</v>
      </c>
      <c r="AU13" s="10">
        <v>31</v>
      </c>
      <c r="AV13" s="10">
        <v>42</v>
      </c>
      <c r="AW13" s="10">
        <v>39</v>
      </c>
      <c r="AX13" s="10">
        <v>29</v>
      </c>
      <c r="AY13" s="10">
        <v>40</v>
      </c>
      <c r="AZ13" s="10">
        <v>24</v>
      </c>
      <c r="BA13" s="10">
        <v>20</v>
      </c>
      <c r="BB13" s="10">
        <v>17</v>
      </c>
      <c r="BC13" s="10">
        <v>14</v>
      </c>
      <c r="BD13" s="10">
        <v>0</v>
      </c>
    </row>
    <row r="14" spans="1:56" x14ac:dyDescent="0.35">
      <c r="A14" s="14" t="s">
        <v>11</v>
      </c>
      <c r="B14" s="15">
        <v>148</v>
      </c>
      <c r="C14" s="16">
        <v>42.917085929865365</v>
      </c>
      <c r="D14" s="15">
        <v>3</v>
      </c>
      <c r="E14" s="15">
        <v>0</v>
      </c>
      <c r="F14" s="15">
        <v>1</v>
      </c>
      <c r="G14" s="15">
        <v>0</v>
      </c>
      <c r="H14" s="15">
        <v>0</v>
      </c>
      <c r="I14" s="15">
        <v>2</v>
      </c>
      <c r="J14" s="15">
        <v>2</v>
      </c>
      <c r="K14" s="15">
        <v>1</v>
      </c>
      <c r="L14" s="15">
        <v>0</v>
      </c>
      <c r="M14" s="15">
        <v>2</v>
      </c>
      <c r="N14" s="15">
        <v>0</v>
      </c>
      <c r="O14" s="15">
        <v>0</v>
      </c>
      <c r="P14" s="15">
        <v>2</v>
      </c>
      <c r="Q14" s="15">
        <v>0</v>
      </c>
      <c r="R14" s="15">
        <v>0</v>
      </c>
      <c r="S14" s="15">
        <v>0</v>
      </c>
      <c r="T14" s="15">
        <v>0</v>
      </c>
      <c r="U14" s="15">
        <v>0</v>
      </c>
      <c r="V14" s="15">
        <v>2</v>
      </c>
      <c r="W14" s="15">
        <v>1</v>
      </c>
      <c r="X14" s="15">
        <v>1</v>
      </c>
      <c r="Y14" s="15">
        <v>2</v>
      </c>
      <c r="Z14" s="15">
        <v>2</v>
      </c>
      <c r="AA14" s="15">
        <v>2</v>
      </c>
      <c r="AB14" s="15">
        <v>0</v>
      </c>
      <c r="AC14" s="15">
        <v>2</v>
      </c>
      <c r="AD14" s="15">
        <v>3</v>
      </c>
      <c r="AE14" s="15">
        <v>1</v>
      </c>
      <c r="AF14" s="15">
        <v>3</v>
      </c>
      <c r="AG14" s="15">
        <v>1</v>
      </c>
      <c r="AH14" s="15">
        <v>5</v>
      </c>
      <c r="AI14" s="15">
        <v>4</v>
      </c>
      <c r="AJ14" s="15">
        <v>6</v>
      </c>
      <c r="AK14" s="15">
        <v>1</v>
      </c>
      <c r="AL14" s="15">
        <v>4</v>
      </c>
      <c r="AM14" s="15">
        <v>0</v>
      </c>
      <c r="AN14" s="15">
        <v>3</v>
      </c>
      <c r="AO14" s="15">
        <v>3</v>
      </c>
      <c r="AP14" s="15">
        <v>1</v>
      </c>
      <c r="AQ14" s="15">
        <v>6</v>
      </c>
      <c r="AR14" s="15">
        <v>6</v>
      </c>
      <c r="AS14" s="15">
        <v>6</v>
      </c>
      <c r="AT14" s="15">
        <v>11</v>
      </c>
      <c r="AU14" s="15">
        <v>5</v>
      </c>
      <c r="AV14" s="15">
        <v>10</v>
      </c>
      <c r="AW14" s="15">
        <v>9</v>
      </c>
      <c r="AX14" s="15">
        <v>6</v>
      </c>
      <c r="AY14" s="15">
        <v>11</v>
      </c>
      <c r="AZ14" s="15">
        <v>10</v>
      </c>
      <c r="BA14" s="15">
        <v>3</v>
      </c>
      <c r="BB14" s="15">
        <v>3</v>
      </c>
      <c r="BC14" s="15">
        <v>2</v>
      </c>
      <c r="BD14" s="15">
        <v>0</v>
      </c>
    </row>
    <row r="15" spans="1:56" x14ac:dyDescent="0.35">
      <c r="A15" s="14" t="s">
        <v>12</v>
      </c>
      <c r="B15" s="15">
        <v>4</v>
      </c>
      <c r="C15" s="16">
        <v>5.7641871055134448</v>
      </c>
      <c r="D15" s="15">
        <v>0</v>
      </c>
      <c r="E15" s="15">
        <v>0</v>
      </c>
      <c r="F15" s="15">
        <v>0</v>
      </c>
      <c r="G15" s="15">
        <v>0</v>
      </c>
      <c r="H15" s="15">
        <v>0</v>
      </c>
      <c r="I15" s="15">
        <v>0</v>
      </c>
      <c r="J15" s="15">
        <v>0</v>
      </c>
      <c r="K15" s="15">
        <v>0</v>
      </c>
      <c r="L15" s="15">
        <v>0</v>
      </c>
      <c r="M15" s="15">
        <v>0</v>
      </c>
      <c r="N15" s="15">
        <v>0</v>
      </c>
      <c r="O15" s="15">
        <v>0</v>
      </c>
      <c r="P15" s="15">
        <v>0</v>
      </c>
      <c r="Q15" s="15">
        <v>0</v>
      </c>
      <c r="R15" s="15">
        <v>0</v>
      </c>
      <c r="S15" s="15">
        <v>0</v>
      </c>
      <c r="T15" s="15">
        <v>0</v>
      </c>
      <c r="U15" s="15">
        <v>0</v>
      </c>
      <c r="V15" s="15">
        <v>0</v>
      </c>
      <c r="W15" s="15">
        <v>0</v>
      </c>
      <c r="X15" s="15">
        <v>0</v>
      </c>
      <c r="Y15" s="15">
        <v>0</v>
      </c>
      <c r="Z15" s="15">
        <v>0</v>
      </c>
      <c r="AA15" s="15">
        <v>1</v>
      </c>
      <c r="AB15" s="15">
        <v>0</v>
      </c>
      <c r="AC15" s="15">
        <v>0</v>
      </c>
      <c r="AD15" s="15">
        <v>0</v>
      </c>
      <c r="AE15" s="15">
        <v>0</v>
      </c>
      <c r="AF15" s="15">
        <v>0</v>
      </c>
      <c r="AG15" s="15">
        <v>0</v>
      </c>
      <c r="AH15" s="15">
        <v>0</v>
      </c>
      <c r="AI15" s="15">
        <v>0</v>
      </c>
      <c r="AJ15" s="15">
        <v>0</v>
      </c>
      <c r="AK15" s="15">
        <v>0</v>
      </c>
      <c r="AL15" s="15">
        <v>0</v>
      </c>
      <c r="AM15" s="15">
        <v>0</v>
      </c>
      <c r="AN15" s="15">
        <v>0</v>
      </c>
      <c r="AO15" s="15">
        <v>0</v>
      </c>
      <c r="AP15" s="15">
        <v>0</v>
      </c>
      <c r="AQ15" s="15">
        <v>0</v>
      </c>
      <c r="AR15" s="15">
        <v>0</v>
      </c>
      <c r="AS15" s="15">
        <v>0</v>
      </c>
      <c r="AT15" s="15">
        <v>1</v>
      </c>
      <c r="AU15" s="15">
        <v>1</v>
      </c>
      <c r="AV15" s="15">
        <v>1</v>
      </c>
      <c r="AW15" s="15">
        <v>0</v>
      </c>
      <c r="AX15" s="15">
        <v>0</v>
      </c>
      <c r="AY15" s="15">
        <v>0</v>
      </c>
      <c r="AZ15" s="15">
        <v>0</v>
      </c>
      <c r="BA15" s="15">
        <v>0</v>
      </c>
      <c r="BB15" s="15">
        <v>0</v>
      </c>
      <c r="BC15" s="15">
        <v>0</v>
      </c>
      <c r="BD15" s="15">
        <v>0</v>
      </c>
    </row>
    <row r="16" spans="1:56" x14ac:dyDescent="0.35">
      <c r="A16" s="14" t="s">
        <v>13</v>
      </c>
      <c r="B16" s="15">
        <v>161</v>
      </c>
      <c r="C16" s="16">
        <v>66.259779490746268</v>
      </c>
      <c r="D16" s="15">
        <v>0</v>
      </c>
      <c r="E16" s="15">
        <v>0</v>
      </c>
      <c r="F16" s="15">
        <v>0</v>
      </c>
      <c r="G16" s="15">
        <v>0</v>
      </c>
      <c r="H16" s="15">
        <v>0</v>
      </c>
      <c r="I16" s="15">
        <v>1</v>
      </c>
      <c r="J16" s="15">
        <v>0</v>
      </c>
      <c r="K16" s="15">
        <v>0</v>
      </c>
      <c r="L16" s="15">
        <v>1</v>
      </c>
      <c r="M16" s="15">
        <v>0</v>
      </c>
      <c r="N16" s="15">
        <v>1</v>
      </c>
      <c r="O16" s="15">
        <v>0</v>
      </c>
      <c r="P16" s="15">
        <v>0</v>
      </c>
      <c r="Q16" s="15">
        <v>1</v>
      </c>
      <c r="R16" s="15">
        <v>0</v>
      </c>
      <c r="S16" s="15">
        <v>0</v>
      </c>
      <c r="T16" s="15">
        <v>1</v>
      </c>
      <c r="U16" s="15">
        <v>0</v>
      </c>
      <c r="V16" s="15">
        <v>0</v>
      </c>
      <c r="W16" s="15">
        <v>0</v>
      </c>
      <c r="X16" s="15">
        <v>1</v>
      </c>
      <c r="Y16" s="15">
        <v>0</v>
      </c>
      <c r="Z16" s="15">
        <v>1</v>
      </c>
      <c r="AA16" s="15">
        <v>1</v>
      </c>
      <c r="AB16" s="15">
        <v>2</v>
      </c>
      <c r="AC16" s="15">
        <v>0</v>
      </c>
      <c r="AD16" s="15">
        <v>1</v>
      </c>
      <c r="AE16" s="15">
        <v>2</v>
      </c>
      <c r="AF16" s="15">
        <v>4</v>
      </c>
      <c r="AG16" s="15">
        <v>9</v>
      </c>
      <c r="AH16" s="15">
        <v>3</v>
      </c>
      <c r="AI16" s="15">
        <v>4</v>
      </c>
      <c r="AJ16" s="15">
        <v>10</v>
      </c>
      <c r="AK16" s="15">
        <v>11</v>
      </c>
      <c r="AL16" s="15">
        <v>3</v>
      </c>
      <c r="AM16" s="15">
        <v>7</v>
      </c>
      <c r="AN16" s="15">
        <v>9</v>
      </c>
      <c r="AO16" s="15">
        <v>7</v>
      </c>
      <c r="AP16" s="15">
        <v>5</v>
      </c>
      <c r="AQ16" s="15">
        <v>16</v>
      </c>
      <c r="AR16" s="15">
        <v>13</v>
      </c>
      <c r="AS16" s="15">
        <v>8</v>
      </c>
      <c r="AT16" s="15">
        <v>5</v>
      </c>
      <c r="AU16" s="15">
        <v>2</v>
      </c>
      <c r="AV16" s="15">
        <v>9</v>
      </c>
      <c r="AW16" s="15">
        <v>4</v>
      </c>
      <c r="AX16" s="15">
        <v>6</v>
      </c>
      <c r="AY16" s="15">
        <v>1</v>
      </c>
      <c r="AZ16" s="15">
        <v>5</v>
      </c>
      <c r="BA16" s="15">
        <v>4</v>
      </c>
      <c r="BB16" s="15">
        <v>3</v>
      </c>
      <c r="BC16" s="15">
        <v>0</v>
      </c>
      <c r="BD16" s="15">
        <v>0</v>
      </c>
    </row>
    <row r="17" spans="1:56" x14ac:dyDescent="0.35">
      <c r="A17" s="14" t="s">
        <v>14</v>
      </c>
      <c r="B17" s="15">
        <v>95</v>
      </c>
      <c r="C17" s="16">
        <v>252.2034618243602</v>
      </c>
      <c r="D17" s="15">
        <v>0</v>
      </c>
      <c r="E17" s="15">
        <v>0</v>
      </c>
      <c r="F17" s="15">
        <v>0</v>
      </c>
      <c r="G17" s="15">
        <v>0</v>
      </c>
      <c r="H17" s="15">
        <v>0</v>
      </c>
      <c r="I17" s="15">
        <v>0</v>
      </c>
      <c r="J17" s="15">
        <v>0</v>
      </c>
      <c r="K17" s="15">
        <v>0</v>
      </c>
      <c r="L17" s="15">
        <v>0</v>
      </c>
      <c r="M17" s="15">
        <v>0</v>
      </c>
      <c r="N17" s="15">
        <v>0</v>
      </c>
      <c r="O17" s="15">
        <v>1</v>
      </c>
      <c r="P17" s="15">
        <v>1</v>
      </c>
      <c r="Q17" s="15">
        <v>0</v>
      </c>
      <c r="R17" s="15">
        <v>0</v>
      </c>
      <c r="S17" s="15">
        <v>0</v>
      </c>
      <c r="T17" s="15">
        <v>0</v>
      </c>
      <c r="U17" s="15">
        <v>3</v>
      </c>
      <c r="V17" s="15">
        <v>5</v>
      </c>
      <c r="W17" s="15">
        <v>1</v>
      </c>
      <c r="X17" s="15">
        <v>4</v>
      </c>
      <c r="Y17" s="15">
        <v>3</v>
      </c>
      <c r="Z17" s="15">
        <v>2</v>
      </c>
      <c r="AA17" s="15">
        <v>0</v>
      </c>
      <c r="AB17" s="15">
        <v>0</v>
      </c>
      <c r="AC17" s="15">
        <v>0</v>
      </c>
      <c r="AD17" s="15">
        <v>0</v>
      </c>
      <c r="AE17" s="15">
        <v>2</v>
      </c>
      <c r="AF17" s="15">
        <v>2</v>
      </c>
      <c r="AG17" s="15">
        <v>4</v>
      </c>
      <c r="AH17" s="15">
        <v>2</v>
      </c>
      <c r="AI17" s="15">
        <v>1</v>
      </c>
      <c r="AJ17" s="15">
        <v>1</v>
      </c>
      <c r="AK17" s="15">
        <v>2</v>
      </c>
      <c r="AL17" s="15">
        <v>2</v>
      </c>
      <c r="AM17" s="15">
        <v>3</v>
      </c>
      <c r="AN17" s="15">
        <v>4</v>
      </c>
      <c r="AO17" s="15">
        <v>1</v>
      </c>
      <c r="AP17" s="15">
        <v>1</v>
      </c>
      <c r="AQ17" s="15">
        <v>2</v>
      </c>
      <c r="AR17" s="15">
        <v>4</v>
      </c>
      <c r="AS17" s="15">
        <v>1</v>
      </c>
      <c r="AT17" s="15">
        <v>7</v>
      </c>
      <c r="AU17" s="15">
        <v>8</v>
      </c>
      <c r="AV17" s="15">
        <v>9</v>
      </c>
      <c r="AW17" s="15">
        <v>11</v>
      </c>
      <c r="AX17" s="15">
        <v>1</v>
      </c>
      <c r="AY17" s="15">
        <v>7</v>
      </c>
      <c r="AZ17" s="15">
        <v>0</v>
      </c>
      <c r="BA17" s="15">
        <v>0</v>
      </c>
      <c r="BB17" s="15">
        <v>0</v>
      </c>
      <c r="BC17" s="15">
        <v>0</v>
      </c>
      <c r="BD17" s="15">
        <v>0</v>
      </c>
    </row>
    <row r="18" spans="1:56" x14ac:dyDescent="0.35">
      <c r="A18" s="14" t="s">
        <v>15</v>
      </c>
      <c r="B18" s="15">
        <v>1</v>
      </c>
      <c r="C18" s="16">
        <v>5.4350779933692044</v>
      </c>
      <c r="D18" s="15">
        <v>0</v>
      </c>
      <c r="E18" s="15">
        <v>0</v>
      </c>
      <c r="F18" s="15">
        <v>0</v>
      </c>
      <c r="G18" s="15">
        <v>0</v>
      </c>
      <c r="H18" s="15">
        <v>0</v>
      </c>
      <c r="I18" s="15">
        <v>0</v>
      </c>
      <c r="J18" s="15">
        <v>0</v>
      </c>
      <c r="K18" s="15">
        <v>0</v>
      </c>
      <c r="L18" s="15">
        <v>0</v>
      </c>
      <c r="M18" s="15">
        <v>0</v>
      </c>
      <c r="N18" s="15">
        <v>0</v>
      </c>
      <c r="O18" s="15">
        <v>0</v>
      </c>
      <c r="P18" s="15">
        <v>0</v>
      </c>
      <c r="Q18" s="15">
        <v>0</v>
      </c>
      <c r="R18" s="15">
        <v>0</v>
      </c>
      <c r="S18" s="15">
        <v>0</v>
      </c>
      <c r="T18" s="15">
        <v>0</v>
      </c>
      <c r="U18" s="15">
        <v>0</v>
      </c>
      <c r="V18" s="15">
        <v>0</v>
      </c>
      <c r="W18" s="15">
        <v>0</v>
      </c>
      <c r="X18" s="15">
        <v>0</v>
      </c>
      <c r="Y18" s="15">
        <v>0</v>
      </c>
      <c r="Z18" s="15">
        <v>0</v>
      </c>
      <c r="AA18" s="15">
        <v>0</v>
      </c>
      <c r="AB18" s="15">
        <v>0</v>
      </c>
      <c r="AC18" s="15">
        <v>0</v>
      </c>
      <c r="AD18" s="15">
        <v>0</v>
      </c>
      <c r="AE18" s="15">
        <v>0</v>
      </c>
      <c r="AF18" s="15">
        <v>1</v>
      </c>
      <c r="AG18" s="15">
        <v>0</v>
      </c>
      <c r="AH18" s="15">
        <v>0</v>
      </c>
      <c r="AI18" s="15">
        <v>0</v>
      </c>
      <c r="AJ18" s="15">
        <v>0</v>
      </c>
      <c r="AK18" s="15">
        <v>0</v>
      </c>
      <c r="AL18" s="15">
        <v>0</v>
      </c>
      <c r="AM18" s="15">
        <v>0</v>
      </c>
      <c r="AN18" s="15">
        <v>0</v>
      </c>
      <c r="AO18" s="15">
        <v>0</v>
      </c>
      <c r="AP18" s="15">
        <v>0</v>
      </c>
      <c r="AQ18" s="15">
        <v>0</v>
      </c>
      <c r="AR18" s="15">
        <v>0</v>
      </c>
      <c r="AS18" s="15">
        <v>0</v>
      </c>
      <c r="AT18" s="15">
        <v>0</v>
      </c>
      <c r="AU18" s="15">
        <v>0</v>
      </c>
      <c r="AV18" s="15">
        <v>0</v>
      </c>
      <c r="AW18" s="15">
        <v>0</v>
      </c>
      <c r="AX18" s="15">
        <v>0</v>
      </c>
      <c r="AY18" s="15">
        <v>0</v>
      </c>
      <c r="AZ18" s="15">
        <v>0</v>
      </c>
      <c r="BA18" s="15">
        <v>0</v>
      </c>
      <c r="BB18" s="15">
        <v>0</v>
      </c>
      <c r="BC18" s="15">
        <v>0</v>
      </c>
      <c r="BD18" s="15">
        <v>0</v>
      </c>
    </row>
    <row r="19" spans="1:56" x14ac:dyDescent="0.35">
      <c r="A19" s="14" t="s">
        <v>16</v>
      </c>
      <c r="B19" s="15">
        <v>0</v>
      </c>
      <c r="C19" s="16">
        <v>0</v>
      </c>
      <c r="D19" s="15">
        <v>0</v>
      </c>
      <c r="E19" s="15">
        <v>0</v>
      </c>
      <c r="F19" s="15">
        <v>0</v>
      </c>
      <c r="G19" s="15">
        <v>0</v>
      </c>
      <c r="H19" s="15">
        <v>0</v>
      </c>
      <c r="I19" s="15">
        <v>0</v>
      </c>
      <c r="J19" s="15">
        <v>0</v>
      </c>
      <c r="K19" s="15">
        <v>0</v>
      </c>
      <c r="L19" s="15">
        <v>0</v>
      </c>
      <c r="M19" s="15">
        <v>0</v>
      </c>
      <c r="N19" s="15">
        <v>0</v>
      </c>
      <c r="O19" s="15">
        <v>0</v>
      </c>
      <c r="P19" s="15">
        <v>0</v>
      </c>
      <c r="Q19" s="15">
        <v>0</v>
      </c>
      <c r="R19" s="15">
        <v>0</v>
      </c>
      <c r="S19" s="15">
        <v>0</v>
      </c>
      <c r="T19" s="15">
        <v>0</v>
      </c>
      <c r="U19" s="15">
        <v>0</v>
      </c>
      <c r="V19" s="15">
        <v>0</v>
      </c>
      <c r="W19" s="15">
        <v>0</v>
      </c>
      <c r="X19" s="15">
        <v>0</v>
      </c>
      <c r="Y19" s="15">
        <v>0</v>
      </c>
      <c r="Z19" s="15">
        <v>0</v>
      </c>
      <c r="AA19" s="15">
        <v>0</v>
      </c>
      <c r="AB19" s="15">
        <v>0</v>
      </c>
      <c r="AC19" s="15">
        <v>0</v>
      </c>
      <c r="AD19" s="15">
        <v>0</v>
      </c>
      <c r="AE19" s="15">
        <v>0</v>
      </c>
      <c r="AF19" s="15">
        <v>0</v>
      </c>
      <c r="AG19" s="15">
        <v>0</v>
      </c>
      <c r="AH19" s="15">
        <v>0</v>
      </c>
      <c r="AI19" s="15">
        <v>0</v>
      </c>
      <c r="AJ19" s="15">
        <v>0</v>
      </c>
      <c r="AK19" s="15">
        <v>0</v>
      </c>
      <c r="AL19" s="15">
        <v>0</v>
      </c>
      <c r="AM19" s="15">
        <v>0</v>
      </c>
      <c r="AN19" s="15">
        <v>0</v>
      </c>
      <c r="AO19" s="15">
        <v>0</v>
      </c>
      <c r="AP19" s="15">
        <v>0</v>
      </c>
      <c r="AQ19" s="15">
        <v>0</v>
      </c>
      <c r="AR19" s="15">
        <v>0</v>
      </c>
      <c r="AS19" s="15">
        <v>0</v>
      </c>
      <c r="AT19" s="15">
        <v>0</v>
      </c>
      <c r="AU19" s="15">
        <v>0</v>
      </c>
      <c r="AV19" s="15">
        <v>0</v>
      </c>
      <c r="AW19" s="15">
        <v>0</v>
      </c>
      <c r="AX19" s="15">
        <v>0</v>
      </c>
      <c r="AY19" s="15">
        <v>0</v>
      </c>
      <c r="AZ19" s="15">
        <v>0</v>
      </c>
      <c r="BA19" s="15">
        <v>0</v>
      </c>
      <c r="BB19" s="15">
        <v>0</v>
      </c>
      <c r="BC19" s="15">
        <v>0</v>
      </c>
      <c r="BD19" s="15">
        <v>0</v>
      </c>
    </row>
    <row r="20" spans="1:56" x14ac:dyDescent="0.35">
      <c r="A20" s="14" t="s">
        <v>17</v>
      </c>
      <c r="B20" s="15">
        <v>70</v>
      </c>
      <c r="C20" s="16">
        <v>232.81338344364255</v>
      </c>
      <c r="D20" s="15">
        <v>0</v>
      </c>
      <c r="E20" s="15">
        <v>0</v>
      </c>
      <c r="F20" s="15">
        <v>0</v>
      </c>
      <c r="G20" s="15">
        <v>0</v>
      </c>
      <c r="H20" s="15">
        <v>2</v>
      </c>
      <c r="I20" s="15">
        <v>0</v>
      </c>
      <c r="J20" s="15">
        <v>1</v>
      </c>
      <c r="K20" s="15">
        <v>0</v>
      </c>
      <c r="L20" s="15">
        <v>1</v>
      </c>
      <c r="M20" s="15">
        <v>0</v>
      </c>
      <c r="N20" s="15">
        <v>1</v>
      </c>
      <c r="O20" s="15">
        <v>0</v>
      </c>
      <c r="P20" s="15">
        <v>0</v>
      </c>
      <c r="Q20" s="15">
        <v>0</v>
      </c>
      <c r="R20" s="15">
        <v>0</v>
      </c>
      <c r="S20" s="15">
        <v>1</v>
      </c>
      <c r="T20" s="15">
        <v>1</v>
      </c>
      <c r="U20" s="15">
        <v>3</v>
      </c>
      <c r="V20" s="15">
        <v>3</v>
      </c>
      <c r="W20" s="15">
        <v>5</v>
      </c>
      <c r="X20" s="15">
        <v>6</v>
      </c>
      <c r="Y20" s="15">
        <v>2</v>
      </c>
      <c r="Z20" s="15">
        <v>2</v>
      </c>
      <c r="AA20" s="15">
        <v>1</v>
      </c>
      <c r="AB20" s="15">
        <v>2</v>
      </c>
      <c r="AC20" s="15">
        <v>3</v>
      </c>
      <c r="AD20" s="15">
        <v>2</v>
      </c>
      <c r="AE20" s="15">
        <v>0</v>
      </c>
      <c r="AF20" s="15">
        <v>2</v>
      </c>
      <c r="AG20" s="15">
        <v>2</v>
      </c>
      <c r="AH20" s="15">
        <v>1</v>
      </c>
      <c r="AI20" s="15">
        <v>3</v>
      </c>
      <c r="AJ20" s="15">
        <v>0</v>
      </c>
      <c r="AK20" s="15">
        <v>2</v>
      </c>
      <c r="AL20" s="15">
        <v>0</v>
      </c>
      <c r="AM20" s="15">
        <v>0</v>
      </c>
      <c r="AN20" s="15">
        <v>1</v>
      </c>
      <c r="AO20" s="15">
        <v>0</v>
      </c>
      <c r="AP20" s="15">
        <v>0</v>
      </c>
      <c r="AQ20" s="15">
        <v>0</v>
      </c>
      <c r="AR20" s="15">
        <v>0</v>
      </c>
      <c r="AS20" s="15">
        <v>0</v>
      </c>
      <c r="AT20" s="15">
        <v>1</v>
      </c>
      <c r="AU20" s="15">
        <v>3</v>
      </c>
      <c r="AV20" s="15">
        <v>1</v>
      </c>
      <c r="AW20" s="15">
        <v>3</v>
      </c>
      <c r="AX20" s="15">
        <v>1</v>
      </c>
      <c r="AY20" s="15">
        <v>7</v>
      </c>
      <c r="AZ20" s="15">
        <v>1</v>
      </c>
      <c r="BA20" s="15">
        <v>2</v>
      </c>
      <c r="BB20" s="15">
        <v>3</v>
      </c>
      <c r="BC20" s="15">
        <v>1</v>
      </c>
      <c r="BD20" s="15">
        <v>0</v>
      </c>
    </row>
    <row r="21" spans="1:56" x14ac:dyDescent="0.35">
      <c r="A21" s="14" t="s">
        <v>18</v>
      </c>
      <c r="B21" s="15">
        <v>13</v>
      </c>
      <c r="C21" s="16">
        <v>9.4663870441570541</v>
      </c>
      <c r="D21" s="15">
        <v>1</v>
      </c>
      <c r="E21" s="15">
        <v>0</v>
      </c>
      <c r="F21" s="15">
        <v>0</v>
      </c>
      <c r="G21" s="15">
        <v>0</v>
      </c>
      <c r="H21" s="15">
        <v>0</v>
      </c>
      <c r="I21" s="15">
        <v>0</v>
      </c>
      <c r="J21" s="15">
        <v>0</v>
      </c>
      <c r="K21" s="15">
        <v>0</v>
      </c>
      <c r="L21" s="15">
        <v>0</v>
      </c>
      <c r="M21" s="15">
        <v>0</v>
      </c>
      <c r="N21" s="15">
        <v>0</v>
      </c>
      <c r="O21" s="15">
        <v>0</v>
      </c>
      <c r="P21" s="15">
        <v>0</v>
      </c>
      <c r="Q21" s="15">
        <v>0</v>
      </c>
      <c r="R21" s="15">
        <v>0</v>
      </c>
      <c r="S21" s="15">
        <v>0</v>
      </c>
      <c r="T21" s="15">
        <v>0</v>
      </c>
      <c r="U21" s="15">
        <v>0</v>
      </c>
      <c r="V21" s="15">
        <v>0</v>
      </c>
      <c r="W21" s="15">
        <v>0</v>
      </c>
      <c r="X21" s="15">
        <v>0</v>
      </c>
      <c r="Y21" s="15">
        <v>0</v>
      </c>
      <c r="Z21" s="15">
        <v>0</v>
      </c>
      <c r="AA21" s="15">
        <v>0</v>
      </c>
      <c r="AB21" s="15">
        <v>0</v>
      </c>
      <c r="AC21" s="15">
        <v>0</v>
      </c>
      <c r="AD21" s="15">
        <v>0</v>
      </c>
      <c r="AE21" s="15">
        <v>0</v>
      </c>
      <c r="AF21" s="15">
        <v>0</v>
      </c>
      <c r="AG21" s="15">
        <v>0</v>
      </c>
      <c r="AH21" s="15">
        <v>0</v>
      </c>
      <c r="AI21" s="15">
        <v>2</v>
      </c>
      <c r="AJ21" s="15">
        <v>1</v>
      </c>
      <c r="AK21" s="15">
        <v>2</v>
      </c>
      <c r="AL21" s="15">
        <v>0</v>
      </c>
      <c r="AM21" s="15">
        <v>0</v>
      </c>
      <c r="AN21" s="15">
        <v>1</v>
      </c>
      <c r="AO21" s="15">
        <v>1</v>
      </c>
      <c r="AP21" s="15">
        <v>0</v>
      </c>
      <c r="AQ21" s="15">
        <v>1</v>
      </c>
      <c r="AR21" s="15">
        <v>0</v>
      </c>
      <c r="AS21" s="15">
        <v>0</v>
      </c>
      <c r="AT21" s="15">
        <v>1</v>
      </c>
      <c r="AU21" s="15">
        <v>0</v>
      </c>
      <c r="AV21" s="15">
        <v>0</v>
      </c>
      <c r="AW21" s="15">
        <v>0</v>
      </c>
      <c r="AX21" s="15">
        <v>0</v>
      </c>
      <c r="AY21" s="15">
        <v>0</v>
      </c>
      <c r="AZ21" s="15">
        <v>0</v>
      </c>
      <c r="BA21" s="15">
        <v>1</v>
      </c>
      <c r="BB21" s="15">
        <v>1</v>
      </c>
      <c r="BC21" s="15">
        <v>1</v>
      </c>
      <c r="BD21" s="15">
        <v>0</v>
      </c>
    </row>
    <row r="22" spans="1:56" x14ac:dyDescent="0.35">
      <c r="A22" s="14" t="s">
        <v>19</v>
      </c>
      <c r="B22" s="15">
        <v>49</v>
      </c>
      <c r="C22" s="16">
        <v>82.075677124336281</v>
      </c>
      <c r="D22" s="15">
        <v>0</v>
      </c>
      <c r="E22" s="15">
        <v>0</v>
      </c>
      <c r="F22" s="15">
        <v>0</v>
      </c>
      <c r="G22" s="15">
        <v>0</v>
      </c>
      <c r="H22" s="15">
        <v>0</v>
      </c>
      <c r="I22" s="15">
        <v>0</v>
      </c>
      <c r="J22" s="15">
        <v>1</v>
      </c>
      <c r="K22" s="15">
        <v>0</v>
      </c>
      <c r="L22" s="15">
        <v>0</v>
      </c>
      <c r="M22" s="15">
        <v>0</v>
      </c>
      <c r="N22" s="15">
        <v>0</v>
      </c>
      <c r="O22" s="15">
        <v>0</v>
      </c>
      <c r="P22" s="15">
        <v>0</v>
      </c>
      <c r="Q22" s="15">
        <v>0</v>
      </c>
      <c r="R22" s="15">
        <v>0</v>
      </c>
      <c r="S22" s="15">
        <v>0</v>
      </c>
      <c r="T22" s="15">
        <v>1</v>
      </c>
      <c r="U22" s="15">
        <v>0</v>
      </c>
      <c r="V22" s="15">
        <v>0</v>
      </c>
      <c r="W22" s="15">
        <v>0</v>
      </c>
      <c r="X22" s="15">
        <v>1</v>
      </c>
      <c r="Y22" s="15">
        <v>3</v>
      </c>
      <c r="Z22" s="15">
        <v>1</v>
      </c>
      <c r="AA22" s="15">
        <v>0</v>
      </c>
      <c r="AB22" s="15">
        <v>2</v>
      </c>
      <c r="AC22" s="15">
        <v>0</v>
      </c>
      <c r="AD22" s="15">
        <v>1</v>
      </c>
      <c r="AE22" s="15">
        <v>0</v>
      </c>
      <c r="AF22" s="15">
        <v>0</v>
      </c>
      <c r="AG22" s="15">
        <v>0</v>
      </c>
      <c r="AH22" s="15">
        <v>0</v>
      </c>
      <c r="AI22" s="15">
        <v>0</v>
      </c>
      <c r="AJ22" s="15">
        <v>1</v>
      </c>
      <c r="AK22" s="15">
        <v>0</v>
      </c>
      <c r="AL22" s="15">
        <v>2</v>
      </c>
      <c r="AM22" s="15">
        <v>1</v>
      </c>
      <c r="AN22" s="15">
        <v>1</v>
      </c>
      <c r="AO22" s="15">
        <v>2</v>
      </c>
      <c r="AP22" s="15">
        <v>2</v>
      </c>
      <c r="AQ22" s="15">
        <v>2</v>
      </c>
      <c r="AR22" s="15">
        <v>3</v>
      </c>
      <c r="AS22" s="15">
        <v>3</v>
      </c>
      <c r="AT22" s="15">
        <v>7</v>
      </c>
      <c r="AU22" s="15">
        <v>4</v>
      </c>
      <c r="AV22" s="15">
        <v>3</v>
      </c>
      <c r="AW22" s="15">
        <v>2</v>
      </c>
      <c r="AX22" s="15">
        <v>3</v>
      </c>
      <c r="AY22" s="15">
        <v>1</v>
      </c>
      <c r="AZ22" s="15">
        <v>0</v>
      </c>
      <c r="BA22" s="15">
        <v>1</v>
      </c>
      <c r="BB22" s="15">
        <v>0</v>
      </c>
      <c r="BC22" s="15">
        <v>1</v>
      </c>
      <c r="BD22" s="15">
        <v>0</v>
      </c>
    </row>
    <row r="23" spans="1:56" x14ac:dyDescent="0.35">
      <c r="A23" s="14" t="s">
        <v>20</v>
      </c>
      <c r="B23" s="15">
        <v>67</v>
      </c>
      <c r="C23" s="16">
        <v>71.852177549947996</v>
      </c>
      <c r="D23" s="15">
        <v>0</v>
      </c>
      <c r="E23" s="15">
        <v>1</v>
      </c>
      <c r="F23" s="15">
        <v>1</v>
      </c>
      <c r="G23" s="15">
        <v>0</v>
      </c>
      <c r="H23" s="15">
        <v>0</v>
      </c>
      <c r="I23" s="15">
        <v>0</v>
      </c>
      <c r="J23" s="15">
        <v>0</v>
      </c>
      <c r="K23" s="15">
        <v>1</v>
      </c>
      <c r="L23" s="15">
        <v>1</v>
      </c>
      <c r="M23" s="15">
        <v>0</v>
      </c>
      <c r="N23" s="15">
        <v>0</v>
      </c>
      <c r="O23" s="15">
        <v>0</v>
      </c>
      <c r="P23" s="15">
        <v>0</v>
      </c>
      <c r="Q23" s="15">
        <v>2</v>
      </c>
      <c r="R23" s="15">
        <v>1</v>
      </c>
      <c r="S23" s="15">
        <v>0</v>
      </c>
      <c r="T23" s="15">
        <v>0</v>
      </c>
      <c r="U23" s="15">
        <v>1</v>
      </c>
      <c r="V23" s="15">
        <v>0</v>
      </c>
      <c r="W23" s="15">
        <v>0</v>
      </c>
      <c r="X23" s="15">
        <v>1</v>
      </c>
      <c r="Y23" s="15">
        <v>1</v>
      </c>
      <c r="Z23" s="15">
        <v>3</v>
      </c>
      <c r="AA23" s="15">
        <v>2</v>
      </c>
      <c r="AB23" s="15">
        <v>2</v>
      </c>
      <c r="AC23" s="15">
        <v>0</v>
      </c>
      <c r="AD23" s="15">
        <v>0</v>
      </c>
      <c r="AE23" s="15">
        <v>0</v>
      </c>
      <c r="AF23" s="15">
        <v>0</v>
      </c>
      <c r="AG23" s="15">
        <v>1</v>
      </c>
      <c r="AH23" s="15">
        <v>2</v>
      </c>
      <c r="AI23" s="15">
        <v>3</v>
      </c>
      <c r="AJ23" s="15">
        <v>0</v>
      </c>
      <c r="AK23" s="15">
        <v>0</v>
      </c>
      <c r="AL23" s="15">
        <v>3</v>
      </c>
      <c r="AM23" s="15">
        <v>0</v>
      </c>
      <c r="AN23" s="15">
        <v>3</v>
      </c>
      <c r="AO23" s="15">
        <v>4</v>
      </c>
      <c r="AP23" s="15">
        <v>0</v>
      </c>
      <c r="AQ23" s="15">
        <v>3</v>
      </c>
      <c r="AR23" s="15">
        <v>1</v>
      </c>
      <c r="AS23" s="15">
        <v>4</v>
      </c>
      <c r="AT23" s="15">
        <v>5</v>
      </c>
      <c r="AU23" s="15">
        <v>5</v>
      </c>
      <c r="AV23" s="15">
        <v>0</v>
      </c>
      <c r="AW23" s="15">
        <v>4</v>
      </c>
      <c r="AX23" s="15">
        <v>1</v>
      </c>
      <c r="AY23" s="15">
        <v>2</v>
      </c>
      <c r="AZ23" s="15">
        <v>4</v>
      </c>
      <c r="BA23" s="15">
        <v>3</v>
      </c>
      <c r="BB23" s="15">
        <v>1</v>
      </c>
      <c r="BC23" s="15">
        <v>1</v>
      </c>
      <c r="BD23" s="15">
        <v>0</v>
      </c>
    </row>
    <row r="24" spans="1:56" x14ac:dyDescent="0.35">
      <c r="A24" s="14" t="s">
        <v>21</v>
      </c>
      <c r="B24" s="15">
        <v>8</v>
      </c>
      <c r="C24" s="16">
        <v>11.272050949670293</v>
      </c>
      <c r="D24" s="15">
        <v>1</v>
      </c>
      <c r="E24" s="15">
        <v>0</v>
      </c>
      <c r="F24" s="15">
        <v>0</v>
      </c>
      <c r="G24" s="15">
        <v>0</v>
      </c>
      <c r="H24" s="15">
        <v>0</v>
      </c>
      <c r="I24" s="15">
        <v>0</v>
      </c>
      <c r="J24" s="15">
        <v>0</v>
      </c>
      <c r="K24" s="15">
        <v>0</v>
      </c>
      <c r="L24" s="15">
        <v>0</v>
      </c>
      <c r="M24" s="15">
        <v>0</v>
      </c>
      <c r="N24" s="15">
        <v>0</v>
      </c>
      <c r="O24" s="15">
        <v>0</v>
      </c>
      <c r="P24" s="15">
        <v>0</v>
      </c>
      <c r="Q24" s="15">
        <v>1</v>
      </c>
      <c r="R24" s="15">
        <v>0</v>
      </c>
      <c r="S24" s="15">
        <v>0</v>
      </c>
      <c r="T24" s="15">
        <v>0</v>
      </c>
      <c r="U24" s="15">
        <v>0</v>
      </c>
      <c r="V24" s="15">
        <v>0</v>
      </c>
      <c r="W24" s="15">
        <v>0</v>
      </c>
      <c r="X24" s="15">
        <v>0</v>
      </c>
      <c r="Y24" s="15">
        <v>1</v>
      </c>
      <c r="Z24" s="15">
        <v>1</v>
      </c>
      <c r="AA24" s="15">
        <v>0</v>
      </c>
      <c r="AB24" s="15">
        <v>0</v>
      </c>
      <c r="AC24" s="15">
        <v>0</v>
      </c>
      <c r="AD24" s="15">
        <v>0</v>
      </c>
      <c r="AE24" s="15">
        <v>0</v>
      </c>
      <c r="AF24" s="15">
        <v>0</v>
      </c>
      <c r="AG24" s="15">
        <v>0</v>
      </c>
      <c r="AH24" s="15">
        <v>0</v>
      </c>
      <c r="AI24" s="15">
        <v>1</v>
      </c>
      <c r="AJ24" s="15">
        <v>0</v>
      </c>
      <c r="AK24" s="15">
        <v>0</v>
      </c>
      <c r="AL24" s="15">
        <v>0</v>
      </c>
      <c r="AM24" s="15">
        <v>0</v>
      </c>
      <c r="AN24" s="15">
        <v>0</v>
      </c>
      <c r="AO24" s="15">
        <v>0</v>
      </c>
      <c r="AP24" s="15">
        <v>0</v>
      </c>
      <c r="AQ24" s="15">
        <v>0</v>
      </c>
      <c r="AR24" s="15">
        <v>0</v>
      </c>
      <c r="AS24" s="15">
        <v>0</v>
      </c>
      <c r="AT24" s="15">
        <v>0</v>
      </c>
      <c r="AU24" s="15">
        <v>0</v>
      </c>
      <c r="AV24" s="15">
        <v>0</v>
      </c>
      <c r="AW24" s="15">
        <v>0</v>
      </c>
      <c r="AX24" s="15">
        <v>0</v>
      </c>
      <c r="AY24" s="15">
        <v>1</v>
      </c>
      <c r="AZ24" s="15">
        <v>1</v>
      </c>
      <c r="BA24" s="15">
        <v>0</v>
      </c>
      <c r="BB24" s="15">
        <v>0</v>
      </c>
      <c r="BC24" s="15">
        <v>1</v>
      </c>
      <c r="BD24" s="15">
        <v>0</v>
      </c>
    </row>
    <row r="25" spans="1:56" x14ac:dyDescent="0.35">
      <c r="A25" s="14" t="s">
        <v>22</v>
      </c>
      <c r="B25" s="15">
        <v>3</v>
      </c>
      <c r="C25" s="16">
        <v>13.739409205404169</v>
      </c>
      <c r="D25" s="15">
        <v>0</v>
      </c>
      <c r="E25" s="15">
        <v>0</v>
      </c>
      <c r="F25" s="15">
        <v>0</v>
      </c>
      <c r="G25" s="15">
        <v>0</v>
      </c>
      <c r="H25" s="15">
        <v>0</v>
      </c>
      <c r="I25" s="15">
        <v>0</v>
      </c>
      <c r="J25" s="15">
        <v>0</v>
      </c>
      <c r="K25" s="15">
        <v>0</v>
      </c>
      <c r="L25" s="15">
        <v>0</v>
      </c>
      <c r="M25" s="15">
        <v>0</v>
      </c>
      <c r="N25" s="15">
        <v>0</v>
      </c>
      <c r="O25" s="15">
        <v>0</v>
      </c>
      <c r="P25" s="15">
        <v>0</v>
      </c>
      <c r="Q25" s="15">
        <v>0</v>
      </c>
      <c r="R25" s="15">
        <v>0</v>
      </c>
      <c r="S25" s="15">
        <v>0</v>
      </c>
      <c r="T25" s="15">
        <v>0</v>
      </c>
      <c r="U25" s="15">
        <v>0</v>
      </c>
      <c r="V25" s="15">
        <v>0</v>
      </c>
      <c r="W25" s="15">
        <v>0</v>
      </c>
      <c r="X25" s="15">
        <v>0</v>
      </c>
      <c r="Y25" s="15">
        <v>0</v>
      </c>
      <c r="Z25" s="15">
        <v>0</v>
      </c>
      <c r="AA25" s="15">
        <v>0</v>
      </c>
      <c r="AB25" s="15">
        <v>1</v>
      </c>
      <c r="AC25" s="15">
        <v>0</v>
      </c>
      <c r="AD25" s="15">
        <v>0</v>
      </c>
      <c r="AE25" s="15">
        <v>0</v>
      </c>
      <c r="AF25" s="15">
        <v>0</v>
      </c>
      <c r="AG25" s="15">
        <v>0</v>
      </c>
      <c r="AH25" s="15">
        <v>0</v>
      </c>
      <c r="AI25" s="15">
        <v>0</v>
      </c>
      <c r="AJ25" s="15">
        <v>0</v>
      </c>
      <c r="AK25" s="15">
        <v>0</v>
      </c>
      <c r="AL25" s="15">
        <v>0</v>
      </c>
      <c r="AM25" s="15">
        <v>0</v>
      </c>
      <c r="AN25" s="15">
        <v>0</v>
      </c>
      <c r="AO25" s="15">
        <v>0</v>
      </c>
      <c r="AP25" s="15">
        <v>0</v>
      </c>
      <c r="AQ25" s="15">
        <v>0</v>
      </c>
      <c r="AR25" s="15">
        <v>0</v>
      </c>
      <c r="AS25" s="15">
        <v>0</v>
      </c>
      <c r="AT25" s="15">
        <v>0</v>
      </c>
      <c r="AU25" s="15">
        <v>0</v>
      </c>
      <c r="AV25" s="15">
        <v>1</v>
      </c>
      <c r="AW25" s="15">
        <v>0</v>
      </c>
      <c r="AX25" s="15">
        <v>0</v>
      </c>
      <c r="AY25" s="15">
        <v>1</v>
      </c>
      <c r="AZ25" s="15">
        <v>0</v>
      </c>
      <c r="BA25" s="15">
        <v>0</v>
      </c>
      <c r="BB25" s="15">
        <v>0</v>
      </c>
      <c r="BC25" s="15">
        <v>0</v>
      </c>
      <c r="BD25" s="15">
        <v>0</v>
      </c>
    </row>
    <row r="26" spans="1:56" x14ac:dyDescent="0.35">
      <c r="A26" s="14" t="s">
        <v>23</v>
      </c>
      <c r="B26" s="15">
        <v>14</v>
      </c>
      <c r="C26" s="16">
        <v>16.624116843792674</v>
      </c>
      <c r="D26" s="15">
        <v>1</v>
      </c>
      <c r="E26" s="15">
        <v>0</v>
      </c>
      <c r="F26" s="15">
        <v>0</v>
      </c>
      <c r="G26" s="15">
        <v>0</v>
      </c>
      <c r="H26" s="15">
        <v>0</v>
      </c>
      <c r="I26" s="15">
        <v>0</v>
      </c>
      <c r="J26" s="15">
        <v>0</v>
      </c>
      <c r="K26" s="15">
        <v>0</v>
      </c>
      <c r="L26" s="15">
        <v>0</v>
      </c>
      <c r="M26" s="15">
        <v>0</v>
      </c>
      <c r="N26" s="15">
        <v>0</v>
      </c>
      <c r="O26" s="15">
        <v>0</v>
      </c>
      <c r="P26" s="15">
        <v>0</v>
      </c>
      <c r="Q26" s="15">
        <v>0</v>
      </c>
      <c r="R26" s="15">
        <v>0</v>
      </c>
      <c r="S26" s="15">
        <v>0</v>
      </c>
      <c r="T26" s="15">
        <v>0</v>
      </c>
      <c r="U26" s="15">
        <v>0</v>
      </c>
      <c r="V26" s="15">
        <v>0</v>
      </c>
      <c r="W26" s="15">
        <v>1</v>
      </c>
      <c r="X26" s="15">
        <v>0</v>
      </c>
      <c r="Y26" s="15">
        <v>1</v>
      </c>
      <c r="Z26" s="15">
        <v>0</v>
      </c>
      <c r="AA26" s="15">
        <v>0</v>
      </c>
      <c r="AB26" s="15">
        <v>0</v>
      </c>
      <c r="AC26" s="15">
        <v>0</v>
      </c>
      <c r="AD26" s="15">
        <v>0</v>
      </c>
      <c r="AE26" s="15">
        <v>0</v>
      </c>
      <c r="AF26" s="15">
        <v>1</v>
      </c>
      <c r="AG26" s="15">
        <v>0</v>
      </c>
      <c r="AH26" s="15">
        <v>1</v>
      </c>
      <c r="AI26" s="15">
        <v>0</v>
      </c>
      <c r="AJ26" s="15">
        <v>0</v>
      </c>
      <c r="AK26" s="15">
        <v>0</v>
      </c>
      <c r="AL26" s="15">
        <v>1</v>
      </c>
      <c r="AM26" s="15">
        <v>0</v>
      </c>
      <c r="AN26" s="15">
        <v>0</v>
      </c>
      <c r="AO26" s="15">
        <v>2</v>
      </c>
      <c r="AP26" s="15">
        <v>0</v>
      </c>
      <c r="AQ26" s="15">
        <v>1</v>
      </c>
      <c r="AR26" s="15">
        <v>1</v>
      </c>
      <c r="AS26" s="15">
        <v>1</v>
      </c>
      <c r="AT26" s="15">
        <v>0</v>
      </c>
      <c r="AU26" s="15">
        <v>1</v>
      </c>
      <c r="AV26" s="15">
        <v>0</v>
      </c>
      <c r="AW26" s="15">
        <v>0</v>
      </c>
      <c r="AX26" s="15">
        <v>0</v>
      </c>
      <c r="AY26" s="15">
        <v>0</v>
      </c>
      <c r="AZ26" s="15">
        <v>0</v>
      </c>
      <c r="BA26" s="15">
        <v>2</v>
      </c>
      <c r="BB26" s="15">
        <v>0</v>
      </c>
      <c r="BC26" s="15">
        <v>0</v>
      </c>
      <c r="BD26" s="15">
        <v>0</v>
      </c>
    </row>
    <row r="27" spans="1:56" x14ac:dyDescent="0.35">
      <c r="A27" s="14" t="s">
        <v>24</v>
      </c>
      <c r="B27" s="15">
        <v>10</v>
      </c>
      <c r="C27" s="16">
        <v>16.053941242575053</v>
      </c>
      <c r="D27" s="15">
        <v>1</v>
      </c>
      <c r="E27" s="15">
        <v>0</v>
      </c>
      <c r="F27" s="15">
        <v>0</v>
      </c>
      <c r="G27" s="15">
        <v>0</v>
      </c>
      <c r="H27" s="15">
        <v>0</v>
      </c>
      <c r="I27" s="15">
        <v>0</v>
      </c>
      <c r="J27" s="15">
        <v>0</v>
      </c>
      <c r="K27" s="15">
        <v>1</v>
      </c>
      <c r="L27" s="15">
        <v>0</v>
      </c>
      <c r="M27" s="15">
        <v>0</v>
      </c>
      <c r="N27" s="15">
        <v>0</v>
      </c>
      <c r="O27" s="15">
        <v>1</v>
      </c>
      <c r="P27" s="15">
        <v>0</v>
      </c>
      <c r="Q27" s="15">
        <v>0</v>
      </c>
      <c r="R27" s="15">
        <v>0</v>
      </c>
      <c r="S27" s="15">
        <v>0</v>
      </c>
      <c r="T27" s="15">
        <v>0</v>
      </c>
      <c r="U27" s="15">
        <v>0</v>
      </c>
      <c r="V27" s="15">
        <v>0</v>
      </c>
      <c r="W27" s="15">
        <v>0</v>
      </c>
      <c r="X27" s="15">
        <v>0</v>
      </c>
      <c r="Y27" s="15">
        <v>0</v>
      </c>
      <c r="Z27" s="15">
        <v>1</v>
      </c>
      <c r="AA27" s="15">
        <v>0</v>
      </c>
      <c r="AB27" s="15">
        <v>0</v>
      </c>
      <c r="AC27" s="15">
        <v>0</v>
      </c>
      <c r="AD27" s="15">
        <v>0</v>
      </c>
      <c r="AE27" s="15">
        <v>1</v>
      </c>
      <c r="AF27" s="15">
        <v>0</v>
      </c>
      <c r="AG27" s="15">
        <v>0</v>
      </c>
      <c r="AH27" s="15">
        <v>1</v>
      </c>
      <c r="AI27" s="15">
        <v>0</v>
      </c>
      <c r="AJ27" s="15">
        <v>0</v>
      </c>
      <c r="AK27" s="15">
        <v>0</v>
      </c>
      <c r="AL27" s="15">
        <v>0</v>
      </c>
      <c r="AM27" s="15">
        <v>1</v>
      </c>
      <c r="AN27" s="15">
        <v>1</v>
      </c>
      <c r="AO27" s="15">
        <v>0</v>
      </c>
      <c r="AP27" s="15">
        <v>1</v>
      </c>
      <c r="AQ27" s="15">
        <v>0</v>
      </c>
      <c r="AR27" s="15">
        <v>0</v>
      </c>
      <c r="AS27" s="15">
        <v>0</v>
      </c>
      <c r="AT27" s="15">
        <v>0</v>
      </c>
      <c r="AU27" s="15">
        <v>0</v>
      </c>
      <c r="AV27" s="15">
        <v>1</v>
      </c>
      <c r="AW27" s="15">
        <v>0</v>
      </c>
      <c r="AX27" s="15">
        <v>0</v>
      </c>
      <c r="AY27" s="15">
        <v>0</v>
      </c>
      <c r="AZ27" s="15">
        <v>0</v>
      </c>
      <c r="BA27" s="15">
        <v>0</v>
      </c>
      <c r="BB27" s="15">
        <v>0</v>
      </c>
      <c r="BC27" s="15">
        <v>0</v>
      </c>
      <c r="BD27" s="15">
        <v>0</v>
      </c>
    </row>
    <row r="28" spans="1:56" x14ac:dyDescent="0.35">
      <c r="A28" s="14" t="s">
        <v>25</v>
      </c>
      <c r="B28" s="15">
        <v>17</v>
      </c>
      <c r="C28" s="16">
        <v>27.282940138019576</v>
      </c>
      <c r="D28" s="15">
        <v>0</v>
      </c>
      <c r="E28" s="15">
        <v>0</v>
      </c>
      <c r="F28" s="15">
        <v>0</v>
      </c>
      <c r="G28" s="15">
        <v>0</v>
      </c>
      <c r="H28" s="15">
        <v>0</v>
      </c>
      <c r="I28" s="15">
        <v>0</v>
      </c>
      <c r="J28" s="15">
        <v>0</v>
      </c>
      <c r="K28" s="15">
        <v>0</v>
      </c>
      <c r="L28" s="15">
        <v>0</v>
      </c>
      <c r="M28" s="15">
        <v>0</v>
      </c>
      <c r="N28" s="15">
        <v>0</v>
      </c>
      <c r="O28" s="15">
        <v>0</v>
      </c>
      <c r="P28" s="15">
        <v>0</v>
      </c>
      <c r="Q28" s="15">
        <v>0</v>
      </c>
      <c r="R28" s="15">
        <v>0</v>
      </c>
      <c r="S28" s="15">
        <v>0</v>
      </c>
      <c r="T28" s="15">
        <v>0</v>
      </c>
      <c r="U28" s="15">
        <v>1</v>
      </c>
      <c r="V28" s="15">
        <v>0</v>
      </c>
      <c r="W28" s="15">
        <v>1</v>
      </c>
      <c r="X28" s="15">
        <v>1</v>
      </c>
      <c r="Y28" s="15">
        <v>0</v>
      </c>
      <c r="Z28" s="15">
        <v>0</v>
      </c>
      <c r="AA28" s="15">
        <v>0</v>
      </c>
      <c r="AB28" s="15">
        <v>0</v>
      </c>
      <c r="AC28" s="15">
        <v>0</v>
      </c>
      <c r="AD28" s="15">
        <v>0</v>
      </c>
      <c r="AE28" s="15">
        <v>0</v>
      </c>
      <c r="AF28" s="15">
        <v>1</v>
      </c>
      <c r="AG28" s="15">
        <v>0</v>
      </c>
      <c r="AH28" s="15">
        <v>1</v>
      </c>
      <c r="AI28" s="15">
        <v>0</v>
      </c>
      <c r="AJ28" s="15">
        <v>1</v>
      </c>
      <c r="AK28" s="15">
        <v>1</v>
      </c>
      <c r="AL28" s="15">
        <v>0</v>
      </c>
      <c r="AM28" s="15">
        <v>0</v>
      </c>
      <c r="AN28" s="15">
        <v>0</v>
      </c>
      <c r="AO28" s="15">
        <v>0</v>
      </c>
      <c r="AP28" s="15">
        <v>0</v>
      </c>
      <c r="AQ28" s="15">
        <v>3</v>
      </c>
      <c r="AR28" s="15">
        <v>1</v>
      </c>
      <c r="AS28" s="15">
        <v>0</v>
      </c>
      <c r="AT28" s="15">
        <v>0</v>
      </c>
      <c r="AU28" s="15">
        <v>0</v>
      </c>
      <c r="AV28" s="15">
        <v>0</v>
      </c>
      <c r="AW28" s="15">
        <v>1</v>
      </c>
      <c r="AX28" s="15">
        <v>2</v>
      </c>
      <c r="AY28" s="15">
        <v>2</v>
      </c>
      <c r="AZ28" s="15">
        <v>0</v>
      </c>
      <c r="BA28" s="15">
        <v>1</v>
      </c>
      <c r="BB28" s="15">
        <v>0</v>
      </c>
      <c r="BC28" s="15">
        <v>0</v>
      </c>
      <c r="BD28" s="15">
        <v>0</v>
      </c>
    </row>
    <row r="29" spans="1:56" x14ac:dyDescent="0.35">
      <c r="A29" s="14" t="s">
        <v>26</v>
      </c>
      <c r="B29" s="15">
        <v>3</v>
      </c>
      <c r="C29" s="16">
        <v>44.18262150220913</v>
      </c>
      <c r="D29" s="15">
        <v>0</v>
      </c>
      <c r="E29" s="15">
        <v>0</v>
      </c>
      <c r="F29" s="15">
        <v>0</v>
      </c>
      <c r="G29" s="15">
        <v>0</v>
      </c>
      <c r="H29" s="15">
        <v>0</v>
      </c>
      <c r="I29" s="15">
        <v>0</v>
      </c>
      <c r="J29" s="15">
        <v>0</v>
      </c>
      <c r="K29" s="15">
        <v>0</v>
      </c>
      <c r="L29" s="15">
        <v>0</v>
      </c>
      <c r="M29" s="15">
        <v>0</v>
      </c>
      <c r="N29" s="15">
        <v>0</v>
      </c>
      <c r="O29" s="15">
        <v>0</v>
      </c>
      <c r="P29" s="15">
        <v>0</v>
      </c>
      <c r="Q29" s="15">
        <v>0</v>
      </c>
      <c r="R29" s="15">
        <v>1</v>
      </c>
      <c r="S29" s="15">
        <v>0</v>
      </c>
      <c r="T29" s="15">
        <v>0</v>
      </c>
      <c r="U29" s="15">
        <v>0</v>
      </c>
      <c r="V29" s="15">
        <v>0</v>
      </c>
      <c r="W29" s="15">
        <v>1</v>
      </c>
      <c r="X29" s="15">
        <v>0</v>
      </c>
      <c r="Y29" s="15">
        <v>0</v>
      </c>
      <c r="Z29" s="15">
        <v>0</v>
      </c>
      <c r="AA29" s="15">
        <v>0</v>
      </c>
      <c r="AB29" s="15">
        <v>0</v>
      </c>
      <c r="AC29" s="15">
        <v>0</v>
      </c>
      <c r="AD29" s="15">
        <v>0</v>
      </c>
      <c r="AE29" s="15">
        <v>0</v>
      </c>
      <c r="AF29" s="15">
        <v>0</v>
      </c>
      <c r="AG29" s="15">
        <v>0</v>
      </c>
      <c r="AH29" s="15">
        <v>0</v>
      </c>
      <c r="AI29" s="15">
        <v>0</v>
      </c>
      <c r="AJ29" s="15">
        <v>0</v>
      </c>
      <c r="AK29" s="15">
        <v>0</v>
      </c>
      <c r="AL29" s="15">
        <v>0</v>
      </c>
      <c r="AM29" s="15">
        <v>0</v>
      </c>
      <c r="AN29" s="15">
        <v>0</v>
      </c>
      <c r="AO29" s="15">
        <v>0</v>
      </c>
      <c r="AP29" s="15">
        <v>0</v>
      </c>
      <c r="AQ29" s="15">
        <v>0</v>
      </c>
      <c r="AR29" s="15">
        <v>1</v>
      </c>
      <c r="AS29" s="15">
        <v>0</v>
      </c>
      <c r="AT29" s="15">
        <v>0</v>
      </c>
      <c r="AU29" s="15">
        <v>0</v>
      </c>
      <c r="AV29" s="15">
        <v>0</v>
      </c>
      <c r="AW29" s="15">
        <v>0</v>
      </c>
      <c r="AX29" s="15">
        <v>0</v>
      </c>
      <c r="AY29" s="15">
        <v>0</v>
      </c>
      <c r="AZ29" s="15">
        <v>0</v>
      </c>
      <c r="BA29" s="15">
        <v>0</v>
      </c>
      <c r="BB29" s="15">
        <v>0</v>
      </c>
      <c r="BC29" s="15">
        <v>0</v>
      </c>
      <c r="BD29" s="15">
        <v>0</v>
      </c>
    </row>
    <row r="30" spans="1:56" x14ac:dyDescent="0.35">
      <c r="A30" s="14" t="s">
        <v>27</v>
      </c>
      <c r="B30" s="15">
        <v>0</v>
      </c>
      <c r="C30" s="16">
        <v>0</v>
      </c>
      <c r="D30" s="15">
        <v>0</v>
      </c>
      <c r="E30" s="15">
        <v>0</v>
      </c>
      <c r="F30" s="15">
        <v>0</v>
      </c>
      <c r="G30" s="15">
        <v>0</v>
      </c>
      <c r="H30" s="15">
        <v>0</v>
      </c>
      <c r="I30" s="15">
        <v>0</v>
      </c>
      <c r="J30" s="15">
        <v>0</v>
      </c>
      <c r="K30" s="15">
        <v>0</v>
      </c>
      <c r="L30" s="15">
        <v>0</v>
      </c>
      <c r="M30" s="15">
        <v>0</v>
      </c>
      <c r="N30" s="15">
        <v>0</v>
      </c>
      <c r="O30" s="15">
        <v>0</v>
      </c>
      <c r="P30" s="15">
        <v>0</v>
      </c>
      <c r="Q30" s="15">
        <v>0</v>
      </c>
      <c r="R30" s="15">
        <v>0</v>
      </c>
      <c r="S30" s="15">
        <v>0</v>
      </c>
      <c r="T30" s="15">
        <v>0</v>
      </c>
      <c r="U30" s="15">
        <v>0</v>
      </c>
      <c r="V30" s="15">
        <v>0</v>
      </c>
      <c r="W30" s="15">
        <v>0</v>
      </c>
      <c r="X30" s="15">
        <v>0</v>
      </c>
      <c r="Y30" s="15">
        <v>0</v>
      </c>
      <c r="Z30" s="15">
        <v>0</v>
      </c>
      <c r="AA30" s="15">
        <v>0</v>
      </c>
      <c r="AB30" s="15">
        <v>0</v>
      </c>
      <c r="AC30" s="15">
        <v>0</v>
      </c>
      <c r="AD30" s="15">
        <v>0</v>
      </c>
      <c r="AE30" s="15">
        <v>0</v>
      </c>
      <c r="AF30" s="15">
        <v>0</v>
      </c>
      <c r="AG30" s="15">
        <v>0</v>
      </c>
      <c r="AH30" s="15">
        <v>0</v>
      </c>
      <c r="AI30" s="15">
        <v>0</v>
      </c>
      <c r="AJ30" s="15">
        <v>0</v>
      </c>
      <c r="AK30" s="15">
        <v>0</v>
      </c>
      <c r="AL30" s="15">
        <v>0</v>
      </c>
      <c r="AM30" s="15">
        <v>0</v>
      </c>
      <c r="AN30" s="15">
        <v>0</v>
      </c>
      <c r="AO30" s="15">
        <v>0</v>
      </c>
      <c r="AP30" s="15">
        <v>0</v>
      </c>
      <c r="AQ30" s="15">
        <v>0</v>
      </c>
      <c r="AR30" s="15">
        <v>0</v>
      </c>
      <c r="AS30" s="15">
        <v>0</v>
      </c>
      <c r="AT30" s="15">
        <v>0</v>
      </c>
      <c r="AU30" s="15">
        <v>0</v>
      </c>
      <c r="AV30" s="15">
        <v>0</v>
      </c>
      <c r="AW30" s="15">
        <v>0</v>
      </c>
      <c r="AX30" s="15">
        <v>0</v>
      </c>
      <c r="AY30" s="15">
        <v>0</v>
      </c>
      <c r="AZ30" s="15">
        <v>0</v>
      </c>
      <c r="BA30" s="15">
        <v>0</v>
      </c>
      <c r="BB30" s="15">
        <v>0</v>
      </c>
      <c r="BC30" s="15">
        <v>0</v>
      </c>
      <c r="BD30" s="15">
        <v>0</v>
      </c>
    </row>
    <row r="31" spans="1:56" x14ac:dyDescent="0.35">
      <c r="A31" s="14" t="s">
        <v>28</v>
      </c>
      <c r="B31" s="15">
        <v>7</v>
      </c>
      <c r="C31" s="16">
        <v>8.8651359531920821</v>
      </c>
      <c r="D31" s="15">
        <v>0</v>
      </c>
      <c r="E31" s="15">
        <v>1</v>
      </c>
      <c r="F31" s="15">
        <v>0</v>
      </c>
      <c r="G31" s="15">
        <v>0</v>
      </c>
      <c r="H31" s="15">
        <v>0</v>
      </c>
      <c r="I31" s="15">
        <v>0</v>
      </c>
      <c r="J31" s="15">
        <v>0</v>
      </c>
      <c r="K31" s="15">
        <v>0</v>
      </c>
      <c r="L31" s="15">
        <v>1</v>
      </c>
      <c r="M31" s="15">
        <v>0</v>
      </c>
      <c r="N31" s="15">
        <v>0</v>
      </c>
      <c r="O31" s="15">
        <v>0</v>
      </c>
      <c r="P31" s="15">
        <v>0</v>
      </c>
      <c r="Q31" s="15">
        <v>0</v>
      </c>
      <c r="R31" s="15">
        <v>0</v>
      </c>
      <c r="S31" s="15">
        <v>1</v>
      </c>
      <c r="T31" s="15">
        <v>0</v>
      </c>
      <c r="U31" s="15">
        <v>1</v>
      </c>
      <c r="V31" s="15">
        <v>0</v>
      </c>
      <c r="W31" s="15">
        <v>0</v>
      </c>
      <c r="X31" s="15">
        <v>0</v>
      </c>
      <c r="Y31" s="15">
        <v>0</v>
      </c>
      <c r="Z31" s="15">
        <v>0</v>
      </c>
      <c r="AA31" s="15">
        <v>0</v>
      </c>
      <c r="AB31" s="15">
        <v>0</v>
      </c>
      <c r="AC31" s="15">
        <v>0</v>
      </c>
      <c r="AD31" s="15">
        <v>0</v>
      </c>
      <c r="AE31" s="15">
        <v>0</v>
      </c>
      <c r="AF31" s="15">
        <v>0</v>
      </c>
      <c r="AG31" s="15">
        <v>0</v>
      </c>
      <c r="AH31" s="15">
        <v>0</v>
      </c>
      <c r="AI31" s="15">
        <v>0</v>
      </c>
      <c r="AJ31" s="15">
        <v>0</v>
      </c>
      <c r="AK31" s="15">
        <v>1</v>
      </c>
      <c r="AL31" s="15">
        <v>1</v>
      </c>
      <c r="AM31" s="15">
        <v>0</v>
      </c>
      <c r="AN31" s="15">
        <v>0</v>
      </c>
      <c r="AO31" s="15">
        <v>0</v>
      </c>
      <c r="AP31" s="15">
        <v>0</v>
      </c>
      <c r="AQ31" s="15">
        <v>0</v>
      </c>
      <c r="AR31" s="15">
        <v>0</v>
      </c>
      <c r="AS31" s="15">
        <v>0</v>
      </c>
      <c r="AT31" s="15">
        <v>0</v>
      </c>
      <c r="AU31" s="15">
        <v>0</v>
      </c>
      <c r="AV31" s="15">
        <v>0</v>
      </c>
      <c r="AW31" s="15">
        <v>0</v>
      </c>
      <c r="AX31" s="15">
        <v>1</v>
      </c>
      <c r="AY31" s="15">
        <v>0</v>
      </c>
      <c r="AZ31" s="15">
        <v>0</v>
      </c>
      <c r="BA31" s="15">
        <v>0</v>
      </c>
      <c r="BB31" s="15">
        <v>0</v>
      </c>
      <c r="BC31" s="15">
        <v>0</v>
      </c>
      <c r="BD31" s="15">
        <v>0</v>
      </c>
    </row>
    <row r="32" spans="1:56" x14ac:dyDescent="0.35">
      <c r="A32" s="14" t="s">
        <v>29</v>
      </c>
      <c r="B32" s="15">
        <v>244</v>
      </c>
      <c r="C32" s="16">
        <v>170.63295034161555</v>
      </c>
      <c r="D32" s="15">
        <v>1</v>
      </c>
      <c r="E32" s="15">
        <v>0</v>
      </c>
      <c r="F32" s="15">
        <v>1</v>
      </c>
      <c r="G32" s="15">
        <v>5</v>
      </c>
      <c r="H32" s="15">
        <v>2</v>
      </c>
      <c r="I32" s="15">
        <v>1</v>
      </c>
      <c r="J32" s="15">
        <v>2</v>
      </c>
      <c r="K32" s="15">
        <v>3</v>
      </c>
      <c r="L32" s="15">
        <v>1</v>
      </c>
      <c r="M32" s="15">
        <v>3</v>
      </c>
      <c r="N32" s="15">
        <v>4</v>
      </c>
      <c r="O32" s="15">
        <v>1</v>
      </c>
      <c r="P32" s="15">
        <v>3</v>
      </c>
      <c r="Q32" s="15">
        <v>5</v>
      </c>
      <c r="R32" s="15">
        <v>6</v>
      </c>
      <c r="S32" s="15">
        <v>4</v>
      </c>
      <c r="T32" s="15">
        <v>3</v>
      </c>
      <c r="U32" s="15">
        <v>5</v>
      </c>
      <c r="V32" s="15">
        <v>2</v>
      </c>
      <c r="W32" s="15">
        <v>0</v>
      </c>
      <c r="X32" s="15">
        <v>3</v>
      </c>
      <c r="Y32" s="15">
        <v>5</v>
      </c>
      <c r="Z32" s="15">
        <v>5</v>
      </c>
      <c r="AA32" s="15">
        <v>7</v>
      </c>
      <c r="AB32" s="15">
        <v>6</v>
      </c>
      <c r="AC32" s="15">
        <v>8</v>
      </c>
      <c r="AD32" s="15">
        <v>9</v>
      </c>
      <c r="AE32" s="15">
        <v>11</v>
      </c>
      <c r="AF32" s="15">
        <v>5</v>
      </c>
      <c r="AG32" s="15">
        <v>5</v>
      </c>
      <c r="AH32" s="15">
        <v>5</v>
      </c>
      <c r="AI32" s="15">
        <v>10</v>
      </c>
      <c r="AJ32" s="15">
        <v>5</v>
      </c>
      <c r="AK32" s="15">
        <v>10</v>
      </c>
      <c r="AL32" s="15">
        <v>0</v>
      </c>
      <c r="AM32" s="15">
        <v>5</v>
      </c>
      <c r="AN32" s="15">
        <v>9</v>
      </c>
      <c r="AO32" s="15">
        <v>9</v>
      </c>
      <c r="AP32" s="15">
        <v>4</v>
      </c>
      <c r="AQ32" s="15">
        <v>4</v>
      </c>
      <c r="AR32" s="15">
        <v>8</v>
      </c>
      <c r="AS32" s="15">
        <v>7</v>
      </c>
      <c r="AT32" s="15">
        <v>4</v>
      </c>
      <c r="AU32" s="15">
        <v>2</v>
      </c>
      <c r="AV32" s="15">
        <v>7</v>
      </c>
      <c r="AW32" s="15">
        <v>5</v>
      </c>
      <c r="AX32" s="15">
        <v>8</v>
      </c>
      <c r="AY32" s="15">
        <v>7</v>
      </c>
      <c r="AZ32" s="15">
        <v>3</v>
      </c>
      <c r="BA32" s="15">
        <v>3</v>
      </c>
      <c r="BB32" s="15">
        <v>6</v>
      </c>
      <c r="BC32" s="15">
        <v>7</v>
      </c>
      <c r="BD32" s="15">
        <v>0</v>
      </c>
    </row>
    <row r="33" spans="1:56" x14ac:dyDescent="0.35">
      <c r="A33" s="14" t="s">
        <v>30</v>
      </c>
      <c r="B33" s="15">
        <v>0</v>
      </c>
      <c r="C33" s="16">
        <v>0</v>
      </c>
      <c r="D33" s="15">
        <v>0</v>
      </c>
      <c r="E33" s="15">
        <v>0</v>
      </c>
      <c r="F33" s="15">
        <v>0</v>
      </c>
      <c r="G33" s="15">
        <v>0</v>
      </c>
      <c r="H33" s="15">
        <v>0</v>
      </c>
      <c r="I33" s="15">
        <v>0</v>
      </c>
      <c r="J33" s="15">
        <v>0</v>
      </c>
      <c r="K33" s="15">
        <v>0</v>
      </c>
      <c r="L33" s="15">
        <v>0</v>
      </c>
      <c r="M33" s="15">
        <v>0</v>
      </c>
      <c r="N33" s="15">
        <v>0</v>
      </c>
      <c r="O33" s="15">
        <v>0</v>
      </c>
      <c r="P33" s="15">
        <v>0</v>
      </c>
      <c r="Q33" s="15">
        <v>0</v>
      </c>
      <c r="R33" s="15">
        <v>0</v>
      </c>
      <c r="S33" s="15">
        <v>0</v>
      </c>
      <c r="T33" s="15">
        <v>0</v>
      </c>
      <c r="U33" s="15">
        <v>0</v>
      </c>
      <c r="V33" s="15">
        <v>0</v>
      </c>
      <c r="W33" s="15">
        <v>0</v>
      </c>
      <c r="X33" s="15">
        <v>0</v>
      </c>
      <c r="Y33" s="15">
        <v>0</v>
      </c>
      <c r="Z33" s="15">
        <v>0</v>
      </c>
      <c r="AA33" s="15">
        <v>0</v>
      </c>
      <c r="AB33" s="15">
        <v>0</v>
      </c>
      <c r="AC33" s="15">
        <v>0</v>
      </c>
      <c r="AD33" s="15">
        <v>0</v>
      </c>
      <c r="AE33" s="15">
        <v>0</v>
      </c>
      <c r="AF33" s="15">
        <v>0</v>
      </c>
      <c r="AG33" s="15">
        <v>0</v>
      </c>
      <c r="AH33" s="15">
        <v>0</v>
      </c>
      <c r="AI33" s="15">
        <v>0</v>
      </c>
      <c r="AJ33" s="15">
        <v>0</v>
      </c>
      <c r="AK33" s="15">
        <v>0</v>
      </c>
      <c r="AL33" s="15">
        <v>0</v>
      </c>
      <c r="AM33" s="15">
        <v>0</v>
      </c>
      <c r="AN33" s="15">
        <v>0</v>
      </c>
      <c r="AO33" s="15">
        <v>0</v>
      </c>
      <c r="AP33" s="15">
        <v>0</v>
      </c>
      <c r="AQ33" s="15">
        <v>0</v>
      </c>
      <c r="AR33" s="15">
        <v>0</v>
      </c>
      <c r="AS33" s="15">
        <v>0</v>
      </c>
      <c r="AT33" s="15">
        <v>0</v>
      </c>
      <c r="AU33" s="15">
        <v>0</v>
      </c>
      <c r="AV33" s="15">
        <v>0</v>
      </c>
      <c r="AW33" s="15">
        <v>0</v>
      </c>
      <c r="AX33" s="15">
        <v>0</v>
      </c>
      <c r="AY33" s="15">
        <v>0</v>
      </c>
      <c r="AZ33" s="15">
        <v>0</v>
      </c>
      <c r="BA33" s="15">
        <v>0</v>
      </c>
      <c r="BB33" s="15">
        <v>0</v>
      </c>
      <c r="BC33" s="15">
        <v>0</v>
      </c>
      <c r="BD33" s="15">
        <v>0</v>
      </c>
    </row>
    <row r="34" spans="1:56" x14ac:dyDescent="0.35">
      <c r="A34" s="14"/>
      <c r="B34" s="12"/>
      <c r="C34" s="13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2"/>
      <c r="BC34" s="2"/>
      <c r="BD34" s="2"/>
    </row>
    <row r="35" spans="1:56" x14ac:dyDescent="0.35">
      <c r="A35" s="1" t="s">
        <v>31</v>
      </c>
      <c r="B35" s="10">
        <v>1402</v>
      </c>
      <c r="C35" s="11">
        <v>137.93496985993008</v>
      </c>
      <c r="D35" s="10">
        <v>2</v>
      </c>
      <c r="E35" s="10">
        <v>5</v>
      </c>
      <c r="F35" s="10">
        <v>1</v>
      </c>
      <c r="G35" s="10">
        <v>2</v>
      </c>
      <c r="H35" s="10">
        <v>2</v>
      </c>
      <c r="I35" s="10">
        <v>1</v>
      </c>
      <c r="J35" s="10">
        <v>3</v>
      </c>
      <c r="K35" s="10">
        <v>3</v>
      </c>
      <c r="L35" s="10">
        <v>3</v>
      </c>
      <c r="M35" s="10">
        <v>3</v>
      </c>
      <c r="N35" s="10">
        <v>3</v>
      </c>
      <c r="O35" s="10">
        <v>4</v>
      </c>
      <c r="P35" s="10">
        <v>2</v>
      </c>
      <c r="Q35" s="10">
        <v>2</v>
      </c>
      <c r="R35" s="10">
        <v>3</v>
      </c>
      <c r="S35" s="10">
        <v>5</v>
      </c>
      <c r="T35" s="10">
        <v>3</v>
      </c>
      <c r="U35" s="10">
        <v>3</v>
      </c>
      <c r="V35" s="10">
        <v>7</v>
      </c>
      <c r="W35" s="10">
        <v>4</v>
      </c>
      <c r="X35" s="10">
        <v>6</v>
      </c>
      <c r="Y35" s="10">
        <v>8</v>
      </c>
      <c r="Z35" s="10">
        <v>12</v>
      </c>
      <c r="AA35" s="10">
        <v>7</v>
      </c>
      <c r="AB35" s="10">
        <v>7</v>
      </c>
      <c r="AC35" s="10">
        <v>4</v>
      </c>
      <c r="AD35" s="10">
        <v>23</v>
      </c>
      <c r="AE35" s="10">
        <v>48</v>
      </c>
      <c r="AF35" s="10">
        <v>49</v>
      </c>
      <c r="AG35" s="10">
        <v>34</v>
      </c>
      <c r="AH35" s="10">
        <v>41</v>
      </c>
      <c r="AI35" s="10">
        <v>70</v>
      </c>
      <c r="AJ35" s="10">
        <v>52</v>
      </c>
      <c r="AK35" s="10">
        <v>56</v>
      </c>
      <c r="AL35" s="10">
        <v>69</v>
      </c>
      <c r="AM35" s="10">
        <v>51</v>
      </c>
      <c r="AN35" s="10">
        <v>58</v>
      </c>
      <c r="AO35" s="10">
        <v>56</v>
      </c>
      <c r="AP35" s="10">
        <v>54</v>
      </c>
      <c r="AQ35" s="10">
        <v>73</v>
      </c>
      <c r="AR35" s="10">
        <v>66</v>
      </c>
      <c r="AS35" s="10">
        <v>52</v>
      </c>
      <c r="AT35" s="10">
        <v>60</v>
      </c>
      <c r="AU35" s="10">
        <v>57</v>
      </c>
      <c r="AV35" s="10">
        <v>56</v>
      </c>
      <c r="AW35" s="10">
        <v>41</v>
      </c>
      <c r="AX35" s="10">
        <v>40</v>
      </c>
      <c r="AY35" s="10">
        <v>47</v>
      </c>
      <c r="AZ35" s="10">
        <v>42</v>
      </c>
      <c r="BA35" s="10">
        <v>42</v>
      </c>
      <c r="BB35" s="10">
        <v>40</v>
      </c>
      <c r="BC35" s="10">
        <v>20</v>
      </c>
      <c r="BD35" s="10">
        <v>0</v>
      </c>
    </row>
    <row r="36" spans="1:56" x14ac:dyDescent="0.35">
      <c r="A36" s="14" t="s">
        <v>32</v>
      </c>
      <c r="B36" s="15">
        <v>635</v>
      </c>
      <c r="C36" s="16">
        <v>204.67496970165803</v>
      </c>
      <c r="D36" s="15">
        <v>1</v>
      </c>
      <c r="E36" s="15">
        <v>2</v>
      </c>
      <c r="F36" s="15">
        <v>1</v>
      </c>
      <c r="G36" s="15">
        <v>1</v>
      </c>
      <c r="H36" s="15">
        <v>2</v>
      </c>
      <c r="I36" s="15">
        <v>0</v>
      </c>
      <c r="J36" s="15">
        <v>1</v>
      </c>
      <c r="K36" s="15">
        <v>1</v>
      </c>
      <c r="L36" s="15">
        <v>1</v>
      </c>
      <c r="M36" s="15">
        <v>2</v>
      </c>
      <c r="N36" s="15">
        <v>2</v>
      </c>
      <c r="O36" s="15">
        <v>2</v>
      </c>
      <c r="P36" s="15">
        <v>1</v>
      </c>
      <c r="Q36" s="15">
        <v>0</v>
      </c>
      <c r="R36" s="15">
        <v>0</v>
      </c>
      <c r="S36" s="15">
        <v>2</v>
      </c>
      <c r="T36" s="15">
        <v>1</v>
      </c>
      <c r="U36" s="15">
        <v>0</v>
      </c>
      <c r="V36" s="15">
        <v>1</v>
      </c>
      <c r="W36" s="15">
        <v>2</v>
      </c>
      <c r="X36" s="15">
        <v>1</v>
      </c>
      <c r="Y36" s="15">
        <v>1</v>
      </c>
      <c r="Z36" s="15">
        <v>2</v>
      </c>
      <c r="AA36" s="15">
        <v>5</v>
      </c>
      <c r="AB36" s="15">
        <v>4</v>
      </c>
      <c r="AC36" s="15">
        <v>2</v>
      </c>
      <c r="AD36" s="15">
        <v>6</v>
      </c>
      <c r="AE36" s="15">
        <v>16</v>
      </c>
      <c r="AF36" s="15">
        <v>25</v>
      </c>
      <c r="AG36" s="15">
        <v>9</v>
      </c>
      <c r="AH36" s="15">
        <v>12</v>
      </c>
      <c r="AI36" s="15">
        <v>15</v>
      </c>
      <c r="AJ36" s="15">
        <v>16</v>
      </c>
      <c r="AK36" s="15">
        <v>28</v>
      </c>
      <c r="AL36" s="15">
        <v>33</v>
      </c>
      <c r="AM36" s="15">
        <v>23</v>
      </c>
      <c r="AN36" s="15">
        <v>29</v>
      </c>
      <c r="AO36" s="15">
        <v>28</v>
      </c>
      <c r="AP36" s="15">
        <v>28</v>
      </c>
      <c r="AQ36" s="15">
        <v>35</v>
      </c>
      <c r="AR36" s="15">
        <v>42</v>
      </c>
      <c r="AS36" s="15">
        <v>31</v>
      </c>
      <c r="AT36" s="15">
        <v>41</v>
      </c>
      <c r="AU36" s="15">
        <v>29</v>
      </c>
      <c r="AV36" s="15">
        <v>22</v>
      </c>
      <c r="AW36" s="15">
        <v>22</v>
      </c>
      <c r="AX36" s="15">
        <v>14</v>
      </c>
      <c r="AY36" s="15">
        <v>19</v>
      </c>
      <c r="AZ36" s="15">
        <v>14</v>
      </c>
      <c r="BA36" s="15">
        <v>22</v>
      </c>
      <c r="BB36" s="15">
        <v>27</v>
      </c>
      <c r="BC36" s="15">
        <v>11</v>
      </c>
      <c r="BD36" s="15">
        <v>0</v>
      </c>
    </row>
    <row r="37" spans="1:56" x14ac:dyDescent="0.35">
      <c r="A37" s="14" t="s">
        <v>33</v>
      </c>
      <c r="B37" s="15">
        <v>16</v>
      </c>
      <c r="C37" s="16">
        <v>17.227641751189786</v>
      </c>
      <c r="D37" s="15">
        <v>0</v>
      </c>
      <c r="E37" s="15">
        <v>0</v>
      </c>
      <c r="F37" s="15">
        <v>0</v>
      </c>
      <c r="G37" s="15">
        <v>0</v>
      </c>
      <c r="H37" s="15">
        <v>0</v>
      </c>
      <c r="I37" s="15">
        <v>0</v>
      </c>
      <c r="J37" s="15">
        <v>1</v>
      </c>
      <c r="K37" s="15">
        <v>0</v>
      </c>
      <c r="L37" s="15">
        <v>0</v>
      </c>
      <c r="M37" s="15">
        <v>0</v>
      </c>
      <c r="N37" s="15">
        <v>1</v>
      </c>
      <c r="O37" s="15">
        <v>0</v>
      </c>
      <c r="P37" s="15">
        <v>0</v>
      </c>
      <c r="Q37" s="15">
        <v>0</v>
      </c>
      <c r="R37" s="15">
        <v>0</v>
      </c>
      <c r="S37" s="15">
        <v>0</v>
      </c>
      <c r="T37" s="15">
        <v>0</v>
      </c>
      <c r="U37" s="15">
        <v>0</v>
      </c>
      <c r="V37" s="15">
        <v>0</v>
      </c>
      <c r="W37" s="15">
        <v>0</v>
      </c>
      <c r="X37" s="15">
        <v>0</v>
      </c>
      <c r="Y37" s="15">
        <v>0</v>
      </c>
      <c r="Z37" s="15">
        <v>0</v>
      </c>
      <c r="AA37" s="15">
        <v>0</v>
      </c>
      <c r="AB37" s="15">
        <v>0</v>
      </c>
      <c r="AC37" s="15">
        <v>0</v>
      </c>
      <c r="AD37" s="15">
        <v>0</v>
      </c>
      <c r="AE37" s="15">
        <v>0</v>
      </c>
      <c r="AF37" s="15">
        <v>0</v>
      </c>
      <c r="AG37" s="15">
        <v>1</v>
      </c>
      <c r="AH37" s="15">
        <v>1</v>
      </c>
      <c r="AI37" s="15">
        <v>3</v>
      </c>
      <c r="AJ37" s="15">
        <v>1</v>
      </c>
      <c r="AK37" s="15">
        <v>1</v>
      </c>
      <c r="AL37" s="15">
        <v>2</v>
      </c>
      <c r="AM37" s="15">
        <v>0</v>
      </c>
      <c r="AN37" s="15">
        <v>0</v>
      </c>
      <c r="AO37" s="15">
        <v>0</v>
      </c>
      <c r="AP37" s="15">
        <v>0</v>
      </c>
      <c r="AQ37" s="15">
        <v>0</v>
      </c>
      <c r="AR37" s="15">
        <v>0</v>
      </c>
      <c r="AS37" s="15">
        <v>0</v>
      </c>
      <c r="AT37" s="15">
        <v>0</v>
      </c>
      <c r="AU37" s="15">
        <v>1</v>
      </c>
      <c r="AV37" s="15">
        <v>2</v>
      </c>
      <c r="AW37" s="15">
        <v>0</v>
      </c>
      <c r="AX37" s="15">
        <v>0</v>
      </c>
      <c r="AY37" s="15">
        <v>0</v>
      </c>
      <c r="AZ37" s="15">
        <v>0</v>
      </c>
      <c r="BA37" s="15">
        <v>1</v>
      </c>
      <c r="BB37" s="15">
        <v>1</v>
      </c>
      <c r="BC37" s="15">
        <v>0</v>
      </c>
      <c r="BD37" s="15">
        <v>0</v>
      </c>
    </row>
    <row r="38" spans="1:56" x14ac:dyDescent="0.35">
      <c r="A38" s="14" t="s">
        <v>34</v>
      </c>
      <c r="B38" s="15">
        <v>35</v>
      </c>
      <c r="C38" s="16">
        <v>37.774132274218616</v>
      </c>
      <c r="D38" s="15">
        <v>1</v>
      </c>
      <c r="E38" s="15">
        <v>3</v>
      </c>
      <c r="F38" s="15">
        <v>0</v>
      </c>
      <c r="G38" s="15">
        <v>0</v>
      </c>
      <c r="H38" s="15">
        <v>0</v>
      </c>
      <c r="I38" s="15">
        <v>0</v>
      </c>
      <c r="J38" s="15">
        <v>0</v>
      </c>
      <c r="K38" s="15">
        <v>1</v>
      </c>
      <c r="L38" s="15">
        <v>0</v>
      </c>
      <c r="M38" s="15">
        <v>1</v>
      </c>
      <c r="N38" s="15">
        <v>0</v>
      </c>
      <c r="O38" s="15">
        <v>0</v>
      </c>
      <c r="P38" s="15">
        <v>1</v>
      </c>
      <c r="Q38" s="15">
        <v>0</v>
      </c>
      <c r="R38" s="15">
        <v>0</v>
      </c>
      <c r="S38" s="15">
        <v>0</v>
      </c>
      <c r="T38" s="15">
        <v>0</v>
      </c>
      <c r="U38" s="15">
        <v>1</v>
      </c>
      <c r="V38" s="15">
        <v>1</v>
      </c>
      <c r="W38" s="15">
        <v>1</v>
      </c>
      <c r="X38" s="15">
        <v>2</v>
      </c>
      <c r="Y38" s="15">
        <v>0</v>
      </c>
      <c r="Z38" s="15">
        <v>0</v>
      </c>
      <c r="AA38" s="15">
        <v>0</v>
      </c>
      <c r="AB38" s="15">
        <v>0</v>
      </c>
      <c r="AC38" s="15">
        <v>0</v>
      </c>
      <c r="AD38" s="15">
        <v>0</v>
      </c>
      <c r="AE38" s="15">
        <v>2</v>
      </c>
      <c r="AF38" s="15">
        <v>1</v>
      </c>
      <c r="AG38" s="15">
        <v>0</v>
      </c>
      <c r="AH38" s="15">
        <v>1</v>
      </c>
      <c r="AI38" s="15">
        <v>0</v>
      </c>
      <c r="AJ38" s="15">
        <v>2</v>
      </c>
      <c r="AK38" s="15">
        <v>1</v>
      </c>
      <c r="AL38" s="15">
        <v>1</v>
      </c>
      <c r="AM38" s="15">
        <v>0</v>
      </c>
      <c r="AN38" s="15">
        <v>0</v>
      </c>
      <c r="AO38" s="15">
        <v>1</v>
      </c>
      <c r="AP38" s="15">
        <v>1</v>
      </c>
      <c r="AQ38" s="15">
        <v>4</v>
      </c>
      <c r="AR38" s="15">
        <v>0</v>
      </c>
      <c r="AS38" s="15">
        <v>0</v>
      </c>
      <c r="AT38" s="15">
        <v>1</v>
      </c>
      <c r="AU38" s="15">
        <v>2</v>
      </c>
      <c r="AV38" s="15">
        <v>1</v>
      </c>
      <c r="AW38" s="15">
        <v>0</v>
      </c>
      <c r="AX38" s="15">
        <v>1</v>
      </c>
      <c r="AY38" s="15">
        <v>1</v>
      </c>
      <c r="AZ38" s="15">
        <v>2</v>
      </c>
      <c r="BA38" s="15">
        <v>1</v>
      </c>
      <c r="BB38" s="15">
        <v>0</v>
      </c>
      <c r="BC38" s="15">
        <v>0</v>
      </c>
      <c r="BD38" s="15">
        <v>0</v>
      </c>
    </row>
    <row r="39" spans="1:56" x14ac:dyDescent="0.35">
      <c r="A39" s="14" t="s">
        <v>35</v>
      </c>
      <c r="B39" s="15">
        <v>17</v>
      </c>
      <c r="C39" s="16">
        <v>240.45261669024043</v>
      </c>
      <c r="D39" s="15">
        <v>0</v>
      </c>
      <c r="E39" s="15">
        <v>0</v>
      </c>
      <c r="F39" s="15">
        <v>0</v>
      </c>
      <c r="G39" s="15">
        <v>1</v>
      </c>
      <c r="H39" s="15">
        <v>0</v>
      </c>
      <c r="I39" s="15">
        <v>0</v>
      </c>
      <c r="J39" s="15">
        <v>0</v>
      </c>
      <c r="K39" s="15">
        <v>0</v>
      </c>
      <c r="L39" s="15">
        <v>0</v>
      </c>
      <c r="M39" s="15">
        <v>0</v>
      </c>
      <c r="N39" s="15">
        <v>0</v>
      </c>
      <c r="O39" s="15">
        <v>0</v>
      </c>
      <c r="P39" s="15">
        <v>0</v>
      </c>
      <c r="Q39" s="15">
        <v>1</v>
      </c>
      <c r="R39" s="15">
        <v>0</v>
      </c>
      <c r="S39" s="15">
        <v>1</v>
      </c>
      <c r="T39" s="15">
        <v>1</v>
      </c>
      <c r="U39" s="15">
        <v>0</v>
      </c>
      <c r="V39" s="15">
        <v>0</v>
      </c>
      <c r="W39" s="15">
        <v>0</v>
      </c>
      <c r="X39" s="15">
        <v>0</v>
      </c>
      <c r="Y39" s="15">
        <v>2</v>
      </c>
      <c r="Z39" s="15">
        <v>2</v>
      </c>
      <c r="AA39" s="15">
        <v>0</v>
      </c>
      <c r="AB39" s="15">
        <v>0</v>
      </c>
      <c r="AC39" s="15">
        <v>0</v>
      </c>
      <c r="AD39" s="15">
        <v>0</v>
      </c>
      <c r="AE39" s="15">
        <v>0</v>
      </c>
      <c r="AF39" s="15">
        <v>0</v>
      </c>
      <c r="AG39" s="15">
        <v>0</v>
      </c>
      <c r="AH39" s="15">
        <v>1</v>
      </c>
      <c r="AI39" s="15">
        <v>1</v>
      </c>
      <c r="AJ39" s="15">
        <v>0</v>
      </c>
      <c r="AK39" s="15">
        <v>0</v>
      </c>
      <c r="AL39" s="15">
        <v>0</v>
      </c>
      <c r="AM39" s="15">
        <v>0</v>
      </c>
      <c r="AN39" s="15">
        <v>0</v>
      </c>
      <c r="AO39" s="15">
        <v>1</v>
      </c>
      <c r="AP39" s="15">
        <v>1</v>
      </c>
      <c r="AQ39" s="15">
        <v>0</v>
      </c>
      <c r="AR39" s="15">
        <v>0</v>
      </c>
      <c r="AS39" s="15">
        <v>2</v>
      </c>
      <c r="AT39" s="15">
        <v>0</v>
      </c>
      <c r="AU39" s="15">
        <v>2</v>
      </c>
      <c r="AV39" s="15">
        <v>1</v>
      </c>
      <c r="AW39" s="15">
        <v>0</v>
      </c>
      <c r="AX39" s="15">
        <v>0</v>
      </c>
      <c r="AY39" s="15">
        <v>0</v>
      </c>
      <c r="AZ39" s="15">
        <v>0</v>
      </c>
      <c r="BA39" s="15">
        <v>0</v>
      </c>
      <c r="BB39" s="15">
        <v>0</v>
      </c>
      <c r="BC39" s="15">
        <v>0</v>
      </c>
      <c r="BD39" s="15">
        <v>0</v>
      </c>
    </row>
    <row r="40" spans="1:56" x14ac:dyDescent="0.35">
      <c r="A40" s="14" t="s">
        <v>36</v>
      </c>
      <c r="B40" s="15">
        <v>78</v>
      </c>
      <c r="C40" s="16">
        <v>268.58579250025826</v>
      </c>
      <c r="D40" s="15">
        <v>0</v>
      </c>
      <c r="E40" s="15">
        <v>0</v>
      </c>
      <c r="F40" s="15">
        <v>0</v>
      </c>
      <c r="G40" s="15">
        <v>0</v>
      </c>
      <c r="H40" s="15">
        <v>0</v>
      </c>
      <c r="I40" s="15">
        <v>0</v>
      </c>
      <c r="J40" s="15">
        <v>0</v>
      </c>
      <c r="K40" s="15">
        <v>0</v>
      </c>
      <c r="L40" s="15">
        <v>0</v>
      </c>
      <c r="M40" s="15">
        <v>0</v>
      </c>
      <c r="N40" s="15">
        <v>0</v>
      </c>
      <c r="O40" s="15">
        <v>0</v>
      </c>
      <c r="P40" s="15">
        <v>0</v>
      </c>
      <c r="Q40" s="15">
        <v>0</v>
      </c>
      <c r="R40" s="15">
        <v>1</v>
      </c>
      <c r="S40" s="15">
        <v>0</v>
      </c>
      <c r="T40" s="15">
        <v>0</v>
      </c>
      <c r="U40" s="15">
        <v>0</v>
      </c>
      <c r="V40" s="15">
        <v>0</v>
      </c>
      <c r="W40" s="15">
        <v>0</v>
      </c>
      <c r="X40" s="15">
        <v>1</v>
      </c>
      <c r="Y40" s="15">
        <v>1</v>
      </c>
      <c r="Z40" s="15">
        <v>0</v>
      </c>
      <c r="AA40" s="15">
        <v>0</v>
      </c>
      <c r="AB40" s="15">
        <v>0</v>
      </c>
      <c r="AC40" s="15">
        <v>0</v>
      </c>
      <c r="AD40" s="15">
        <v>1</v>
      </c>
      <c r="AE40" s="15">
        <v>1</v>
      </c>
      <c r="AF40" s="15">
        <v>2</v>
      </c>
      <c r="AG40" s="15">
        <v>4</v>
      </c>
      <c r="AH40" s="15">
        <v>2</v>
      </c>
      <c r="AI40" s="15">
        <v>2</v>
      </c>
      <c r="AJ40" s="15">
        <v>4</v>
      </c>
      <c r="AK40" s="15">
        <v>6</v>
      </c>
      <c r="AL40" s="15">
        <v>3</v>
      </c>
      <c r="AM40" s="15">
        <v>5</v>
      </c>
      <c r="AN40" s="15">
        <v>6</v>
      </c>
      <c r="AO40" s="15">
        <v>1</v>
      </c>
      <c r="AP40" s="15">
        <v>6</v>
      </c>
      <c r="AQ40" s="15">
        <v>3</v>
      </c>
      <c r="AR40" s="15">
        <v>4</v>
      </c>
      <c r="AS40" s="15">
        <v>4</v>
      </c>
      <c r="AT40" s="15">
        <v>3</v>
      </c>
      <c r="AU40" s="15">
        <v>7</v>
      </c>
      <c r="AV40" s="15">
        <v>6</v>
      </c>
      <c r="AW40" s="15">
        <v>3</v>
      </c>
      <c r="AX40" s="15">
        <v>1</v>
      </c>
      <c r="AY40" s="15">
        <v>0</v>
      </c>
      <c r="AZ40" s="15">
        <v>0</v>
      </c>
      <c r="BA40" s="15">
        <v>0</v>
      </c>
      <c r="BB40" s="15">
        <v>1</v>
      </c>
      <c r="BC40" s="15">
        <v>0</v>
      </c>
      <c r="BD40" s="15">
        <v>0</v>
      </c>
    </row>
    <row r="41" spans="1:56" x14ac:dyDescent="0.35">
      <c r="A41" s="14" t="s">
        <v>37</v>
      </c>
      <c r="B41" s="15">
        <v>10</v>
      </c>
      <c r="C41" s="16">
        <v>20.699648105982199</v>
      </c>
      <c r="D41" s="15">
        <v>0</v>
      </c>
      <c r="E41" s="15">
        <v>0</v>
      </c>
      <c r="F41" s="15">
        <v>0</v>
      </c>
      <c r="G41" s="15">
        <v>0</v>
      </c>
      <c r="H41" s="15">
        <v>0</v>
      </c>
      <c r="I41" s="15">
        <v>0</v>
      </c>
      <c r="J41" s="15">
        <v>1</v>
      </c>
      <c r="K41" s="15">
        <v>1</v>
      </c>
      <c r="L41" s="15">
        <v>0</v>
      </c>
      <c r="M41" s="15">
        <v>0</v>
      </c>
      <c r="N41" s="15">
        <v>0</v>
      </c>
      <c r="O41" s="15">
        <v>0</v>
      </c>
      <c r="P41" s="15">
        <v>0</v>
      </c>
      <c r="Q41" s="15">
        <v>0</v>
      </c>
      <c r="R41" s="15">
        <v>0</v>
      </c>
      <c r="S41" s="15">
        <v>0</v>
      </c>
      <c r="T41" s="15">
        <v>0</v>
      </c>
      <c r="U41" s="15">
        <v>0</v>
      </c>
      <c r="V41" s="15">
        <v>1</v>
      </c>
      <c r="W41" s="15">
        <v>0</v>
      </c>
      <c r="X41" s="15">
        <v>0</v>
      </c>
      <c r="Y41" s="15">
        <v>1</v>
      </c>
      <c r="Z41" s="15">
        <v>0</v>
      </c>
      <c r="AA41" s="15">
        <v>0</v>
      </c>
      <c r="AB41" s="15">
        <v>0</v>
      </c>
      <c r="AC41" s="15">
        <v>0</v>
      </c>
      <c r="AD41" s="15">
        <v>0</v>
      </c>
      <c r="AE41" s="15">
        <v>0</v>
      </c>
      <c r="AF41" s="15">
        <v>0</v>
      </c>
      <c r="AG41" s="15">
        <v>0</v>
      </c>
      <c r="AH41" s="15">
        <v>1</v>
      </c>
      <c r="AI41" s="15">
        <v>2</v>
      </c>
      <c r="AJ41" s="15">
        <v>0</v>
      </c>
      <c r="AK41" s="15">
        <v>0</v>
      </c>
      <c r="AL41" s="15">
        <v>0</v>
      </c>
      <c r="AM41" s="15">
        <v>0</v>
      </c>
      <c r="AN41" s="15">
        <v>0</v>
      </c>
      <c r="AO41" s="15">
        <v>0</v>
      </c>
      <c r="AP41" s="15">
        <v>0</v>
      </c>
      <c r="AQ41" s="15">
        <v>0</v>
      </c>
      <c r="AR41" s="15">
        <v>0</v>
      </c>
      <c r="AS41" s="15">
        <v>1</v>
      </c>
      <c r="AT41" s="15">
        <v>1</v>
      </c>
      <c r="AU41" s="15">
        <v>0</v>
      </c>
      <c r="AV41" s="15">
        <v>0</v>
      </c>
      <c r="AW41" s="15">
        <v>0</v>
      </c>
      <c r="AX41" s="15">
        <v>1</v>
      </c>
      <c r="AY41" s="15">
        <v>0</v>
      </c>
      <c r="AZ41" s="15">
        <v>0</v>
      </c>
      <c r="BA41" s="15">
        <v>0</v>
      </c>
      <c r="BB41" s="15">
        <v>0</v>
      </c>
      <c r="BC41" s="15">
        <v>0</v>
      </c>
      <c r="BD41" s="15">
        <v>0</v>
      </c>
    </row>
    <row r="42" spans="1:56" x14ac:dyDescent="0.35">
      <c r="A42" s="14" t="s">
        <v>38</v>
      </c>
      <c r="B42" s="15">
        <v>0</v>
      </c>
      <c r="C42" s="16">
        <v>0</v>
      </c>
      <c r="D42" s="15">
        <v>0</v>
      </c>
      <c r="E42" s="15">
        <v>0</v>
      </c>
      <c r="F42" s="15">
        <v>0</v>
      </c>
      <c r="G42" s="15">
        <v>0</v>
      </c>
      <c r="H42" s="15">
        <v>0</v>
      </c>
      <c r="I42" s="15">
        <v>0</v>
      </c>
      <c r="J42" s="15">
        <v>0</v>
      </c>
      <c r="K42" s="15">
        <v>0</v>
      </c>
      <c r="L42" s="15">
        <v>0</v>
      </c>
      <c r="M42" s="15">
        <v>0</v>
      </c>
      <c r="N42" s="15">
        <v>0</v>
      </c>
      <c r="O42" s="15">
        <v>0</v>
      </c>
      <c r="P42" s="15">
        <v>0</v>
      </c>
      <c r="Q42" s="15">
        <v>0</v>
      </c>
      <c r="R42" s="15">
        <v>0</v>
      </c>
      <c r="S42" s="15">
        <v>0</v>
      </c>
      <c r="T42" s="15">
        <v>0</v>
      </c>
      <c r="U42" s="15">
        <v>0</v>
      </c>
      <c r="V42" s="15">
        <v>0</v>
      </c>
      <c r="W42" s="15">
        <v>0</v>
      </c>
      <c r="X42" s="15">
        <v>0</v>
      </c>
      <c r="Y42" s="15">
        <v>0</v>
      </c>
      <c r="Z42" s="15">
        <v>0</v>
      </c>
      <c r="AA42" s="15">
        <v>0</v>
      </c>
      <c r="AB42" s="15">
        <v>0</v>
      </c>
      <c r="AC42" s="15">
        <v>0</v>
      </c>
      <c r="AD42" s="15">
        <v>0</v>
      </c>
      <c r="AE42" s="15">
        <v>0</v>
      </c>
      <c r="AF42" s="15">
        <v>0</v>
      </c>
      <c r="AG42" s="15">
        <v>0</v>
      </c>
      <c r="AH42" s="15">
        <v>0</v>
      </c>
      <c r="AI42" s="15">
        <v>0</v>
      </c>
      <c r="AJ42" s="15">
        <v>0</v>
      </c>
      <c r="AK42" s="15">
        <v>0</v>
      </c>
      <c r="AL42" s="15">
        <v>0</v>
      </c>
      <c r="AM42" s="15">
        <v>0</v>
      </c>
      <c r="AN42" s="15">
        <v>0</v>
      </c>
      <c r="AO42" s="15">
        <v>0</v>
      </c>
      <c r="AP42" s="15">
        <v>0</v>
      </c>
      <c r="AQ42" s="15">
        <v>0</v>
      </c>
      <c r="AR42" s="15">
        <v>0</v>
      </c>
      <c r="AS42" s="15">
        <v>0</v>
      </c>
      <c r="AT42" s="15">
        <v>0</v>
      </c>
      <c r="AU42" s="15">
        <v>0</v>
      </c>
      <c r="AV42" s="15">
        <v>0</v>
      </c>
      <c r="AW42" s="15">
        <v>0</v>
      </c>
      <c r="AX42" s="15">
        <v>0</v>
      </c>
      <c r="AY42" s="15">
        <v>0</v>
      </c>
      <c r="AZ42" s="15">
        <v>0</v>
      </c>
      <c r="BA42" s="15">
        <v>0</v>
      </c>
      <c r="BB42" s="15">
        <v>0</v>
      </c>
      <c r="BC42" s="15">
        <v>0</v>
      </c>
      <c r="BD42" s="15">
        <v>0</v>
      </c>
    </row>
    <row r="43" spans="1:56" x14ac:dyDescent="0.35">
      <c r="A43" s="14" t="s">
        <v>39</v>
      </c>
      <c r="B43" s="15">
        <v>12</v>
      </c>
      <c r="C43" s="16">
        <v>35.777108613338896</v>
      </c>
      <c r="D43" s="15">
        <v>0</v>
      </c>
      <c r="E43" s="15">
        <v>0</v>
      </c>
      <c r="F43" s="15">
        <v>0</v>
      </c>
      <c r="G43" s="15">
        <v>0</v>
      </c>
      <c r="H43" s="15">
        <v>0</v>
      </c>
      <c r="I43" s="15">
        <v>0</v>
      </c>
      <c r="J43" s="15">
        <v>0</v>
      </c>
      <c r="K43" s="15">
        <v>0</v>
      </c>
      <c r="L43" s="15">
        <v>0</v>
      </c>
      <c r="M43" s="15">
        <v>0</v>
      </c>
      <c r="N43" s="15">
        <v>0</v>
      </c>
      <c r="O43" s="15">
        <v>0</v>
      </c>
      <c r="P43" s="15">
        <v>0</v>
      </c>
      <c r="Q43" s="15">
        <v>0</v>
      </c>
      <c r="R43" s="15">
        <v>0</v>
      </c>
      <c r="S43" s="15">
        <v>0</v>
      </c>
      <c r="T43" s="15">
        <v>0</v>
      </c>
      <c r="U43" s="15">
        <v>0</v>
      </c>
      <c r="V43" s="15">
        <v>0</v>
      </c>
      <c r="W43" s="15">
        <v>0</v>
      </c>
      <c r="X43" s="15">
        <v>0</v>
      </c>
      <c r="Y43" s="15">
        <v>0</v>
      </c>
      <c r="Z43" s="15">
        <v>2</v>
      </c>
      <c r="AA43" s="15">
        <v>0</v>
      </c>
      <c r="AB43" s="15">
        <v>0</v>
      </c>
      <c r="AC43" s="15">
        <v>0</v>
      </c>
      <c r="AD43" s="15">
        <v>0</v>
      </c>
      <c r="AE43" s="15">
        <v>0</v>
      </c>
      <c r="AF43" s="15">
        <v>0</v>
      </c>
      <c r="AG43" s="15">
        <v>0</v>
      </c>
      <c r="AH43" s="15">
        <v>0</v>
      </c>
      <c r="AI43" s="15">
        <v>0</v>
      </c>
      <c r="AJ43" s="15">
        <v>0</v>
      </c>
      <c r="AK43" s="15">
        <v>1</v>
      </c>
      <c r="AL43" s="15">
        <v>0</v>
      </c>
      <c r="AM43" s="15">
        <v>0</v>
      </c>
      <c r="AN43" s="15">
        <v>0</v>
      </c>
      <c r="AO43" s="15">
        <v>1</v>
      </c>
      <c r="AP43" s="15">
        <v>0</v>
      </c>
      <c r="AQ43" s="15">
        <v>0</v>
      </c>
      <c r="AR43" s="15">
        <v>1</v>
      </c>
      <c r="AS43" s="15">
        <v>0</v>
      </c>
      <c r="AT43" s="15">
        <v>0</v>
      </c>
      <c r="AU43" s="15">
        <v>1</v>
      </c>
      <c r="AV43" s="15">
        <v>0</v>
      </c>
      <c r="AW43" s="15">
        <v>1</v>
      </c>
      <c r="AX43" s="15">
        <v>2</v>
      </c>
      <c r="AY43" s="15">
        <v>1</v>
      </c>
      <c r="AZ43" s="15">
        <v>0</v>
      </c>
      <c r="BA43" s="15">
        <v>1</v>
      </c>
      <c r="BB43" s="15">
        <v>0</v>
      </c>
      <c r="BC43" s="15">
        <v>1</v>
      </c>
      <c r="BD43" s="15">
        <v>0</v>
      </c>
    </row>
    <row r="44" spans="1:56" x14ac:dyDescent="0.35">
      <c r="A44" s="14" t="s">
        <v>40</v>
      </c>
      <c r="B44" s="15">
        <v>77</v>
      </c>
      <c r="C44" s="16">
        <v>328.12033919972725</v>
      </c>
      <c r="D44" s="15">
        <v>0</v>
      </c>
      <c r="E44" s="15">
        <v>0</v>
      </c>
      <c r="F44" s="15">
        <v>0</v>
      </c>
      <c r="G44" s="15">
        <v>0</v>
      </c>
      <c r="H44" s="15">
        <v>0</v>
      </c>
      <c r="I44" s="15">
        <v>0</v>
      </c>
      <c r="J44" s="15">
        <v>0</v>
      </c>
      <c r="K44" s="15">
        <v>0</v>
      </c>
      <c r="L44" s="15">
        <v>1</v>
      </c>
      <c r="M44" s="15">
        <v>0</v>
      </c>
      <c r="N44" s="15">
        <v>0</v>
      </c>
      <c r="O44" s="15">
        <v>0</v>
      </c>
      <c r="P44" s="15">
        <v>0</v>
      </c>
      <c r="Q44" s="15">
        <v>0</v>
      </c>
      <c r="R44" s="15">
        <v>1</v>
      </c>
      <c r="S44" s="15">
        <v>0</v>
      </c>
      <c r="T44" s="15">
        <v>1</v>
      </c>
      <c r="U44" s="15">
        <v>0</v>
      </c>
      <c r="V44" s="15">
        <v>4</v>
      </c>
      <c r="W44" s="15">
        <v>0</v>
      </c>
      <c r="X44" s="15">
        <v>2</v>
      </c>
      <c r="Y44" s="15">
        <v>2</v>
      </c>
      <c r="Z44" s="15">
        <v>4</v>
      </c>
      <c r="AA44" s="15">
        <v>2</v>
      </c>
      <c r="AB44" s="15">
        <v>1</v>
      </c>
      <c r="AC44" s="15">
        <v>0</v>
      </c>
      <c r="AD44" s="15">
        <v>0</v>
      </c>
      <c r="AE44" s="15">
        <v>2</v>
      </c>
      <c r="AF44" s="15">
        <v>4</v>
      </c>
      <c r="AG44" s="15">
        <v>1</v>
      </c>
      <c r="AH44" s="15">
        <v>2</v>
      </c>
      <c r="AI44" s="15">
        <v>2</v>
      </c>
      <c r="AJ44" s="15">
        <v>1</v>
      </c>
      <c r="AK44" s="15">
        <v>3</v>
      </c>
      <c r="AL44" s="15">
        <v>6</v>
      </c>
      <c r="AM44" s="15">
        <v>2</v>
      </c>
      <c r="AN44" s="15">
        <v>3</v>
      </c>
      <c r="AO44" s="15">
        <v>5</v>
      </c>
      <c r="AP44" s="15">
        <v>2</v>
      </c>
      <c r="AQ44" s="15">
        <v>5</v>
      </c>
      <c r="AR44" s="15">
        <v>1</v>
      </c>
      <c r="AS44" s="15">
        <v>1</v>
      </c>
      <c r="AT44" s="15">
        <v>4</v>
      </c>
      <c r="AU44" s="15">
        <v>4</v>
      </c>
      <c r="AV44" s="15">
        <v>6</v>
      </c>
      <c r="AW44" s="15">
        <v>0</v>
      </c>
      <c r="AX44" s="15">
        <v>0</v>
      </c>
      <c r="AY44" s="15">
        <v>4</v>
      </c>
      <c r="AZ44" s="15">
        <v>1</v>
      </c>
      <c r="BA44" s="15">
        <v>0</v>
      </c>
      <c r="BB44" s="15">
        <v>0</v>
      </c>
      <c r="BC44" s="15">
        <v>0</v>
      </c>
      <c r="BD44" s="15">
        <v>0</v>
      </c>
    </row>
    <row r="45" spans="1:56" x14ac:dyDescent="0.35">
      <c r="A45" s="14" t="s">
        <v>41</v>
      </c>
      <c r="B45" s="15">
        <v>494</v>
      </c>
      <c r="C45" s="16">
        <v>250.48423571884922</v>
      </c>
      <c r="D45" s="15">
        <v>0</v>
      </c>
      <c r="E45" s="15">
        <v>0</v>
      </c>
      <c r="F45" s="15">
        <v>0</v>
      </c>
      <c r="G45" s="15">
        <v>0</v>
      </c>
      <c r="H45" s="15">
        <v>0</v>
      </c>
      <c r="I45" s="15">
        <v>0</v>
      </c>
      <c r="J45" s="15">
        <v>0</v>
      </c>
      <c r="K45" s="15">
        <v>0</v>
      </c>
      <c r="L45" s="15">
        <v>0</v>
      </c>
      <c r="M45" s="15">
        <v>0</v>
      </c>
      <c r="N45" s="15">
        <v>0</v>
      </c>
      <c r="O45" s="15">
        <v>1</v>
      </c>
      <c r="P45" s="15">
        <v>0</v>
      </c>
      <c r="Q45" s="15">
        <v>1</v>
      </c>
      <c r="R45" s="15">
        <v>0</v>
      </c>
      <c r="S45" s="15">
        <v>1</v>
      </c>
      <c r="T45" s="15">
        <v>0</v>
      </c>
      <c r="U45" s="15">
        <v>0</v>
      </c>
      <c r="V45" s="15">
        <v>0</v>
      </c>
      <c r="W45" s="15">
        <v>1</v>
      </c>
      <c r="X45" s="15">
        <v>0</v>
      </c>
      <c r="Y45" s="15">
        <v>1</v>
      </c>
      <c r="Z45" s="15">
        <v>2</v>
      </c>
      <c r="AA45" s="15">
        <v>0</v>
      </c>
      <c r="AB45" s="15">
        <v>2</v>
      </c>
      <c r="AC45" s="15">
        <v>2</v>
      </c>
      <c r="AD45" s="15">
        <v>15</v>
      </c>
      <c r="AE45" s="15">
        <v>26</v>
      </c>
      <c r="AF45" s="15">
        <v>16</v>
      </c>
      <c r="AG45" s="15">
        <v>18</v>
      </c>
      <c r="AH45" s="15">
        <v>19</v>
      </c>
      <c r="AI45" s="15">
        <v>44</v>
      </c>
      <c r="AJ45" s="15">
        <v>28</v>
      </c>
      <c r="AK45" s="15">
        <v>14</v>
      </c>
      <c r="AL45" s="15">
        <v>23</v>
      </c>
      <c r="AM45" s="15">
        <v>20</v>
      </c>
      <c r="AN45" s="15">
        <v>20</v>
      </c>
      <c r="AO45" s="15">
        <v>18</v>
      </c>
      <c r="AP45" s="15">
        <v>15</v>
      </c>
      <c r="AQ45" s="15">
        <v>25</v>
      </c>
      <c r="AR45" s="15">
        <v>17</v>
      </c>
      <c r="AS45" s="15">
        <v>13</v>
      </c>
      <c r="AT45" s="15">
        <v>9</v>
      </c>
      <c r="AU45" s="15">
        <v>11</v>
      </c>
      <c r="AV45" s="15">
        <v>18</v>
      </c>
      <c r="AW45" s="15">
        <v>14</v>
      </c>
      <c r="AX45" s="15">
        <v>20</v>
      </c>
      <c r="AY45" s="15">
        <v>21</v>
      </c>
      <c r="AZ45" s="15">
        <v>25</v>
      </c>
      <c r="BA45" s="15">
        <v>17</v>
      </c>
      <c r="BB45" s="15">
        <v>10</v>
      </c>
      <c r="BC45" s="15">
        <v>7</v>
      </c>
      <c r="BD45" s="15">
        <v>0</v>
      </c>
    </row>
    <row r="46" spans="1:56" x14ac:dyDescent="0.35">
      <c r="A46" s="14" t="s">
        <v>42</v>
      </c>
      <c r="B46" s="15">
        <v>5</v>
      </c>
      <c r="C46" s="16">
        <v>35.201351731906506</v>
      </c>
      <c r="D46" s="15">
        <v>0</v>
      </c>
      <c r="E46" s="15">
        <v>0</v>
      </c>
      <c r="F46" s="15">
        <v>0</v>
      </c>
      <c r="G46" s="15">
        <v>0</v>
      </c>
      <c r="H46" s="15">
        <v>0</v>
      </c>
      <c r="I46" s="15">
        <v>0</v>
      </c>
      <c r="J46" s="15">
        <v>0</v>
      </c>
      <c r="K46" s="15">
        <v>0</v>
      </c>
      <c r="L46" s="15">
        <v>0</v>
      </c>
      <c r="M46" s="15">
        <v>0</v>
      </c>
      <c r="N46" s="15">
        <v>0</v>
      </c>
      <c r="O46" s="15">
        <v>0</v>
      </c>
      <c r="P46" s="15">
        <v>0</v>
      </c>
      <c r="Q46" s="15">
        <v>0</v>
      </c>
      <c r="R46" s="15">
        <v>1</v>
      </c>
      <c r="S46" s="15">
        <v>0</v>
      </c>
      <c r="T46" s="15">
        <v>0</v>
      </c>
      <c r="U46" s="15">
        <v>0</v>
      </c>
      <c r="V46" s="15">
        <v>0</v>
      </c>
      <c r="W46" s="15">
        <v>0</v>
      </c>
      <c r="X46" s="15">
        <v>0</v>
      </c>
      <c r="Y46" s="15">
        <v>0</v>
      </c>
      <c r="Z46" s="15">
        <v>0</v>
      </c>
      <c r="AA46" s="15">
        <v>0</v>
      </c>
      <c r="AB46" s="15">
        <v>0</v>
      </c>
      <c r="AC46" s="15">
        <v>0</v>
      </c>
      <c r="AD46" s="15">
        <v>0</v>
      </c>
      <c r="AE46" s="15">
        <v>0</v>
      </c>
      <c r="AF46" s="15">
        <v>0</v>
      </c>
      <c r="AG46" s="15">
        <v>0</v>
      </c>
      <c r="AH46" s="15">
        <v>0</v>
      </c>
      <c r="AI46" s="15">
        <v>0</v>
      </c>
      <c r="AJ46" s="15">
        <v>0</v>
      </c>
      <c r="AK46" s="15">
        <v>0</v>
      </c>
      <c r="AL46" s="15">
        <v>0</v>
      </c>
      <c r="AM46" s="15">
        <v>1</v>
      </c>
      <c r="AN46" s="15">
        <v>0</v>
      </c>
      <c r="AO46" s="15">
        <v>0</v>
      </c>
      <c r="AP46" s="15">
        <v>0</v>
      </c>
      <c r="AQ46" s="15">
        <v>0</v>
      </c>
      <c r="AR46" s="15">
        <v>0</v>
      </c>
      <c r="AS46" s="15">
        <v>0</v>
      </c>
      <c r="AT46" s="15">
        <v>1</v>
      </c>
      <c r="AU46" s="15">
        <v>0</v>
      </c>
      <c r="AV46" s="15">
        <v>0</v>
      </c>
      <c r="AW46" s="15">
        <v>1</v>
      </c>
      <c r="AX46" s="15">
        <v>1</v>
      </c>
      <c r="AY46" s="15">
        <v>0</v>
      </c>
      <c r="AZ46" s="15">
        <v>0</v>
      </c>
      <c r="BA46" s="15">
        <v>0</v>
      </c>
      <c r="BB46" s="15">
        <v>0</v>
      </c>
      <c r="BC46" s="15">
        <v>0</v>
      </c>
      <c r="BD46" s="15">
        <v>0</v>
      </c>
    </row>
    <row r="47" spans="1:56" x14ac:dyDescent="0.35">
      <c r="A47" s="14" t="s">
        <v>43</v>
      </c>
      <c r="B47" s="15">
        <v>3</v>
      </c>
      <c r="C47" s="16">
        <v>13.670539986329459</v>
      </c>
      <c r="D47" s="15">
        <v>0</v>
      </c>
      <c r="E47" s="15">
        <v>0</v>
      </c>
      <c r="F47" s="15">
        <v>0</v>
      </c>
      <c r="G47" s="15">
        <v>0</v>
      </c>
      <c r="H47" s="15">
        <v>0</v>
      </c>
      <c r="I47" s="15">
        <v>0</v>
      </c>
      <c r="J47" s="15">
        <v>0</v>
      </c>
      <c r="K47" s="15">
        <v>0</v>
      </c>
      <c r="L47" s="15">
        <v>0</v>
      </c>
      <c r="M47" s="15">
        <v>0</v>
      </c>
      <c r="N47" s="15">
        <v>0</v>
      </c>
      <c r="O47" s="15">
        <v>0</v>
      </c>
      <c r="P47" s="15">
        <v>0</v>
      </c>
      <c r="Q47" s="15">
        <v>0</v>
      </c>
      <c r="R47" s="15">
        <v>0</v>
      </c>
      <c r="S47" s="15">
        <v>0</v>
      </c>
      <c r="T47" s="15">
        <v>0</v>
      </c>
      <c r="U47" s="15">
        <v>1</v>
      </c>
      <c r="V47" s="15">
        <v>0</v>
      </c>
      <c r="W47" s="15">
        <v>0</v>
      </c>
      <c r="X47" s="15">
        <v>0</v>
      </c>
      <c r="Y47" s="15">
        <v>0</v>
      </c>
      <c r="Z47" s="15">
        <v>0</v>
      </c>
      <c r="AA47" s="15">
        <v>0</v>
      </c>
      <c r="AB47" s="15">
        <v>0</v>
      </c>
      <c r="AC47" s="15">
        <v>0</v>
      </c>
      <c r="AD47" s="15">
        <v>1</v>
      </c>
      <c r="AE47" s="15">
        <v>1</v>
      </c>
      <c r="AF47" s="15">
        <v>0</v>
      </c>
      <c r="AG47" s="15">
        <v>0</v>
      </c>
      <c r="AH47" s="15">
        <v>0</v>
      </c>
      <c r="AI47" s="15">
        <v>0</v>
      </c>
      <c r="AJ47" s="15">
        <v>0</v>
      </c>
      <c r="AK47" s="15">
        <v>0</v>
      </c>
      <c r="AL47" s="15">
        <v>0</v>
      </c>
      <c r="AM47" s="15">
        <v>0</v>
      </c>
      <c r="AN47" s="15">
        <v>0</v>
      </c>
      <c r="AO47" s="15">
        <v>0</v>
      </c>
      <c r="AP47" s="15">
        <v>0</v>
      </c>
      <c r="AQ47" s="15">
        <v>0</v>
      </c>
      <c r="AR47" s="15">
        <v>0</v>
      </c>
      <c r="AS47" s="15">
        <v>0</v>
      </c>
      <c r="AT47" s="15">
        <v>0</v>
      </c>
      <c r="AU47" s="15">
        <v>0</v>
      </c>
      <c r="AV47" s="15">
        <v>0</v>
      </c>
      <c r="AW47" s="15">
        <v>0</v>
      </c>
      <c r="AX47" s="15">
        <v>0</v>
      </c>
      <c r="AY47" s="15">
        <v>0</v>
      </c>
      <c r="AZ47" s="15">
        <v>0</v>
      </c>
      <c r="BA47" s="15">
        <v>0</v>
      </c>
      <c r="BB47" s="15">
        <v>0</v>
      </c>
      <c r="BC47" s="15">
        <v>0</v>
      </c>
      <c r="BD47" s="15">
        <v>0</v>
      </c>
    </row>
    <row r="48" spans="1:56" x14ac:dyDescent="0.35">
      <c r="A48" s="14" t="s">
        <v>44</v>
      </c>
      <c r="B48" s="15">
        <v>11</v>
      </c>
      <c r="C48" s="16">
        <v>20.610443874013978</v>
      </c>
      <c r="D48" s="15">
        <v>0</v>
      </c>
      <c r="E48" s="15">
        <v>0</v>
      </c>
      <c r="F48" s="15">
        <v>0</v>
      </c>
      <c r="G48" s="15">
        <v>0</v>
      </c>
      <c r="H48" s="15">
        <v>0</v>
      </c>
      <c r="I48" s="15">
        <v>0</v>
      </c>
      <c r="J48" s="15">
        <v>0</v>
      </c>
      <c r="K48" s="15">
        <v>0</v>
      </c>
      <c r="L48" s="15">
        <v>1</v>
      </c>
      <c r="M48" s="15">
        <v>0</v>
      </c>
      <c r="N48" s="15">
        <v>0</v>
      </c>
      <c r="O48" s="15">
        <v>1</v>
      </c>
      <c r="P48" s="15">
        <v>0</v>
      </c>
      <c r="Q48" s="15">
        <v>0</v>
      </c>
      <c r="R48" s="15">
        <v>0</v>
      </c>
      <c r="S48" s="15">
        <v>1</v>
      </c>
      <c r="T48" s="15">
        <v>0</v>
      </c>
      <c r="U48" s="15">
        <v>1</v>
      </c>
      <c r="V48" s="15">
        <v>0</v>
      </c>
      <c r="W48" s="15">
        <v>0</v>
      </c>
      <c r="X48" s="15">
        <v>0</v>
      </c>
      <c r="Y48" s="15">
        <v>0</v>
      </c>
      <c r="Z48" s="15">
        <v>0</v>
      </c>
      <c r="AA48" s="15">
        <v>0</v>
      </c>
      <c r="AB48" s="15">
        <v>0</v>
      </c>
      <c r="AC48" s="15">
        <v>0</v>
      </c>
      <c r="AD48" s="15">
        <v>0</v>
      </c>
      <c r="AE48" s="15">
        <v>0</v>
      </c>
      <c r="AF48" s="15">
        <v>0</v>
      </c>
      <c r="AG48" s="15">
        <v>0</v>
      </c>
      <c r="AH48" s="15">
        <v>1</v>
      </c>
      <c r="AI48" s="15">
        <v>1</v>
      </c>
      <c r="AJ48" s="15">
        <v>0</v>
      </c>
      <c r="AK48" s="15">
        <v>0</v>
      </c>
      <c r="AL48" s="15">
        <v>1</v>
      </c>
      <c r="AM48" s="15">
        <v>0</v>
      </c>
      <c r="AN48" s="15">
        <v>0</v>
      </c>
      <c r="AO48" s="15">
        <v>0</v>
      </c>
      <c r="AP48" s="15">
        <v>0</v>
      </c>
      <c r="AQ48" s="15">
        <v>1</v>
      </c>
      <c r="AR48" s="15">
        <v>0</v>
      </c>
      <c r="AS48" s="15">
        <v>0</v>
      </c>
      <c r="AT48" s="15">
        <v>0</v>
      </c>
      <c r="AU48" s="15">
        <v>0</v>
      </c>
      <c r="AV48" s="15">
        <v>0</v>
      </c>
      <c r="AW48" s="15">
        <v>0</v>
      </c>
      <c r="AX48" s="15">
        <v>0</v>
      </c>
      <c r="AY48" s="15">
        <v>1</v>
      </c>
      <c r="AZ48" s="15">
        <v>0</v>
      </c>
      <c r="BA48" s="15">
        <v>0</v>
      </c>
      <c r="BB48" s="15">
        <v>1</v>
      </c>
      <c r="BC48" s="15">
        <v>1</v>
      </c>
      <c r="BD48" s="15">
        <v>0</v>
      </c>
    </row>
    <row r="49" spans="1:56" x14ac:dyDescent="0.35">
      <c r="A49" s="14" t="s">
        <v>45</v>
      </c>
      <c r="B49" s="15">
        <v>5</v>
      </c>
      <c r="C49" s="16">
        <v>15.154729791167824</v>
      </c>
      <c r="D49" s="15">
        <v>0</v>
      </c>
      <c r="E49" s="15">
        <v>0</v>
      </c>
      <c r="F49" s="15">
        <v>0</v>
      </c>
      <c r="G49" s="15">
        <v>0</v>
      </c>
      <c r="H49" s="15">
        <v>0</v>
      </c>
      <c r="I49" s="15">
        <v>1</v>
      </c>
      <c r="J49" s="15">
        <v>0</v>
      </c>
      <c r="K49" s="15">
        <v>0</v>
      </c>
      <c r="L49" s="15">
        <v>0</v>
      </c>
      <c r="M49" s="15">
        <v>0</v>
      </c>
      <c r="N49" s="15">
        <v>0</v>
      </c>
      <c r="O49" s="15">
        <v>0</v>
      </c>
      <c r="P49" s="15">
        <v>0</v>
      </c>
      <c r="Q49" s="15">
        <v>0</v>
      </c>
      <c r="R49" s="15">
        <v>0</v>
      </c>
      <c r="S49" s="15">
        <v>0</v>
      </c>
      <c r="T49" s="15">
        <v>0</v>
      </c>
      <c r="U49" s="15">
        <v>0</v>
      </c>
      <c r="V49" s="15">
        <v>0</v>
      </c>
      <c r="W49" s="15">
        <v>0</v>
      </c>
      <c r="X49" s="15">
        <v>0</v>
      </c>
      <c r="Y49" s="15">
        <v>0</v>
      </c>
      <c r="Z49" s="15">
        <v>0</v>
      </c>
      <c r="AA49" s="15">
        <v>0</v>
      </c>
      <c r="AB49" s="15">
        <v>0</v>
      </c>
      <c r="AC49" s="15">
        <v>0</v>
      </c>
      <c r="AD49" s="15">
        <v>0</v>
      </c>
      <c r="AE49" s="15">
        <v>0</v>
      </c>
      <c r="AF49" s="15">
        <v>0</v>
      </c>
      <c r="AG49" s="15">
        <v>1</v>
      </c>
      <c r="AH49" s="15">
        <v>1</v>
      </c>
      <c r="AI49" s="15">
        <v>0</v>
      </c>
      <c r="AJ49" s="15">
        <v>0</v>
      </c>
      <c r="AK49" s="15">
        <v>2</v>
      </c>
      <c r="AL49" s="15">
        <v>0</v>
      </c>
      <c r="AM49" s="15">
        <v>0</v>
      </c>
      <c r="AN49" s="15">
        <v>0</v>
      </c>
      <c r="AO49" s="15">
        <v>0</v>
      </c>
      <c r="AP49" s="15">
        <v>0</v>
      </c>
      <c r="AQ49" s="15">
        <v>0</v>
      </c>
      <c r="AR49" s="15">
        <v>0</v>
      </c>
      <c r="AS49" s="15">
        <v>0</v>
      </c>
      <c r="AT49" s="15">
        <v>0</v>
      </c>
      <c r="AU49" s="15">
        <v>0</v>
      </c>
      <c r="AV49" s="15">
        <v>0</v>
      </c>
      <c r="AW49" s="15">
        <v>0</v>
      </c>
      <c r="AX49" s="15">
        <v>0</v>
      </c>
      <c r="AY49" s="15">
        <v>0</v>
      </c>
      <c r="AZ49" s="15">
        <v>0</v>
      </c>
      <c r="BA49" s="15">
        <v>0</v>
      </c>
      <c r="BB49" s="15">
        <v>0</v>
      </c>
      <c r="BC49" s="15">
        <v>0</v>
      </c>
      <c r="BD49" s="15">
        <v>0</v>
      </c>
    </row>
    <row r="50" spans="1:56" x14ac:dyDescent="0.35">
      <c r="A50" s="14" t="s">
        <v>46</v>
      </c>
      <c r="B50" s="15">
        <v>4</v>
      </c>
      <c r="C50" s="16">
        <v>21.041557075223565</v>
      </c>
      <c r="D50" s="15">
        <v>0</v>
      </c>
      <c r="E50" s="15">
        <v>0</v>
      </c>
      <c r="F50" s="15">
        <v>0</v>
      </c>
      <c r="G50" s="15">
        <v>0</v>
      </c>
      <c r="H50" s="15">
        <v>0</v>
      </c>
      <c r="I50" s="15">
        <v>0</v>
      </c>
      <c r="J50" s="15">
        <v>0</v>
      </c>
      <c r="K50" s="15">
        <v>0</v>
      </c>
      <c r="L50" s="15">
        <v>0</v>
      </c>
      <c r="M50" s="15">
        <v>0</v>
      </c>
      <c r="N50" s="15">
        <v>0</v>
      </c>
      <c r="O50" s="15">
        <v>0</v>
      </c>
      <c r="P50" s="15">
        <v>0</v>
      </c>
      <c r="Q50" s="15">
        <v>0</v>
      </c>
      <c r="R50" s="15">
        <v>0</v>
      </c>
      <c r="S50" s="15">
        <v>0</v>
      </c>
      <c r="T50" s="15">
        <v>0</v>
      </c>
      <c r="U50" s="15">
        <v>0</v>
      </c>
      <c r="V50" s="15">
        <v>0</v>
      </c>
      <c r="W50" s="15">
        <v>0</v>
      </c>
      <c r="X50" s="15">
        <v>0</v>
      </c>
      <c r="Y50" s="15">
        <v>0</v>
      </c>
      <c r="Z50" s="15">
        <v>0</v>
      </c>
      <c r="AA50" s="15">
        <v>0</v>
      </c>
      <c r="AB50" s="15">
        <v>0</v>
      </c>
      <c r="AC50" s="15">
        <v>0</v>
      </c>
      <c r="AD50" s="15">
        <v>0</v>
      </c>
      <c r="AE50" s="15">
        <v>0</v>
      </c>
      <c r="AF50" s="15">
        <v>1</v>
      </c>
      <c r="AG50" s="15">
        <v>0</v>
      </c>
      <c r="AH50" s="15">
        <v>0</v>
      </c>
      <c r="AI50" s="15">
        <v>0</v>
      </c>
      <c r="AJ50" s="15">
        <v>0</v>
      </c>
      <c r="AK50" s="15">
        <v>0</v>
      </c>
      <c r="AL50" s="15">
        <v>0</v>
      </c>
      <c r="AM50" s="15">
        <v>0</v>
      </c>
      <c r="AN50" s="15">
        <v>0</v>
      </c>
      <c r="AO50" s="15">
        <v>1</v>
      </c>
      <c r="AP50" s="15">
        <v>1</v>
      </c>
      <c r="AQ50" s="15">
        <v>0</v>
      </c>
      <c r="AR50" s="15">
        <v>1</v>
      </c>
      <c r="AS50" s="15">
        <v>0</v>
      </c>
      <c r="AT50" s="15">
        <v>0</v>
      </c>
      <c r="AU50" s="15">
        <v>0</v>
      </c>
      <c r="AV50" s="15">
        <v>0</v>
      </c>
      <c r="AW50" s="15">
        <v>0</v>
      </c>
      <c r="AX50" s="15">
        <v>0</v>
      </c>
      <c r="AY50" s="15">
        <v>0</v>
      </c>
      <c r="AZ50" s="15">
        <v>0</v>
      </c>
      <c r="BA50" s="15">
        <v>0</v>
      </c>
      <c r="BB50" s="15">
        <v>0</v>
      </c>
      <c r="BC50" s="15">
        <v>0</v>
      </c>
      <c r="BD50" s="15">
        <v>0</v>
      </c>
    </row>
    <row r="51" spans="1:56" x14ac:dyDescent="0.35">
      <c r="A51" s="14"/>
      <c r="B51" s="12"/>
      <c r="C51" s="13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</row>
    <row r="52" spans="1:56" x14ac:dyDescent="0.35">
      <c r="A52" s="1" t="s">
        <v>47</v>
      </c>
      <c r="B52" s="10">
        <v>785</v>
      </c>
      <c r="C52" s="11">
        <v>146.01771557609104</v>
      </c>
      <c r="D52" s="10">
        <v>1</v>
      </c>
      <c r="E52" s="10">
        <v>0</v>
      </c>
      <c r="F52" s="10">
        <v>1</v>
      </c>
      <c r="G52" s="10">
        <v>1</v>
      </c>
      <c r="H52" s="10">
        <v>2</v>
      </c>
      <c r="I52" s="10">
        <v>0</v>
      </c>
      <c r="J52" s="10">
        <v>0</v>
      </c>
      <c r="K52" s="10">
        <v>0</v>
      </c>
      <c r="L52" s="10">
        <v>0</v>
      </c>
      <c r="M52" s="10">
        <v>0</v>
      </c>
      <c r="N52" s="10">
        <v>0</v>
      </c>
      <c r="O52" s="10">
        <v>2</v>
      </c>
      <c r="P52" s="10">
        <v>0</v>
      </c>
      <c r="Q52" s="10">
        <v>0</v>
      </c>
      <c r="R52" s="10">
        <v>0</v>
      </c>
      <c r="S52" s="10">
        <v>1</v>
      </c>
      <c r="T52" s="10">
        <v>0</v>
      </c>
      <c r="U52" s="10">
        <v>1</v>
      </c>
      <c r="V52" s="10">
        <v>2</v>
      </c>
      <c r="W52" s="10">
        <v>2</v>
      </c>
      <c r="X52" s="10">
        <v>0</v>
      </c>
      <c r="Y52" s="10">
        <v>3</v>
      </c>
      <c r="Z52" s="10">
        <v>5</v>
      </c>
      <c r="AA52" s="10">
        <v>2</v>
      </c>
      <c r="AB52" s="10">
        <v>2</v>
      </c>
      <c r="AC52" s="10">
        <v>5</v>
      </c>
      <c r="AD52" s="10">
        <v>2</v>
      </c>
      <c r="AE52" s="10">
        <v>6</v>
      </c>
      <c r="AF52" s="10">
        <v>10</v>
      </c>
      <c r="AG52" s="10">
        <v>33</v>
      </c>
      <c r="AH52" s="10">
        <v>59</v>
      </c>
      <c r="AI52" s="10">
        <v>49</v>
      </c>
      <c r="AJ52" s="10">
        <v>61</v>
      </c>
      <c r="AK52" s="10">
        <v>69</v>
      </c>
      <c r="AL52" s="10">
        <v>67</v>
      </c>
      <c r="AM52" s="10">
        <v>74</v>
      </c>
      <c r="AN52" s="10">
        <v>81</v>
      </c>
      <c r="AO52" s="10">
        <v>44</v>
      </c>
      <c r="AP52" s="10">
        <v>51</v>
      </c>
      <c r="AQ52" s="10">
        <v>37</v>
      </c>
      <c r="AR52" s="10">
        <v>19</v>
      </c>
      <c r="AS52" s="10">
        <v>15</v>
      </c>
      <c r="AT52" s="10">
        <v>11</v>
      </c>
      <c r="AU52" s="10">
        <v>10</v>
      </c>
      <c r="AV52" s="10">
        <v>5</v>
      </c>
      <c r="AW52" s="10">
        <v>11</v>
      </c>
      <c r="AX52" s="10">
        <v>11</v>
      </c>
      <c r="AY52" s="10">
        <v>10</v>
      </c>
      <c r="AZ52" s="10">
        <v>9</v>
      </c>
      <c r="BA52" s="10">
        <v>6</v>
      </c>
      <c r="BB52" s="10">
        <v>5</v>
      </c>
      <c r="BC52" s="10">
        <v>0</v>
      </c>
      <c r="BD52" s="10">
        <v>0</v>
      </c>
    </row>
    <row r="53" spans="1:56" x14ac:dyDescent="0.35">
      <c r="A53" s="14" t="s">
        <v>48</v>
      </c>
      <c r="B53" s="15">
        <v>12</v>
      </c>
      <c r="C53" s="16">
        <v>7.3644933228593876</v>
      </c>
      <c r="D53" s="15">
        <v>0</v>
      </c>
      <c r="E53" s="15">
        <v>0</v>
      </c>
      <c r="F53" s="15">
        <v>1</v>
      </c>
      <c r="G53" s="15">
        <v>1</v>
      </c>
      <c r="H53" s="15">
        <v>1</v>
      </c>
      <c r="I53" s="15">
        <v>0</v>
      </c>
      <c r="J53" s="15">
        <v>0</v>
      </c>
      <c r="K53" s="15">
        <v>0</v>
      </c>
      <c r="L53" s="15">
        <v>0</v>
      </c>
      <c r="M53" s="15">
        <v>0</v>
      </c>
      <c r="N53" s="15">
        <v>0</v>
      </c>
      <c r="O53" s="15">
        <v>0</v>
      </c>
      <c r="P53" s="15">
        <v>0</v>
      </c>
      <c r="Q53" s="15">
        <v>0</v>
      </c>
      <c r="R53" s="15">
        <v>0</v>
      </c>
      <c r="S53" s="15">
        <v>0</v>
      </c>
      <c r="T53" s="15">
        <v>0</v>
      </c>
      <c r="U53" s="15">
        <v>0</v>
      </c>
      <c r="V53" s="15">
        <v>0</v>
      </c>
      <c r="W53" s="15">
        <v>0</v>
      </c>
      <c r="X53" s="15">
        <v>0</v>
      </c>
      <c r="Y53" s="15">
        <v>0</v>
      </c>
      <c r="Z53" s="15">
        <v>0</v>
      </c>
      <c r="AA53" s="15">
        <v>0</v>
      </c>
      <c r="AB53" s="15">
        <v>0</v>
      </c>
      <c r="AC53" s="15">
        <v>0</v>
      </c>
      <c r="AD53" s="15">
        <v>0</v>
      </c>
      <c r="AE53" s="15">
        <v>0</v>
      </c>
      <c r="AF53" s="15">
        <v>1</v>
      </c>
      <c r="AG53" s="15">
        <v>0</v>
      </c>
      <c r="AH53" s="15">
        <v>0</v>
      </c>
      <c r="AI53" s="15">
        <v>0</v>
      </c>
      <c r="AJ53" s="15">
        <v>0</v>
      </c>
      <c r="AK53" s="15">
        <v>0</v>
      </c>
      <c r="AL53" s="15">
        <v>1</v>
      </c>
      <c r="AM53" s="15">
        <v>1</v>
      </c>
      <c r="AN53" s="15">
        <v>0</v>
      </c>
      <c r="AO53" s="15">
        <v>0</v>
      </c>
      <c r="AP53" s="15">
        <v>0</v>
      </c>
      <c r="AQ53" s="15">
        <v>0</v>
      </c>
      <c r="AR53" s="15">
        <v>0</v>
      </c>
      <c r="AS53" s="15">
        <v>1</v>
      </c>
      <c r="AT53" s="15">
        <v>1</v>
      </c>
      <c r="AU53" s="15">
        <v>1</v>
      </c>
      <c r="AV53" s="15">
        <v>0</v>
      </c>
      <c r="AW53" s="15">
        <v>0</v>
      </c>
      <c r="AX53" s="15">
        <v>0</v>
      </c>
      <c r="AY53" s="15">
        <v>1</v>
      </c>
      <c r="AZ53" s="15">
        <v>1</v>
      </c>
      <c r="BA53" s="15">
        <v>1</v>
      </c>
      <c r="BB53" s="15">
        <v>0</v>
      </c>
      <c r="BC53" s="15">
        <v>0</v>
      </c>
      <c r="BD53" s="15">
        <v>0</v>
      </c>
    </row>
    <row r="54" spans="1:56" x14ac:dyDescent="0.35">
      <c r="A54" s="14" t="s">
        <v>49</v>
      </c>
      <c r="B54" s="15">
        <v>5</v>
      </c>
      <c r="C54" s="16">
        <v>8.0025608194622269</v>
      </c>
      <c r="D54" s="15">
        <v>1</v>
      </c>
      <c r="E54" s="15">
        <v>0</v>
      </c>
      <c r="F54" s="15">
        <v>0</v>
      </c>
      <c r="G54" s="15">
        <v>0</v>
      </c>
      <c r="H54" s="15">
        <v>1</v>
      </c>
      <c r="I54" s="15">
        <v>0</v>
      </c>
      <c r="J54" s="15">
        <v>0</v>
      </c>
      <c r="K54" s="15">
        <v>0</v>
      </c>
      <c r="L54" s="15">
        <v>0</v>
      </c>
      <c r="M54" s="15">
        <v>0</v>
      </c>
      <c r="N54" s="15">
        <v>0</v>
      </c>
      <c r="O54" s="15">
        <v>0</v>
      </c>
      <c r="P54" s="15">
        <v>0</v>
      </c>
      <c r="Q54" s="15">
        <v>0</v>
      </c>
      <c r="R54" s="15">
        <v>0</v>
      </c>
      <c r="S54" s="15">
        <v>0</v>
      </c>
      <c r="T54" s="15">
        <v>0</v>
      </c>
      <c r="U54" s="15">
        <v>1</v>
      </c>
      <c r="V54" s="15">
        <v>0</v>
      </c>
      <c r="W54" s="15">
        <v>0</v>
      </c>
      <c r="X54" s="15">
        <v>0</v>
      </c>
      <c r="Y54" s="15">
        <v>0</v>
      </c>
      <c r="Z54" s="15">
        <v>0</v>
      </c>
      <c r="AA54" s="15">
        <v>0</v>
      </c>
      <c r="AB54" s="15">
        <v>0</v>
      </c>
      <c r="AC54" s="15">
        <v>0</v>
      </c>
      <c r="AD54" s="15">
        <v>0</v>
      </c>
      <c r="AE54" s="15">
        <v>0</v>
      </c>
      <c r="AF54" s="15">
        <v>0</v>
      </c>
      <c r="AG54" s="15">
        <v>0</v>
      </c>
      <c r="AH54" s="15">
        <v>0</v>
      </c>
      <c r="AI54" s="15">
        <v>0</v>
      </c>
      <c r="AJ54" s="15">
        <v>0</v>
      </c>
      <c r="AK54" s="15">
        <v>0</v>
      </c>
      <c r="AL54" s="15">
        <v>0</v>
      </c>
      <c r="AM54" s="15">
        <v>0</v>
      </c>
      <c r="AN54" s="15">
        <v>0</v>
      </c>
      <c r="AO54" s="15">
        <v>1</v>
      </c>
      <c r="AP54" s="15">
        <v>0</v>
      </c>
      <c r="AQ54" s="15">
        <v>0</v>
      </c>
      <c r="AR54" s="15">
        <v>0</v>
      </c>
      <c r="AS54" s="15">
        <v>0</v>
      </c>
      <c r="AT54" s="15">
        <v>0</v>
      </c>
      <c r="AU54" s="15">
        <v>1</v>
      </c>
      <c r="AV54" s="15">
        <v>0</v>
      </c>
      <c r="AW54" s="15">
        <v>0</v>
      </c>
      <c r="AX54" s="15">
        <v>0</v>
      </c>
      <c r="AY54" s="15">
        <v>0</v>
      </c>
      <c r="AZ54" s="15">
        <v>0</v>
      </c>
      <c r="BA54" s="15">
        <v>0</v>
      </c>
      <c r="BB54" s="15">
        <v>0</v>
      </c>
      <c r="BC54" s="15">
        <v>0</v>
      </c>
      <c r="BD54" s="15">
        <v>0</v>
      </c>
    </row>
    <row r="55" spans="1:56" x14ac:dyDescent="0.35">
      <c r="A55" s="14" t="s">
        <v>50</v>
      </c>
      <c r="B55" s="15">
        <v>9</v>
      </c>
      <c r="C55" s="16">
        <v>8.0812434339897088</v>
      </c>
      <c r="D55" s="15">
        <v>0</v>
      </c>
      <c r="E55" s="15">
        <v>0</v>
      </c>
      <c r="F55" s="15">
        <v>0</v>
      </c>
      <c r="G55" s="15">
        <v>0</v>
      </c>
      <c r="H55" s="15">
        <v>0</v>
      </c>
      <c r="I55" s="15">
        <v>0</v>
      </c>
      <c r="J55" s="15">
        <v>0</v>
      </c>
      <c r="K55" s="15">
        <v>0</v>
      </c>
      <c r="L55" s="15">
        <v>0</v>
      </c>
      <c r="M55" s="15">
        <v>0</v>
      </c>
      <c r="N55" s="15">
        <v>0</v>
      </c>
      <c r="O55" s="15">
        <v>2</v>
      </c>
      <c r="P55" s="15">
        <v>0</v>
      </c>
      <c r="Q55" s="15">
        <v>0</v>
      </c>
      <c r="R55" s="15">
        <v>0</v>
      </c>
      <c r="S55" s="15">
        <v>0</v>
      </c>
      <c r="T55" s="15">
        <v>0</v>
      </c>
      <c r="U55" s="15">
        <v>0</v>
      </c>
      <c r="V55" s="15">
        <v>0</v>
      </c>
      <c r="W55" s="15">
        <v>0</v>
      </c>
      <c r="X55" s="15">
        <v>0</v>
      </c>
      <c r="Y55" s="15">
        <v>0</v>
      </c>
      <c r="Z55" s="15">
        <v>1</v>
      </c>
      <c r="AA55" s="15">
        <v>0</v>
      </c>
      <c r="AB55" s="15">
        <v>0</v>
      </c>
      <c r="AC55" s="15">
        <v>1</v>
      </c>
      <c r="AD55" s="15">
        <v>0</v>
      </c>
      <c r="AE55" s="15">
        <v>0</v>
      </c>
      <c r="AF55" s="15">
        <v>0</v>
      </c>
      <c r="AG55" s="15">
        <v>0</v>
      </c>
      <c r="AH55" s="15">
        <v>0</v>
      </c>
      <c r="AI55" s="15">
        <v>0</v>
      </c>
      <c r="AJ55" s="15">
        <v>4</v>
      </c>
      <c r="AK55" s="15">
        <v>0</v>
      </c>
      <c r="AL55" s="15">
        <v>0</v>
      </c>
      <c r="AM55" s="15">
        <v>0</v>
      </c>
      <c r="AN55" s="15">
        <v>1</v>
      </c>
      <c r="AO55" s="15">
        <v>0</v>
      </c>
      <c r="AP55" s="15">
        <v>0</v>
      </c>
      <c r="AQ55" s="15">
        <v>0</v>
      </c>
      <c r="AR55" s="15">
        <v>0</v>
      </c>
      <c r="AS55" s="15">
        <v>0</v>
      </c>
      <c r="AT55" s="15">
        <v>0</v>
      </c>
      <c r="AU55" s="15">
        <v>0</v>
      </c>
      <c r="AV55" s="15">
        <v>0</v>
      </c>
      <c r="AW55" s="15">
        <v>0</v>
      </c>
      <c r="AX55" s="15">
        <v>0</v>
      </c>
      <c r="AY55" s="15">
        <v>0</v>
      </c>
      <c r="AZ55" s="15">
        <v>0</v>
      </c>
      <c r="BA55" s="15">
        <v>0</v>
      </c>
      <c r="BB55" s="15">
        <v>0</v>
      </c>
      <c r="BC55" s="15">
        <v>0</v>
      </c>
      <c r="BD55" s="15">
        <v>0</v>
      </c>
    </row>
    <row r="56" spans="1:56" x14ac:dyDescent="0.35">
      <c r="A56" s="14" t="s">
        <v>51</v>
      </c>
      <c r="B56" s="15">
        <v>74</v>
      </c>
      <c r="C56" s="16">
        <v>454.09916543937163</v>
      </c>
      <c r="D56" s="15">
        <v>0</v>
      </c>
      <c r="E56" s="15">
        <v>0</v>
      </c>
      <c r="F56" s="15">
        <v>0</v>
      </c>
      <c r="G56" s="15">
        <v>0</v>
      </c>
      <c r="H56" s="15">
        <v>0</v>
      </c>
      <c r="I56" s="15">
        <v>0</v>
      </c>
      <c r="J56" s="15">
        <v>0</v>
      </c>
      <c r="K56" s="15">
        <v>0</v>
      </c>
      <c r="L56" s="15">
        <v>0</v>
      </c>
      <c r="M56" s="15">
        <v>0</v>
      </c>
      <c r="N56" s="15">
        <v>0</v>
      </c>
      <c r="O56" s="15">
        <v>0</v>
      </c>
      <c r="P56" s="15">
        <v>0</v>
      </c>
      <c r="Q56" s="15">
        <v>0</v>
      </c>
      <c r="R56" s="15">
        <v>0</v>
      </c>
      <c r="S56" s="15">
        <v>0</v>
      </c>
      <c r="T56" s="15">
        <v>0</v>
      </c>
      <c r="U56" s="15">
        <v>0</v>
      </c>
      <c r="V56" s="15">
        <v>0</v>
      </c>
      <c r="W56" s="15">
        <v>0</v>
      </c>
      <c r="X56" s="15">
        <v>0</v>
      </c>
      <c r="Y56" s="15">
        <v>0</v>
      </c>
      <c r="Z56" s="15">
        <v>0</v>
      </c>
      <c r="AA56" s="15">
        <v>1</v>
      </c>
      <c r="AB56" s="15">
        <v>0</v>
      </c>
      <c r="AC56" s="15">
        <v>0</v>
      </c>
      <c r="AD56" s="15">
        <v>0</v>
      </c>
      <c r="AE56" s="15">
        <v>0</v>
      </c>
      <c r="AF56" s="15">
        <v>0</v>
      </c>
      <c r="AG56" s="15">
        <v>1</v>
      </c>
      <c r="AH56" s="15">
        <v>4</v>
      </c>
      <c r="AI56" s="15">
        <v>0</v>
      </c>
      <c r="AJ56" s="15">
        <v>4</v>
      </c>
      <c r="AK56" s="15">
        <v>4</v>
      </c>
      <c r="AL56" s="15">
        <v>2</v>
      </c>
      <c r="AM56" s="15">
        <v>4</v>
      </c>
      <c r="AN56" s="15">
        <v>10</v>
      </c>
      <c r="AO56" s="15">
        <v>6</v>
      </c>
      <c r="AP56" s="15">
        <v>8</v>
      </c>
      <c r="AQ56" s="15">
        <v>12</v>
      </c>
      <c r="AR56" s="15">
        <v>5</v>
      </c>
      <c r="AS56" s="15">
        <v>3</v>
      </c>
      <c r="AT56" s="15">
        <v>0</v>
      </c>
      <c r="AU56" s="15">
        <v>0</v>
      </c>
      <c r="AV56" s="15">
        <v>1</v>
      </c>
      <c r="AW56" s="15">
        <v>0</v>
      </c>
      <c r="AX56" s="15">
        <v>1</v>
      </c>
      <c r="AY56" s="15">
        <v>4</v>
      </c>
      <c r="AZ56" s="15">
        <v>2</v>
      </c>
      <c r="BA56" s="15">
        <v>1</v>
      </c>
      <c r="BB56" s="15">
        <v>1</v>
      </c>
      <c r="BC56" s="15">
        <v>0</v>
      </c>
      <c r="BD56" s="15">
        <v>0</v>
      </c>
    </row>
    <row r="57" spans="1:56" x14ac:dyDescent="0.35">
      <c r="A57" s="14" t="s">
        <v>52</v>
      </c>
      <c r="B57" s="15">
        <v>683</v>
      </c>
      <c r="C57" s="16">
        <v>927.28358857391129</v>
      </c>
      <c r="D57" s="15">
        <v>0</v>
      </c>
      <c r="E57" s="15">
        <v>0</v>
      </c>
      <c r="F57" s="15">
        <v>0</v>
      </c>
      <c r="G57" s="15">
        <v>0</v>
      </c>
      <c r="H57" s="15">
        <v>0</v>
      </c>
      <c r="I57" s="15">
        <v>0</v>
      </c>
      <c r="J57" s="15">
        <v>0</v>
      </c>
      <c r="K57" s="15">
        <v>0</v>
      </c>
      <c r="L57" s="15">
        <v>0</v>
      </c>
      <c r="M57" s="15">
        <v>0</v>
      </c>
      <c r="N57" s="15">
        <v>0</v>
      </c>
      <c r="O57" s="15">
        <v>0</v>
      </c>
      <c r="P57" s="15">
        <v>0</v>
      </c>
      <c r="Q57" s="15">
        <v>0</v>
      </c>
      <c r="R57" s="15">
        <v>0</v>
      </c>
      <c r="S57" s="15">
        <v>1</v>
      </c>
      <c r="T57" s="15">
        <v>0</v>
      </c>
      <c r="U57" s="15">
        <v>0</v>
      </c>
      <c r="V57" s="15">
        <v>2</v>
      </c>
      <c r="W57" s="15">
        <v>2</v>
      </c>
      <c r="X57" s="15">
        <v>0</v>
      </c>
      <c r="Y57" s="15">
        <v>3</v>
      </c>
      <c r="Z57" s="15">
        <v>4</v>
      </c>
      <c r="AA57" s="15">
        <v>1</v>
      </c>
      <c r="AB57" s="15">
        <v>2</v>
      </c>
      <c r="AC57" s="15">
        <v>4</v>
      </c>
      <c r="AD57" s="15">
        <v>2</v>
      </c>
      <c r="AE57" s="15">
        <v>6</v>
      </c>
      <c r="AF57" s="15">
        <v>9</v>
      </c>
      <c r="AG57" s="15">
        <v>32</v>
      </c>
      <c r="AH57" s="15">
        <v>55</v>
      </c>
      <c r="AI57" s="15">
        <v>49</v>
      </c>
      <c r="AJ57" s="15">
        <v>53</v>
      </c>
      <c r="AK57" s="15">
        <v>65</v>
      </c>
      <c r="AL57" s="15">
        <v>64</v>
      </c>
      <c r="AM57" s="15">
        <v>69</v>
      </c>
      <c r="AN57" s="15">
        <v>70</v>
      </c>
      <c r="AO57" s="15">
        <v>37</v>
      </c>
      <c r="AP57" s="15">
        <v>43</v>
      </c>
      <c r="AQ57" s="15">
        <v>25</v>
      </c>
      <c r="AR57" s="15">
        <v>14</v>
      </c>
      <c r="AS57" s="15">
        <v>11</v>
      </c>
      <c r="AT57" s="15">
        <v>10</v>
      </c>
      <c r="AU57" s="15">
        <v>8</v>
      </c>
      <c r="AV57" s="15">
        <v>4</v>
      </c>
      <c r="AW57" s="15">
        <v>11</v>
      </c>
      <c r="AX57" s="15">
        <v>9</v>
      </c>
      <c r="AY57" s="15">
        <v>5</v>
      </c>
      <c r="AZ57" s="15">
        <v>6</v>
      </c>
      <c r="BA57" s="15">
        <v>4</v>
      </c>
      <c r="BB57" s="15">
        <v>3</v>
      </c>
      <c r="BC57" s="15">
        <v>0</v>
      </c>
      <c r="BD57" s="15">
        <v>0</v>
      </c>
    </row>
    <row r="58" spans="1:56" x14ac:dyDescent="0.35">
      <c r="A58" s="14" t="s">
        <v>53</v>
      </c>
      <c r="B58" s="15">
        <v>1</v>
      </c>
      <c r="C58" s="16">
        <v>6.5265631118652925</v>
      </c>
      <c r="D58" s="15">
        <v>0</v>
      </c>
      <c r="E58" s="15">
        <v>0</v>
      </c>
      <c r="F58" s="15">
        <v>0</v>
      </c>
      <c r="G58" s="15">
        <v>0</v>
      </c>
      <c r="H58" s="15">
        <v>0</v>
      </c>
      <c r="I58" s="15">
        <v>0</v>
      </c>
      <c r="J58" s="15">
        <v>0</v>
      </c>
      <c r="K58" s="15">
        <v>0</v>
      </c>
      <c r="L58" s="15">
        <v>0</v>
      </c>
      <c r="M58" s="15">
        <v>0</v>
      </c>
      <c r="N58" s="15">
        <v>0</v>
      </c>
      <c r="O58" s="15">
        <v>0</v>
      </c>
      <c r="P58" s="15">
        <v>0</v>
      </c>
      <c r="Q58" s="15">
        <v>0</v>
      </c>
      <c r="R58" s="15">
        <v>0</v>
      </c>
      <c r="S58" s="15">
        <v>0</v>
      </c>
      <c r="T58" s="15">
        <v>0</v>
      </c>
      <c r="U58" s="15">
        <v>0</v>
      </c>
      <c r="V58" s="15">
        <v>0</v>
      </c>
      <c r="W58" s="15">
        <v>0</v>
      </c>
      <c r="X58" s="15">
        <v>0</v>
      </c>
      <c r="Y58" s="15">
        <v>0</v>
      </c>
      <c r="Z58" s="15">
        <v>0</v>
      </c>
      <c r="AA58" s="15">
        <v>0</v>
      </c>
      <c r="AB58" s="15">
        <v>0</v>
      </c>
      <c r="AC58" s="15">
        <v>0</v>
      </c>
      <c r="AD58" s="15">
        <v>0</v>
      </c>
      <c r="AE58" s="15">
        <v>0</v>
      </c>
      <c r="AF58" s="15">
        <v>0</v>
      </c>
      <c r="AG58" s="15">
        <v>0</v>
      </c>
      <c r="AH58" s="15">
        <v>0</v>
      </c>
      <c r="AI58" s="15">
        <v>0</v>
      </c>
      <c r="AJ58" s="15">
        <v>0</v>
      </c>
      <c r="AK58" s="15">
        <v>0</v>
      </c>
      <c r="AL58" s="15">
        <v>0</v>
      </c>
      <c r="AM58" s="15">
        <v>0</v>
      </c>
      <c r="AN58" s="15">
        <v>0</v>
      </c>
      <c r="AO58" s="15">
        <v>0</v>
      </c>
      <c r="AP58" s="15">
        <v>0</v>
      </c>
      <c r="AQ58" s="15">
        <v>0</v>
      </c>
      <c r="AR58" s="15">
        <v>0</v>
      </c>
      <c r="AS58" s="15">
        <v>0</v>
      </c>
      <c r="AT58" s="15">
        <v>0</v>
      </c>
      <c r="AU58" s="15">
        <v>0</v>
      </c>
      <c r="AV58" s="15">
        <v>0</v>
      </c>
      <c r="AW58" s="15">
        <v>0</v>
      </c>
      <c r="AX58" s="15">
        <v>1</v>
      </c>
      <c r="AY58" s="15">
        <v>0</v>
      </c>
      <c r="AZ58" s="15">
        <v>0</v>
      </c>
      <c r="BA58" s="15">
        <v>0</v>
      </c>
      <c r="BB58" s="15">
        <v>0</v>
      </c>
      <c r="BC58" s="15">
        <v>0</v>
      </c>
      <c r="BD58" s="15">
        <v>0</v>
      </c>
    </row>
    <row r="59" spans="1:56" x14ac:dyDescent="0.35">
      <c r="A59" s="14" t="s">
        <v>54</v>
      </c>
      <c r="B59" s="15">
        <v>1</v>
      </c>
      <c r="C59" s="16">
        <v>2.0159664543182001</v>
      </c>
      <c r="D59" s="15">
        <v>0</v>
      </c>
      <c r="E59" s="15">
        <v>0</v>
      </c>
      <c r="F59" s="15">
        <v>0</v>
      </c>
      <c r="G59" s="15">
        <v>0</v>
      </c>
      <c r="H59" s="15">
        <v>0</v>
      </c>
      <c r="I59" s="15">
        <v>0</v>
      </c>
      <c r="J59" s="15">
        <v>0</v>
      </c>
      <c r="K59" s="15">
        <v>0</v>
      </c>
      <c r="L59" s="15">
        <v>0</v>
      </c>
      <c r="M59" s="15">
        <v>0</v>
      </c>
      <c r="N59" s="15">
        <v>0</v>
      </c>
      <c r="O59" s="15">
        <v>0</v>
      </c>
      <c r="P59" s="15">
        <v>0</v>
      </c>
      <c r="Q59" s="15">
        <v>0</v>
      </c>
      <c r="R59" s="15">
        <v>0</v>
      </c>
      <c r="S59" s="15">
        <v>0</v>
      </c>
      <c r="T59" s="15">
        <v>0</v>
      </c>
      <c r="U59" s="15">
        <v>0</v>
      </c>
      <c r="V59" s="15">
        <v>0</v>
      </c>
      <c r="W59" s="15">
        <v>0</v>
      </c>
      <c r="X59" s="15">
        <v>0</v>
      </c>
      <c r="Y59" s="15">
        <v>0</v>
      </c>
      <c r="Z59" s="15">
        <v>0</v>
      </c>
      <c r="AA59" s="15">
        <v>0</v>
      </c>
      <c r="AB59" s="15">
        <v>0</v>
      </c>
      <c r="AC59" s="15">
        <v>0</v>
      </c>
      <c r="AD59" s="15">
        <v>0</v>
      </c>
      <c r="AE59" s="15">
        <v>0</v>
      </c>
      <c r="AF59" s="15">
        <v>0</v>
      </c>
      <c r="AG59" s="15">
        <v>0</v>
      </c>
      <c r="AH59" s="15">
        <v>0</v>
      </c>
      <c r="AI59" s="15">
        <v>0</v>
      </c>
      <c r="AJ59" s="15">
        <v>0</v>
      </c>
      <c r="AK59" s="15">
        <v>0</v>
      </c>
      <c r="AL59" s="15">
        <v>0</v>
      </c>
      <c r="AM59" s="15">
        <v>0</v>
      </c>
      <c r="AN59" s="15">
        <v>0</v>
      </c>
      <c r="AO59" s="15">
        <v>0</v>
      </c>
      <c r="AP59" s="15">
        <v>0</v>
      </c>
      <c r="AQ59" s="15">
        <v>0</v>
      </c>
      <c r="AR59" s="15">
        <v>0</v>
      </c>
      <c r="AS59" s="15">
        <v>0</v>
      </c>
      <c r="AT59" s="15">
        <v>0</v>
      </c>
      <c r="AU59" s="15">
        <v>0</v>
      </c>
      <c r="AV59" s="15">
        <v>0</v>
      </c>
      <c r="AW59" s="15">
        <v>0</v>
      </c>
      <c r="AX59" s="15">
        <v>0</v>
      </c>
      <c r="AY59" s="15">
        <v>0</v>
      </c>
      <c r="AZ59" s="15">
        <v>0</v>
      </c>
      <c r="BA59" s="15">
        <v>0</v>
      </c>
      <c r="BB59" s="15">
        <v>1</v>
      </c>
      <c r="BC59" s="15">
        <v>0</v>
      </c>
      <c r="BD59" s="15">
        <v>0</v>
      </c>
    </row>
    <row r="60" spans="1:56" x14ac:dyDescent="0.35">
      <c r="A60" s="14" t="s">
        <v>55</v>
      </c>
      <c r="B60" s="15">
        <v>0</v>
      </c>
      <c r="C60" s="16">
        <v>0</v>
      </c>
      <c r="D60" s="15">
        <v>0</v>
      </c>
      <c r="E60" s="15">
        <v>0</v>
      </c>
      <c r="F60" s="15">
        <v>0</v>
      </c>
      <c r="G60" s="15">
        <v>0</v>
      </c>
      <c r="H60" s="15">
        <v>0</v>
      </c>
      <c r="I60" s="15">
        <v>0</v>
      </c>
      <c r="J60" s="15">
        <v>0</v>
      </c>
      <c r="K60" s="15">
        <v>0</v>
      </c>
      <c r="L60" s="15">
        <v>0</v>
      </c>
      <c r="M60" s="15">
        <v>0</v>
      </c>
      <c r="N60" s="15">
        <v>0</v>
      </c>
      <c r="O60" s="15">
        <v>0</v>
      </c>
      <c r="P60" s="15">
        <v>0</v>
      </c>
      <c r="Q60" s="15">
        <v>0</v>
      </c>
      <c r="R60" s="15">
        <v>0</v>
      </c>
      <c r="S60" s="15">
        <v>0</v>
      </c>
      <c r="T60" s="15">
        <v>0</v>
      </c>
      <c r="U60" s="15">
        <v>0</v>
      </c>
      <c r="V60" s="15">
        <v>0</v>
      </c>
      <c r="W60" s="15">
        <v>0</v>
      </c>
      <c r="X60" s="15">
        <v>0</v>
      </c>
      <c r="Y60" s="15">
        <v>0</v>
      </c>
      <c r="Z60" s="15">
        <v>0</v>
      </c>
      <c r="AA60" s="15">
        <v>0</v>
      </c>
      <c r="AB60" s="15">
        <v>0</v>
      </c>
      <c r="AC60" s="15">
        <v>0</v>
      </c>
      <c r="AD60" s="15">
        <v>0</v>
      </c>
      <c r="AE60" s="15">
        <v>0</v>
      </c>
      <c r="AF60" s="15">
        <v>0</v>
      </c>
      <c r="AG60" s="15">
        <v>0</v>
      </c>
      <c r="AH60" s="15">
        <v>0</v>
      </c>
      <c r="AI60" s="15">
        <v>0</v>
      </c>
      <c r="AJ60" s="15">
        <v>0</v>
      </c>
      <c r="AK60" s="15">
        <v>0</v>
      </c>
      <c r="AL60" s="15">
        <v>0</v>
      </c>
      <c r="AM60" s="15">
        <v>0</v>
      </c>
      <c r="AN60" s="15">
        <v>0</v>
      </c>
      <c r="AO60" s="15">
        <v>0</v>
      </c>
      <c r="AP60" s="15">
        <v>0</v>
      </c>
      <c r="AQ60" s="15">
        <v>0</v>
      </c>
      <c r="AR60" s="15">
        <v>0</v>
      </c>
      <c r="AS60" s="15">
        <v>0</v>
      </c>
      <c r="AT60" s="15">
        <v>0</v>
      </c>
      <c r="AU60" s="15">
        <v>0</v>
      </c>
      <c r="AV60" s="15">
        <v>0</v>
      </c>
      <c r="AW60" s="15">
        <v>0</v>
      </c>
      <c r="AX60" s="15">
        <v>0</v>
      </c>
      <c r="AY60" s="15">
        <v>0</v>
      </c>
      <c r="AZ60" s="15">
        <v>0</v>
      </c>
      <c r="BA60" s="15">
        <v>0</v>
      </c>
      <c r="BB60" s="15">
        <v>0</v>
      </c>
      <c r="BC60" s="15">
        <v>0</v>
      </c>
      <c r="BD60" s="15">
        <v>0</v>
      </c>
    </row>
    <row r="61" spans="1:56" x14ac:dyDescent="0.35">
      <c r="A61" s="14"/>
      <c r="B61" s="12"/>
      <c r="C61" s="13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</row>
    <row r="62" spans="1:56" x14ac:dyDescent="0.35">
      <c r="A62" s="1" t="s">
        <v>56</v>
      </c>
      <c r="B62" s="10">
        <v>1880</v>
      </c>
      <c r="C62" s="11">
        <v>362.11645511104263</v>
      </c>
      <c r="D62" s="10">
        <v>2</v>
      </c>
      <c r="E62" s="10">
        <v>5</v>
      </c>
      <c r="F62" s="10">
        <v>1</v>
      </c>
      <c r="G62" s="10">
        <v>3</v>
      </c>
      <c r="H62" s="10">
        <v>6</v>
      </c>
      <c r="I62" s="10">
        <v>5</v>
      </c>
      <c r="J62" s="10">
        <v>12</v>
      </c>
      <c r="K62" s="10">
        <v>7</v>
      </c>
      <c r="L62" s="10">
        <v>22</v>
      </c>
      <c r="M62" s="10">
        <v>13</v>
      </c>
      <c r="N62" s="10">
        <v>11</v>
      </c>
      <c r="O62" s="10">
        <v>7</v>
      </c>
      <c r="P62" s="10">
        <v>8</v>
      </c>
      <c r="Q62" s="10">
        <v>10</v>
      </c>
      <c r="R62" s="10">
        <v>12</v>
      </c>
      <c r="S62" s="10">
        <v>4</v>
      </c>
      <c r="T62" s="10">
        <v>25</v>
      </c>
      <c r="U62" s="10">
        <v>22</v>
      </c>
      <c r="V62" s="10">
        <v>46</v>
      </c>
      <c r="W62" s="10">
        <v>67</v>
      </c>
      <c r="X62" s="10">
        <v>88</v>
      </c>
      <c r="Y62" s="10">
        <v>73</v>
      </c>
      <c r="Z62" s="10">
        <v>94</v>
      </c>
      <c r="AA62" s="10">
        <v>101</v>
      </c>
      <c r="AB62" s="10">
        <v>105</v>
      </c>
      <c r="AC62" s="10">
        <v>101</v>
      </c>
      <c r="AD62" s="10">
        <v>76</v>
      </c>
      <c r="AE62" s="10">
        <v>92</v>
      </c>
      <c r="AF62" s="10">
        <v>92</v>
      </c>
      <c r="AG62" s="10">
        <v>107</v>
      </c>
      <c r="AH62" s="10">
        <v>94</v>
      </c>
      <c r="AI62" s="10">
        <v>80</v>
      </c>
      <c r="AJ62" s="10">
        <v>52</v>
      </c>
      <c r="AK62" s="10">
        <v>56</v>
      </c>
      <c r="AL62" s="10">
        <v>35</v>
      </c>
      <c r="AM62" s="10">
        <v>39</v>
      </c>
      <c r="AN62" s="10">
        <v>32</v>
      </c>
      <c r="AO62" s="10">
        <v>21</v>
      </c>
      <c r="AP62" s="10">
        <v>19</v>
      </c>
      <c r="AQ62" s="10">
        <v>21</v>
      </c>
      <c r="AR62" s="10">
        <v>17</v>
      </c>
      <c r="AS62" s="10">
        <v>15</v>
      </c>
      <c r="AT62" s="10">
        <v>19</v>
      </c>
      <c r="AU62" s="10">
        <v>12</v>
      </c>
      <c r="AV62" s="10">
        <v>26</v>
      </c>
      <c r="AW62" s="10">
        <v>32</v>
      </c>
      <c r="AX62" s="10">
        <v>21</v>
      </c>
      <c r="AY62" s="10">
        <v>21</v>
      </c>
      <c r="AZ62" s="10">
        <v>16</v>
      </c>
      <c r="BA62" s="10">
        <v>14</v>
      </c>
      <c r="BB62" s="10">
        <v>15</v>
      </c>
      <c r="BC62" s="10">
        <v>6</v>
      </c>
      <c r="BD62" s="10">
        <v>0</v>
      </c>
    </row>
    <row r="63" spans="1:56" x14ac:dyDescent="0.35">
      <c r="A63" s="14" t="s">
        <v>57</v>
      </c>
      <c r="B63" s="15">
        <v>30</v>
      </c>
      <c r="C63" s="16">
        <v>21.174029347204673</v>
      </c>
      <c r="D63" s="15">
        <v>0</v>
      </c>
      <c r="E63" s="15">
        <v>0</v>
      </c>
      <c r="F63" s="15">
        <v>0</v>
      </c>
      <c r="G63" s="15">
        <v>0</v>
      </c>
      <c r="H63" s="15">
        <v>0</v>
      </c>
      <c r="I63" s="15">
        <v>1</v>
      </c>
      <c r="J63" s="15">
        <v>1</v>
      </c>
      <c r="K63" s="15">
        <v>0</v>
      </c>
      <c r="L63" s="15">
        <v>0</v>
      </c>
      <c r="M63" s="15">
        <v>1</v>
      </c>
      <c r="N63" s="15">
        <v>0</v>
      </c>
      <c r="O63" s="15">
        <v>0</v>
      </c>
      <c r="P63" s="15">
        <v>0</v>
      </c>
      <c r="Q63" s="15">
        <v>1</v>
      </c>
      <c r="R63" s="15">
        <v>1</v>
      </c>
      <c r="S63" s="15">
        <v>0</v>
      </c>
      <c r="T63" s="15">
        <v>0</v>
      </c>
      <c r="U63" s="15">
        <v>0</v>
      </c>
      <c r="V63" s="15">
        <v>0</v>
      </c>
      <c r="W63" s="15">
        <v>0</v>
      </c>
      <c r="X63" s="15">
        <v>1</v>
      </c>
      <c r="Y63" s="15">
        <v>0</v>
      </c>
      <c r="Z63" s="15">
        <v>0</v>
      </c>
      <c r="AA63" s="15">
        <v>0</v>
      </c>
      <c r="AB63" s="15">
        <v>1</v>
      </c>
      <c r="AC63" s="15">
        <v>0</v>
      </c>
      <c r="AD63" s="15">
        <v>0</v>
      </c>
      <c r="AE63" s="15">
        <v>1</v>
      </c>
      <c r="AF63" s="15">
        <v>0</v>
      </c>
      <c r="AG63" s="15">
        <v>1</v>
      </c>
      <c r="AH63" s="15">
        <v>0</v>
      </c>
      <c r="AI63" s="15">
        <v>1</v>
      </c>
      <c r="AJ63" s="15">
        <v>0</v>
      </c>
      <c r="AK63" s="15">
        <v>0</v>
      </c>
      <c r="AL63" s="15">
        <v>1</v>
      </c>
      <c r="AM63" s="15">
        <v>2</v>
      </c>
      <c r="AN63" s="15">
        <v>2</v>
      </c>
      <c r="AO63" s="15">
        <v>1</v>
      </c>
      <c r="AP63" s="15">
        <v>1</v>
      </c>
      <c r="AQ63" s="15">
        <v>1</v>
      </c>
      <c r="AR63" s="15">
        <v>1</v>
      </c>
      <c r="AS63" s="15">
        <v>3</v>
      </c>
      <c r="AT63" s="15">
        <v>1</v>
      </c>
      <c r="AU63" s="15">
        <v>1</v>
      </c>
      <c r="AV63" s="15">
        <v>0</v>
      </c>
      <c r="AW63" s="15">
        <v>2</v>
      </c>
      <c r="AX63" s="15">
        <v>1</v>
      </c>
      <c r="AY63" s="15">
        <v>1</v>
      </c>
      <c r="AZ63" s="15">
        <v>1</v>
      </c>
      <c r="BA63" s="15">
        <v>1</v>
      </c>
      <c r="BB63" s="15">
        <v>0</v>
      </c>
      <c r="BC63" s="15">
        <v>0</v>
      </c>
      <c r="BD63" s="15">
        <v>0</v>
      </c>
    </row>
    <row r="64" spans="1:56" x14ac:dyDescent="0.35">
      <c r="A64" s="14" t="s">
        <v>58</v>
      </c>
      <c r="B64" s="15">
        <v>4</v>
      </c>
      <c r="C64" s="16">
        <v>8.6244070720137991</v>
      </c>
      <c r="D64" s="15">
        <v>0</v>
      </c>
      <c r="E64" s="15">
        <v>0</v>
      </c>
      <c r="F64" s="15">
        <v>0</v>
      </c>
      <c r="G64" s="15">
        <v>0</v>
      </c>
      <c r="H64" s="15">
        <v>0</v>
      </c>
      <c r="I64" s="15">
        <v>0</v>
      </c>
      <c r="J64" s="15">
        <v>0</v>
      </c>
      <c r="K64" s="15">
        <v>0</v>
      </c>
      <c r="L64" s="15">
        <v>0</v>
      </c>
      <c r="M64" s="15">
        <v>0</v>
      </c>
      <c r="N64" s="15">
        <v>0</v>
      </c>
      <c r="O64" s="15">
        <v>0</v>
      </c>
      <c r="P64" s="15">
        <v>1</v>
      </c>
      <c r="Q64" s="15">
        <v>0</v>
      </c>
      <c r="R64" s="15">
        <v>0</v>
      </c>
      <c r="S64" s="15">
        <v>0</v>
      </c>
      <c r="T64" s="15">
        <v>0</v>
      </c>
      <c r="U64" s="15">
        <v>0</v>
      </c>
      <c r="V64" s="15">
        <v>0</v>
      </c>
      <c r="W64" s="15">
        <v>0</v>
      </c>
      <c r="X64" s="15">
        <v>0</v>
      </c>
      <c r="Y64" s="15">
        <v>0</v>
      </c>
      <c r="Z64" s="15">
        <v>0</v>
      </c>
      <c r="AA64" s="15">
        <v>0</v>
      </c>
      <c r="AB64" s="15">
        <v>0</v>
      </c>
      <c r="AC64" s="15">
        <v>0</v>
      </c>
      <c r="AD64" s="15">
        <v>0</v>
      </c>
      <c r="AE64" s="15">
        <v>0</v>
      </c>
      <c r="AF64" s="15">
        <v>0</v>
      </c>
      <c r="AG64" s="15">
        <v>0</v>
      </c>
      <c r="AH64" s="15">
        <v>0</v>
      </c>
      <c r="AI64" s="15">
        <v>0</v>
      </c>
      <c r="AJ64" s="15">
        <v>0</v>
      </c>
      <c r="AK64" s="15">
        <v>0</v>
      </c>
      <c r="AL64" s="15">
        <v>1</v>
      </c>
      <c r="AM64" s="15">
        <v>1</v>
      </c>
      <c r="AN64" s="15">
        <v>0</v>
      </c>
      <c r="AO64" s="15">
        <v>0</v>
      </c>
      <c r="AP64" s="15">
        <v>0</v>
      </c>
      <c r="AQ64" s="15">
        <v>0</v>
      </c>
      <c r="AR64" s="15">
        <v>0</v>
      </c>
      <c r="AS64" s="15">
        <v>0</v>
      </c>
      <c r="AT64" s="15">
        <v>0</v>
      </c>
      <c r="AU64" s="15">
        <v>0</v>
      </c>
      <c r="AV64" s="15">
        <v>0</v>
      </c>
      <c r="AW64" s="15">
        <v>0</v>
      </c>
      <c r="AX64" s="15">
        <v>1</v>
      </c>
      <c r="AY64" s="15">
        <v>0</v>
      </c>
      <c r="AZ64" s="15">
        <v>0</v>
      </c>
      <c r="BA64" s="15">
        <v>0</v>
      </c>
      <c r="BB64" s="15">
        <v>0</v>
      </c>
      <c r="BC64" s="15">
        <v>0</v>
      </c>
      <c r="BD64" s="15">
        <v>0</v>
      </c>
    </row>
    <row r="65" spans="1:56" x14ac:dyDescent="0.35">
      <c r="A65" s="14" t="s">
        <v>59</v>
      </c>
      <c r="B65" s="15">
        <v>6</v>
      </c>
      <c r="C65" s="16">
        <v>12.350507400012351</v>
      </c>
      <c r="D65" s="15">
        <v>0</v>
      </c>
      <c r="E65" s="15">
        <v>0</v>
      </c>
      <c r="F65" s="15">
        <v>0</v>
      </c>
      <c r="G65" s="15">
        <v>0</v>
      </c>
      <c r="H65" s="15">
        <v>0</v>
      </c>
      <c r="I65" s="15">
        <v>0</v>
      </c>
      <c r="J65" s="15">
        <v>0</v>
      </c>
      <c r="K65" s="15">
        <v>0</v>
      </c>
      <c r="L65" s="15">
        <v>0</v>
      </c>
      <c r="M65" s="15">
        <v>0</v>
      </c>
      <c r="N65" s="15">
        <v>0</v>
      </c>
      <c r="O65" s="15">
        <v>0</v>
      </c>
      <c r="P65" s="15">
        <v>0</v>
      </c>
      <c r="Q65" s="15">
        <v>0</v>
      </c>
      <c r="R65" s="15">
        <v>0</v>
      </c>
      <c r="S65" s="15">
        <v>0</v>
      </c>
      <c r="T65" s="15">
        <v>0</v>
      </c>
      <c r="U65" s="15">
        <v>0</v>
      </c>
      <c r="V65" s="15">
        <v>0</v>
      </c>
      <c r="W65" s="15">
        <v>0</v>
      </c>
      <c r="X65" s="15">
        <v>0</v>
      </c>
      <c r="Y65" s="15">
        <v>0</v>
      </c>
      <c r="Z65" s="15">
        <v>1</v>
      </c>
      <c r="AA65" s="15">
        <v>0</v>
      </c>
      <c r="AB65" s="15">
        <v>0</v>
      </c>
      <c r="AC65" s="15">
        <v>0</v>
      </c>
      <c r="AD65" s="15">
        <v>0</v>
      </c>
      <c r="AE65" s="15">
        <v>0</v>
      </c>
      <c r="AF65" s="15">
        <v>0</v>
      </c>
      <c r="AG65" s="15">
        <v>0</v>
      </c>
      <c r="AH65" s="15">
        <v>0</v>
      </c>
      <c r="AI65" s="15">
        <v>0</v>
      </c>
      <c r="AJ65" s="15">
        <v>0</v>
      </c>
      <c r="AK65" s="15">
        <v>0</v>
      </c>
      <c r="AL65" s="15">
        <v>0</v>
      </c>
      <c r="AM65" s="15">
        <v>0</v>
      </c>
      <c r="AN65" s="15">
        <v>1</v>
      </c>
      <c r="AO65" s="15">
        <v>0</v>
      </c>
      <c r="AP65" s="15">
        <v>1</v>
      </c>
      <c r="AQ65" s="15">
        <v>0</v>
      </c>
      <c r="AR65" s="15">
        <v>0</v>
      </c>
      <c r="AS65" s="15">
        <v>0</v>
      </c>
      <c r="AT65" s="15">
        <v>0</v>
      </c>
      <c r="AU65" s="15">
        <v>1</v>
      </c>
      <c r="AV65" s="15">
        <v>1</v>
      </c>
      <c r="AW65" s="15">
        <v>0</v>
      </c>
      <c r="AX65" s="15">
        <v>0</v>
      </c>
      <c r="AY65" s="15">
        <v>0</v>
      </c>
      <c r="AZ65" s="15">
        <v>0</v>
      </c>
      <c r="BA65" s="15">
        <v>0</v>
      </c>
      <c r="BB65" s="15">
        <v>0</v>
      </c>
      <c r="BC65" s="15">
        <v>1</v>
      </c>
      <c r="BD65" s="15">
        <v>0</v>
      </c>
    </row>
    <row r="66" spans="1:56" x14ac:dyDescent="0.35">
      <c r="A66" s="14" t="s">
        <v>60</v>
      </c>
      <c r="B66" s="15">
        <v>8</v>
      </c>
      <c r="C66" s="16">
        <v>18.953752843062926</v>
      </c>
      <c r="D66" s="15">
        <v>0</v>
      </c>
      <c r="E66" s="15">
        <v>0</v>
      </c>
      <c r="F66" s="15">
        <v>0</v>
      </c>
      <c r="G66" s="15">
        <v>0</v>
      </c>
      <c r="H66" s="15">
        <v>1</v>
      </c>
      <c r="I66" s="15">
        <v>0</v>
      </c>
      <c r="J66" s="15">
        <v>0</v>
      </c>
      <c r="K66" s="15">
        <v>0</v>
      </c>
      <c r="L66" s="15">
        <v>0</v>
      </c>
      <c r="M66" s="15">
        <v>0</v>
      </c>
      <c r="N66" s="15">
        <v>0</v>
      </c>
      <c r="O66" s="15">
        <v>0</v>
      </c>
      <c r="P66" s="15">
        <v>0</v>
      </c>
      <c r="Q66" s="15">
        <v>1</v>
      </c>
      <c r="R66" s="15">
        <v>0</v>
      </c>
      <c r="S66" s="15">
        <v>0</v>
      </c>
      <c r="T66" s="15">
        <v>0</v>
      </c>
      <c r="U66" s="15">
        <v>0</v>
      </c>
      <c r="V66" s="15">
        <v>0</v>
      </c>
      <c r="W66" s="15">
        <v>0</v>
      </c>
      <c r="X66" s="15">
        <v>0</v>
      </c>
      <c r="Y66" s="15">
        <v>0</v>
      </c>
      <c r="Z66" s="15">
        <v>0</v>
      </c>
      <c r="AA66" s="15">
        <v>0</v>
      </c>
      <c r="AB66" s="15">
        <v>0</v>
      </c>
      <c r="AC66" s="15">
        <v>0</v>
      </c>
      <c r="AD66" s="15">
        <v>0</v>
      </c>
      <c r="AE66" s="15">
        <v>1</v>
      </c>
      <c r="AF66" s="15">
        <v>1</v>
      </c>
      <c r="AG66" s="15">
        <v>0</v>
      </c>
      <c r="AH66" s="15">
        <v>0</v>
      </c>
      <c r="AI66" s="15">
        <v>0</v>
      </c>
      <c r="AJ66" s="15">
        <v>0</v>
      </c>
      <c r="AK66" s="15">
        <v>0</v>
      </c>
      <c r="AL66" s="15">
        <v>1</v>
      </c>
      <c r="AM66" s="15">
        <v>1</v>
      </c>
      <c r="AN66" s="15">
        <v>0</v>
      </c>
      <c r="AO66" s="15">
        <v>0</v>
      </c>
      <c r="AP66" s="15">
        <v>0</v>
      </c>
      <c r="AQ66" s="15">
        <v>0</v>
      </c>
      <c r="AR66" s="15">
        <v>0</v>
      </c>
      <c r="AS66" s="15">
        <v>0</v>
      </c>
      <c r="AT66" s="15">
        <v>0</v>
      </c>
      <c r="AU66" s="15">
        <v>0</v>
      </c>
      <c r="AV66" s="15">
        <v>0</v>
      </c>
      <c r="AW66" s="15">
        <v>0</v>
      </c>
      <c r="AX66" s="15">
        <v>0</v>
      </c>
      <c r="AY66" s="15">
        <v>0</v>
      </c>
      <c r="AZ66" s="15">
        <v>1</v>
      </c>
      <c r="BA66" s="15">
        <v>0</v>
      </c>
      <c r="BB66" s="15">
        <v>1</v>
      </c>
      <c r="BC66" s="15">
        <v>0</v>
      </c>
      <c r="BD66" s="15">
        <v>0</v>
      </c>
    </row>
    <row r="67" spans="1:56" x14ac:dyDescent="0.35">
      <c r="A67" s="14" t="s">
        <v>61</v>
      </c>
      <c r="B67" s="15">
        <v>2</v>
      </c>
      <c r="C67" s="16">
        <v>3.6638760144356719</v>
      </c>
      <c r="D67" s="15">
        <v>0</v>
      </c>
      <c r="E67" s="15">
        <v>0</v>
      </c>
      <c r="F67" s="15">
        <v>0</v>
      </c>
      <c r="G67" s="15">
        <v>0</v>
      </c>
      <c r="H67" s="15">
        <v>0</v>
      </c>
      <c r="I67" s="15">
        <v>0</v>
      </c>
      <c r="J67" s="15">
        <v>0</v>
      </c>
      <c r="K67" s="15">
        <v>0</v>
      </c>
      <c r="L67" s="15">
        <v>0</v>
      </c>
      <c r="M67" s="15">
        <v>1</v>
      </c>
      <c r="N67" s="15">
        <v>0</v>
      </c>
      <c r="O67" s="15">
        <v>0</v>
      </c>
      <c r="P67" s="15">
        <v>0</v>
      </c>
      <c r="Q67" s="15">
        <v>0</v>
      </c>
      <c r="R67" s="15">
        <v>0</v>
      </c>
      <c r="S67" s="15">
        <v>0</v>
      </c>
      <c r="T67" s="15">
        <v>0</v>
      </c>
      <c r="U67" s="15">
        <v>0</v>
      </c>
      <c r="V67" s="15">
        <v>0</v>
      </c>
      <c r="W67" s="15">
        <v>0</v>
      </c>
      <c r="X67" s="15">
        <v>0</v>
      </c>
      <c r="Y67" s="15">
        <v>0</v>
      </c>
      <c r="Z67" s="15">
        <v>0</v>
      </c>
      <c r="AA67" s="15">
        <v>0</v>
      </c>
      <c r="AB67" s="15">
        <v>0</v>
      </c>
      <c r="AC67" s="15">
        <v>0</v>
      </c>
      <c r="AD67" s="15">
        <v>0</v>
      </c>
      <c r="AE67" s="15">
        <v>0</v>
      </c>
      <c r="AF67" s="15">
        <v>0</v>
      </c>
      <c r="AG67" s="15">
        <v>0</v>
      </c>
      <c r="AH67" s="15">
        <v>0</v>
      </c>
      <c r="AI67" s="15">
        <v>0</v>
      </c>
      <c r="AJ67" s="15">
        <v>0</v>
      </c>
      <c r="AK67" s="15">
        <v>0</v>
      </c>
      <c r="AL67" s="15">
        <v>0</v>
      </c>
      <c r="AM67" s="15">
        <v>0</v>
      </c>
      <c r="AN67" s="15">
        <v>0</v>
      </c>
      <c r="AO67" s="15">
        <v>0</v>
      </c>
      <c r="AP67" s="15">
        <v>0</v>
      </c>
      <c r="AQ67" s="15">
        <v>1</v>
      </c>
      <c r="AR67" s="15">
        <v>0</v>
      </c>
      <c r="AS67" s="15">
        <v>0</v>
      </c>
      <c r="AT67" s="15">
        <v>0</v>
      </c>
      <c r="AU67" s="15">
        <v>0</v>
      </c>
      <c r="AV67" s="15">
        <v>0</v>
      </c>
      <c r="AW67" s="15">
        <v>0</v>
      </c>
      <c r="AX67" s="15">
        <v>0</v>
      </c>
      <c r="AY67" s="15">
        <v>0</v>
      </c>
      <c r="AZ67" s="15">
        <v>0</v>
      </c>
      <c r="BA67" s="15">
        <v>0</v>
      </c>
      <c r="BB67" s="15">
        <v>0</v>
      </c>
      <c r="BC67" s="15">
        <v>0</v>
      </c>
      <c r="BD67" s="15">
        <v>0</v>
      </c>
    </row>
    <row r="68" spans="1:56" x14ac:dyDescent="0.35">
      <c r="A68" s="14" t="s">
        <v>62</v>
      </c>
      <c r="B68" s="15">
        <v>1</v>
      </c>
      <c r="C68" s="16">
        <v>4.3485823621499389</v>
      </c>
      <c r="D68" s="15">
        <v>0</v>
      </c>
      <c r="E68" s="15">
        <v>0</v>
      </c>
      <c r="F68" s="15">
        <v>0</v>
      </c>
      <c r="G68" s="15">
        <v>0</v>
      </c>
      <c r="H68" s="15">
        <v>0</v>
      </c>
      <c r="I68" s="15">
        <v>0</v>
      </c>
      <c r="J68" s="15">
        <v>0</v>
      </c>
      <c r="K68" s="15">
        <v>1</v>
      </c>
      <c r="L68" s="15">
        <v>0</v>
      </c>
      <c r="M68" s="15">
        <v>0</v>
      </c>
      <c r="N68" s="15">
        <v>0</v>
      </c>
      <c r="O68" s="15">
        <v>0</v>
      </c>
      <c r="P68" s="15">
        <v>0</v>
      </c>
      <c r="Q68" s="15">
        <v>0</v>
      </c>
      <c r="R68" s="15">
        <v>0</v>
      </c>
      <c r="S68" s="15">
        <v>0</v>
      </c>
      <c r="T68" s="15">
        <v>0</v>
      </c>
      <c r="U68" s="15">
        <v>0</v>
      </c>
      <c r="V68" s="15">
        <v>0</v>
      </c>
      <c r="W68" s="15">
        <v>0</v>
      </c>
      <c r="X68" s="15">
        <v>0</v>
      </c>
      <c r="Y68" s="15">
        <v>0</v>
      </c>
      <c r="Z68" s="15">
        <v>0</v>
      </c>
      <c r="AA68" s="15">
        <v>0</v>
      </c>
      <c r="AB68" s="15">
        <v>0</v>
      </c>
      <c r="AC68" s="15">
        <v>0</v>
      </c>
      <c r="AD68" s="15">
        <v>0</v>
      </c>
      <c r="AE68" s="15">
        <v>0</v>
      </c>
      <c r="AF68" s="15">
        <v>0</v>
      </c>
      <c r="AG68" s="15">
        <v>0</v>
      </c>
      <c r="AH68" s="15">
        <v>0</v>
      </c>
      <c r="AI68" s="15">
        <v>0</v>
      </c>
      <c r="AJ68" s="15">
        <v>0</v>
      </c>
      <c r="AK68" s="15">
        <v>0</v>
      </c>
      <c r="AL68" s="15">
        <v>0</v>
      </c>
      <c r="AM68" s="15">
        <v>0</v>
      </c>
      <c r="AN68" s="15">
        <v>0</v>
      </c>
      <c r="AO68" s="15">
        <v>0</v>
      </c>
      <c r="AP68" s="15">
        <v>0</v>
      </c>
      <c r="AQ68" s="15">
        <v>0</v>
      </c>
      <c r="AR68" s="15">
        <v>0</v>
      </c>
      <c r="AS68" s="15">
        <v>0</v>
      </c>
      <c r="AT68" s="15">
        <v>0</v>
      </c>
      <c r="AU68" s="15">
        <v>0</v>
      </c>
      <c r="AV68" s="15">
        <v>0</v>
      </c>
      <c r="AW68" s="15">
        <v>0</v>
      </c>
      <c r="AX68" s="15">
        <v>0</v>
      </c>
      <c r="AY68" s="15">
        <v>0</v>
      </c>
      <c r="AZ68" s="15">
        <v>0</v>
      </c>
      <c r="BA68" s="15">
        <v>0</v>
      </c>
      <c r="BB68" s="15">
        <v>0</v>
      </c>
      <c r="BC68" s="15">
        <v>0</v>
      </c>
      <c r="BD68" s="15">
        <v>0</v>
      </c>
    </row>
    <row r="69" spans="1:56" x14ac:dyDescent="0.35">
      <c r="A69" s="14" t="s">
        <v>63</v>
      </c>
      <c r="B69" s="15">
        <v>8</v>
      </c>
      <c r="C69" s="16">
        <v>30.491290925029539</v>
      </c>
      <c r="D69" s="15">
        <v>0</v>
      </c>
      <c r="E69" s="15">
        <v>0</v>
      </c>
      <c r="F69" s="15">
        <v>0</v>
      </c>
      <c r="G69" s="15">
        <v>0</v>
      </c>
      <c r="H69" s="15">
        <v>0</v>
      </c>
      <c r="I69" s="15">
        <v>0</v>
      </c>
      <c r="J69" s="15">
        <v>0</v>
      </c>
      <c r="K69" s="15">
        <v>0</v>
      </c>
      <c r="L69" s="15">
        <v>0</v>
      </c>
      <c r="M69" s="15">
        <v>0</v>
      </c>
      <c r="N69" s="15">
        <v>0</v>
      </c>
      <c r="O69" s="15">
        <v>0</v>
      </c>
      <c r="P69" s="15">
        <v>0</v>
      </c>
      <c r="Q69" s="15">
        <v>0</v>
      </c>
      <c r="R69" s="15">
        <v>0</v>
      </c>
      <c r="S69" s="15">
        <v>0</v>
      </c>
      <c r="T69" s="15">
        <v>0</v>
      </c>
      <c r="U69" s="15">
        <v>0</v>
      </c>
      <c r="V69" s="15">
        <v>0</v>
      </c>
      <c r="W69" s="15">
        <v>0</v>
      </c>
      <c r="X69" s="15">
        <v>0</v>
      </c>
      <c r="Y69" s="15">
        <v>1</v>
      </c>
      <c r="Z69" s="15">
        <v>0</v>
      </c>
      <c r="AA69" s="15">
        <v>0</v>
      </c>
      <c r="AB69" s="15">
        <v>0</v>
      </c>
      <c r="AC69" s="15">
        <v>0</v>
      </c>
      <c r="AD69" s="15">
        <v>0</v>
      </c>
      <c r="AE69" s="15">
        <v>0</v>
      </c>
      <c r="AF69" s="15">
        <v>0</v>
      </c>
      <c r="AG69" s="15">
        <v>0</v>
      </c>
      <c r="AH69" s="15">
        <v>0</v>
      </c>
      <c r="AI69" s="15">
        <v>0</v>
      </c>
      <c r="AJ69" s="15">
        <v>1</v>
      </c>
      <c r="AK69" s="15">
        <v>0</v>
      </c>
      <c r="AL69" s="15">
        <v>0</v>
      </c>
      <c r="AM69" s="15">
        <v>1</v>
      </c>
      <c r="AN69" s="15">
        <v>0</v>
      </c>
      <c r="AO69" s="15">
        <v>1</v>
      </c>
      <c r="AP69" s="15">
        <v>1</v>
      </c>
      <c r="AQ69" s="15">
        <v>0</v>
      </c>
      <c r="AR69" s="15">
        <v>0</v>
      </c>
      <c r="AS69" s="15">
        <v>0</v>
      </c>
      <c r="AT69" s="15">
        <v>0</v>
      </c>
      <c r="AU69" s="15">
        <v>0</v>
      </c>
      <c r="AV69" s="15">
        <v>0</v>
      </c>
      <c r="AW69" s="15">
        <v>0</v>
      </c>
      <c r="AX69" s="15">
        <v>0</v>
      </c>
      <c r="AY69" s="15">
        <v>0</v>
      </c>
      <c r="AZ69" s="15">
        <v>1</v>
      </c>
      <c r="BA69" s="15">
        <v>1</v>
      </c>
      <c r="BB69" s="15">
        <v>0</v>
      </c>
      <c r="BC69" s="15">
        <v>1</v>
      </c>
      <c r="BD69" s="15">
        <v>0</v>
      </c>
    </row>
    <row r="70" spans="1:56" x14ac:dyDescent="0.35">
      <c r="A70" s="14" t="s">
        <v>64</v>
      </c>
      <c r="B70" s="15">
        <v>8</v>
      </c>
      <c r="C70" s="16">
        <v>32.516359793521119</v>
      </c>
      <c r="D70" s="15">
        <v>0</v>
      </c>
      <c r="E70" s="15">
        <v>0</v>
      </c>
      <c r="F70" s="15">
        <v>0</v>
      </c>
      <c r="G70" s="15">
        <v>0</v>
      </c>
      <c r="H70" s="15">
        <v>0</v>
      </c>
      <c r="I70" s="15">
        <v>0</v>
      </c>
      <c r="J70" s="15">
        <v>0</v>
      </c>
      <c r="K70" s="15">
        <v>0</v>
      </c>
      <c r="L70" s="15">
        <v>0</v>
      </c>
      <c r="M70" s="15">
        <v>0</v>
      </c>
      <c r="N70" s="15">
        <v>0</v>
      </c>
      <c r="O70" s="15">
        <v>0</v>
      </c>
      <c r="P70" s="15">
        <v>0</v>
      </c>
      <c r="Q70" s="15">
        <v>0</v>
      </c>
      <c r="R70" s="15">
        <v>0</v>
      </c>
      <c r="S70" s="15">
        <v>0</v>
      </c>
      <c r="T70" s="15">
        <v>0</v>
      </c>
      <c r="U70" s="15">
        <v>1</v>
      </c>
      <c r="V70" s="15">
        <v>0</v>
      </c>
      <c r="W70" s="15">
        <v>0</v>
      </c>
      <c r="X70" s="15">
        <v>0</v>
      </c>
      <c r="Y70" s="15">
        <v>0</v>
      </c>
      <c r="Z70" s="15">
        <v>0</v>
      </c>
      <c r="AA70" s="15">
        <v>0</v>
      </c>
      <c r="AB70" s="15">
        <v>0</v>
      </c>
      <c r="AC70" s="15">
        <v>0</v>
      </c>
      <c r="AD70" s="15">
        <v>0</v>
      </c>
      <c r="AE70" s="15">
        <v>0</v>
      </c>
      <c r="AF70" s="15">
        <v>0</v>
      </c>
      <c r="AG70" s="15">
        <v>1</v>
      </c>
      <c r="AH70" s="15">
        <v>1</v>
      </c>
      <c r="AI70" s="15">
        <v>1</v>
      </c>
      <c r="AJ70" s="15">
        <v>0</v>
      </c>
      <c r="AK70" s="15">
        <v>1</v>
      </c>
      <c r="AL70" s="15">
        <v>0</v>
      </c>
      <c r="AM70" s="15">
        <v>1</v>
      </c>
      <c r="AN70" s="15">
        <v>0</v>
      </c>
      <c r="AO70" s="15">
        <v>0</v>
      </c>
      <c r="AP70" s="15">
        <v>0</v>
      </c>
      <c r="AQ70" s="15">
        <v>0</v>
      </c>
      <c r="AR70" s="15">
        <v>0</v>
      </c>
      <c r="AS70" s="15">
        <v>0</v>
      </c>
      <c r="AT70" s="15">
        <v>0</v>
      </c>
      <c r="AU70" s="15">
        <v>0</v>
      </c>
      <c r="AV70" s="15">
        <v>0</v>
      </c>
      <c r="AW70" s="15">
        <v>0</v>
      </c>
      <c r="AX70" s="15">
        <v>0</v>
      </c>
      <c r="AY70" s="15">
        <v>0</v>
      </c>
      <c r="AZ70" s="15">
        <v>1</v>
      </c>
      <c r="BA70" s="15">
        <v>1</v>
      </c>
      <c r="BB70" s="15">
        <v>0</v>
      </c>
      <c r="BC70" s="15">
        <v>0</v>
      </c>
      <c r="BD70" s="15">
        <v>0</v>
      </c>
    </row>
    <row r="71" spans="1:56" x14ac:dyDescent="0.35">
      <c r="A71" s="14" t="s">
        <v>65</v>
      </c>
      <c r="B71" s="15">
        <v>7</v>
      </c>
      <c r="C71" s="16">
        <v>22.58064516129032</v>
      </c>
      <c r="D71" s="15">
        <v>0</v>
      </c>
      <c r="E71" s="15">
        <v>0</v>
      </c>
      <c r="F71" s="15">
        <v>0</v>
      </c>
      <c r="G71" s="15">
        <v>0</v>
      </c>
      <c r="H71" s="15">
        <v>0</v>
      </c>
      <c r="I71" s="15">
        <v>0</v>
      </c>
      <c r="J71" s="15">
        <v>0</v>
      </c>
      <c r="K71" s="15">
        <v>0</v>
      </c>
      <c r="L71" s="15">
        <v>0</v>
      </c>
      <c r="M71" s="15">
        <v>0</v>
      </c>
      <c r="N71" s="15">
        <v>0</v>
      </c>
      <c r="O71" s="15">
        <v>0</v>
      </c>
      <c r="P71" s="15">
        <v>0</v>
      </c>
      <c r="Q71" s="15">
        <v>0</v>
      </c>
      <c r="R71" s="15">
        <v>0</v>
      </c>
      <c r="S71" s="15">
        <v>0</v>
      </c>
      <c r="T71" s="15">
        <v>0</v>
      </c>
      <c r="U71" s="15">
        <v>0</v>
      </c>
      <c r="V71" s="15">
        <v>0</v>
      </c>
      <c r="W71" s="15">
        <v>0</v>
      </c>
      <c r="X71" s="15">
        <v>0</v>
      </c>
      <c r="Y71" s="15">
        <v>0</v>
      </c>
      <c r="Z71" s="15">
        <v>0</v>
      </c>
      <c r="AA71" s="15">
        <v>0</v>
      </c>
      <c r="AB71" s="15">
        <v>0</v>
      </c>
      <c r="AC71" s="15">
        <v>0</v>
      </c>
      <c r="AD71" s="15">
        <v>1</v>
      </c>
      <c r="AE71" s="15">
        <v>0</v>
      </c>
      <c r="AF71" s="15">
        <v>0</v>
      </c>
      <c r="AG71" s="15">
        <v>1</v>
      </c>
      <c r="AH71" s="15">
        <v>0</v>
      </c>
      <c r="AI71" s="15">
        <v>0</v>
      </c>
      <c r="AJ71" s="15">
        <v>0</v>
      </c>
      <c r="AK71" s="15">
        <v>1</v>
      </c>
      <c r="AL71" s="15">
        <v>0</v>
      </c>
      <c r="AM71" s="15">
        <v>1</v>
      </c>
      <c r="AN71" s="15">
        <v>0</v>
      </c>
      <c r="AO71" s="15">
        <v>0</v>
      </c>
      <c r="AP71" s="15">
        <v>1</v>
      </c>
      <c r="AQ71" s="15">
        <v>0</v>
      </c>
      <c r="AR71" s="15">
        <v>0</v>
      </c>
      <c r="AS71" s="15">
        <v>0</v>
      </c>
      <c r="AT71" s="15">
        <v>0</v>
      </c>
      <c r="AU71" s="15">
        <v>0</v>
      </c>
      <c r="AV71" s="15">
        <v>1</v>
      </c>
      <c r="AW71" s="15">
        <v>0</v>
      </c>
      <c r="AX71" s="15">
        <v>0</v>
      </c>
      <c r="AY71" s="15">
        <v>0</v>
      </c>
      <c r="AZ71" s="15">
        <v>1</v>
      </c>
      <c r="BA71" s="15">
        <v>0</v>
      </c>
      <c r="BB71" s="15">
        <v>0</v>
      </c>
      <c r="BC71" s="15">
        <v>0</v>
      </c>
      <c r="BD71" s="15">
        <v>0</v>
      </c>
    </row>
    <row r="72" spans="1:56" x14ac:dyDescent="0.35">
      <c r="A72" s="14" t="s">
        <v>66</v>
      </c>
      <c r="B72" s="15">
        <v>1806</v>
      </c>
      <c r="C72" s="16">
        <v>2232.523641757834</v>
      </c>
      <c r="D72" s="15">
        <v>2</v>
      </c>
      <c r="E72" s="15">
        <v>5</v>
      </c>
      <c r="F72" s="15">
        <v>1</v>
      </c>
      <c r="G72" s="15">
        <v>3</v>
      </c>
      <c r="H72" s="15">
        <v>5</v>
      </c>
      <c r="I72" s="15">
        <v>4</v>
      </c>
      <c r="J72" s="15">
        <v>11</v>
      </c>
      <c r="K72" s="15">
        <v>6</v>
      </c>
      <c r="L72" s="15">
        <v>22</v>
      </c>
      <c r="M72" s="15">
        <v>11</v>
      </c>
      <c r="N72" s="15">
        <v>11</v>
      </c>
      <c r="O72" s="15">
        <v>7</v>
      </c>
      <c r="P72" s="15">
        <v>7</v>
      </c>
      <c r="Q72" s="15">
        <v>8</v>
      </c>
      <c r="R72" s="15">
        <v>11</v>
      </c>
      <c r="S72" s="15">
        <v>4</v>
      </c>
      <c r="T72" s="15">
        <v>25</v>
      </c>
      <c r="U72" s="15">
        <v>21</v>
      </c>
      <c r="V72" s="15">
        <v>46</v>
      </c>
      <c r="W72" s="15">
        <v>67</v>
      </c>
      <c r="X72" s="15">
        <v>87</v>
      </c>
      <c r="Y72" s="15">
        <v>72</v>
      </c>
      <c r="Z72" s="15">
        <v>93</v>
      </c>
      <c r="AA72" s="15">
        <v>101</v>
      </c>
      <c r="AB72" s="15">
        <v>104</v>
      </c>
      <c r="AC72" s="15">
        <v>101</v>
      </c>
      <c r="AD72" s="15">
        <v>75</v>
      </c>
      <c r="AE72" s="15">
        <v>90</v>
      </c>
      <c r="AF72" s="15">
        <v>91</v>
      </c>
      <c r="AG72" s="15">
        <v>104</v>
      </c>
      <c r="AH72" s="15">
        <v>93</v>
      </c>
      <c r="AI72" s="15">
        <v>78</v>
      </c>
      <c r="AJ72" s="15">
        <v>51</v>
      </c>
      <c r="AK72" s="15">
        <v>54</v>
      </c>
      <c r="AL72" s="15">
        <v>32</v>
      </c>
      <c r="AM72" s="15">
        <v>32</v>
      </c>
      <c r="AN72" s="15">
        <v>29</v>
      </c>
      <c r="AO72" s="15">
        <v>19</v>
      </c>
      <c r="AP72" s="15">
        <v>15</v>
      </c>
      <c r="AQ72" s="15">
        <v>19</v>
      </c>
      <c r="AR72" s="15">
        <v>16</v>
      </c>
      <c r="AS72" s="15">
        <v>12</v>
      </c>
      <c r="AT72" s="15">
        <v>18</v>
      </c>
      <c r="AU72" s="15">
        <v>10</v>
      </c>
      <c r="AV72" s="15">
        <v>24</v>
      </c>
      <c r="AW72" s="15">
        <v>30</v>
      </c>
      <c r="AX72" s="15">
        <v>19</v>
      </c>
      <c r="AY72" s="15">
        <v>20</v>
      </c>
      <c r="AZ72" s="15">
        <v>11</v>
      </c>
      <c r="BA72" s="15">
        <v>11</v>
      </c>
      <c r="BB72" s="15">
        <v>14</v>
      </c>
      <c r="BC72" s="15">
        <v>4</v>
      </c>
      <c r="BD72" s="15">
        <v>0</v>
      </c>
    </row>
    <row r="73" spans="1:56" x14ac:dyDescent="0.35">
      <c r="A73" s="14"/>
      <c r="B73" s="12"/>
      <c r="C73" s="13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</row>
    <row r="74" spans="1:56" x14ac:dyDescent="0.35">
      <c r="A74" s="1" t="s">
        <v>67</v>
      </c>
      <c r="B74" s="10">
        <v>798</v>
      </c>
      <c r="C74" s="11">
        <v>205.46516747470952</v>
      </c>
      <c r="D74" s="10">
        <v>3</v>
      </c>
      <c r="E74" s="10">
        <v>4</v>
      </c>
      <c r="F74" s="10">
        <v>7</v>
      </c>
      <c r="G74" s="10">
        <v>3</v>
      </c>
      <c r="H74" s="10">
        <v>1</v>
      </c>
      <c r="I74" s="10">
        <v>2</v>
      </c>
      <c r="J74" s="10">
        <v>4</v>
      </c>
      <c r="K74" s="10">
        <v>6</v>
      </c>
      <c r="L74" s="10">
        <v>3</v>
      </c>
      <c r="M74" s="10">
        <v>1</v>
      </c>
      <c r="N74" s="10">
        <v>2</v>
      </c>
      <c r="O74" s="10">
        <v>4</v>
      </c>
      <c r="P74" s="10">
        <v>3</v>
      </c>
      <c r="Q74" s="10">
        <v>3</v>
      </c>
      <c r="R74" s="10">
        <v>1</v>
      </c>
      <c r="S74" s="10">
        <v>2</v>
      </c>
      <c r="T74" s="10">
        <v>3</v>
      </c>
      <c r="U74" s="10">
        <v>4</v>
      </c>
      <c r="V74" s="10">
        <v>3</v>
      </c>
      <c r="W74" s="10">
        <v>0</v>
      </c>
      <c r="X74" s="10">
        <v>5</v>
      </c>
      <c r="Y74" s="10">
        <v>4</v>
      </c>
      <c r="Z74" s="10">
        <v>16</v>
      </c>
      <c r="AA74" s="10">
        <v>8</v>
      </c>
      <c r="AB74" s="10">
        <v>11</v>
      </c>
      <c r="AC74" s="10">
        <v>5</v>
      </c>
      <c r="AD74" s="10">
        <v>13</v>
      </c>
      <c r="AE74" s="10">
        <v>5</v>
      </c>
      <c r="AF74" s="10">
        <v>4</v>
      </c>
      <c r="AG74" s="10">
        <v>6</v>
      </c>
      <c r="AH74" s="10">
        <v>10</v>
      </c>
      <c r="AI74" s="10">
        <v>8</v>
      </c>
      <c r="AJ74" s="10">
        <v>9</v>
      </c>
      <c r="AK74" s="10">
        <v>8</v>
      </c>
      <c r="AL74" s="10">
        <v>17</v>
      </c>
      <c r="AM74" s="10">
        <v>27</v>
      </c>
      <c r="AN74" s="10">
        <v>20</v>
      </c>
      <c r="AO74" s="10">
        <v>33</v>
      </c>
      <c r="AP74" s="10">
        <v>37</v>
      </c>
      <c r="AQ74" s="10">
        <v>29</v>
      </c>
      <c r="AR74" s="10">
        <v>34</v>
      </c>
      <c r="AS74" s="10">
        <v>56</v>
      </c>
      <c r="AT74" s="10">
        <v>55</v>
      </c>
      <c r="AU74" s="10">
        <v>48</v>
      </c>
      <c r="AV74" s="10">
        <v>44</v>
      </c>
      <c r="AW74" s="10">
        <v>41</v>
      </c>
      <c r="AX74" s="10">
        <v>51</v>
      </c>
      <c r="AY74" s="10">
        <v>37</v>
      </c>
      <c r="AZ74" s="10">
        <v>38</v>
      </c>
      <c r="BA74" s="10">
        <v>24</v>
      </c>
      <c r="BB74" s="10">
        <v>24</v>
      </c>
      <c r="BC74" s="10">
        <v>12</v>
      </c>
      <c r="BD74" s="10">
        <v>0</v>
      </c>
    </row>
    <row r="75" spans="1:56" x14ac:dyDescent="0.35">
      <c r="A75" s="14" t="s">
        <v>68</v>
      </c>
      <c r="B75" s="15">
        <v>43</v>
      </c>
      <c r="C75" s="16">
        <v>56.848228450555261</v>
      </c>
      <c r="D75" s="15">
        <v>0</v>
      </c>
      <c r="E75" s="15">
        <v>0</v>
      </c>
      <c r="F75" s="15">
        <v>0</v>
      </c>
      <c r="G75" s="15">
        <v>0</v>
      </c>
      <c r="H75" s="15">
        <v>0</v>
      </c>
      <c r="I75" s="15">
        <v>0</v>
      </c>
      <c r="J75" s="15">
        <v>2</v>
      </c>
      <c r="K75" s="15">
        <v>2</v>
      </c>
      <c r="L75" s="15">
        <v>1</v>
      </c>
      <c r="M75" s="15">
        <v>0</v>
      </c>
      <c r="N75" s="15">
        <v>0</v>
      </c>
      <c r="O75" s="15">
        <v>0</v>
      </c>
      <c r="P75" s="15">
        <v>1</v>
      </c>
      <c r="Q75" s="15">
        <v>1</v>
      </c>
      <c r="R75" s="15">
        <v>0</v>
      </c>
      <c r="S75" s="15">
        <v>0</v>
      </c>
      <c r="T75" s="15">
        <v>0</v>
      </c>
      <c r="U75" s="15">
        <v>0</v>
      </c>
      <c r="V75" s="15">
        <v>1</v>
      </c>
      <c r="W75" s="15">
        <v>0</v>
      </c>
      <c r="X75" s="15">
        <v>1</v>
      </c>
      <c r="Y75" s="15">
        <v>0</v>
      </c>
      <c r="Z75" s="15">
        <v>0</v>
      </c>
      <c r="AA75" s="15">
        <v>0</v>
      </c>
      <c r="AB75" s="15">
        <v>0</v>
      </c>
      <c r="AC75" s="15">
        <v>0</v>
      </c>
      <c r="AD75" s="15">
        <v>0</v>
      </c>
      <c r="AE75" s="15">
        <v>1</v>
      </c>
      <c r="AF75" s="15">
        <v>0</v>
      </c>
      <c r="AG75" s="15">
        <v>1</v>
      </c>
      <c r="AH75" s="15">
        <v>3</v>
      </c>
      <c r="AI75" s="15">
        <v>0</v>
      </c>
      <c r="AJ75" s="15">
        <v>0</v>
      </c>
      <c r="AK75" s="15">
        <v>1</v>
      </c>
      <c r="AL75" s="15">
        <v>0</v>
      </c>
      <c r="AM75" s="15">
        <v>0</v>
      </c>
      <c r="AN75" s="15">
        <v>2</v>
      </c>
      <c r="AO75" s="15">
        <v>0</v>
      </c>
      <c r="AP75" s="15">
        <v>0</v>
      </c>
      <c r="AQ75" s="15">
        <v>3</v>
      </c>
      <c r="AR75" s="15">
        <v>0</v>
      </c>
      <c r="AS75" s="15">
        <v>1</v>
      </c>
      <c r="AT75" s="15">
        <v>6</v>
      </c>
      <c r="AU75" s="15">
        <v>2</v>
      </c>
      <c r="AV75" s="15">
        <v>1</v>
      </c>
      <c r="AW75" s="15">
        <v>2</v>
      </c>
      <c r="AX75" s="15">
        <v>6</v>
      </c>
      <c r="AY75" s="15">
        <v>2</v>
      </c>
      <c r="AZ75" s="15">
        <v>1</v>
      </c>
      <c r="BA75" s="15">
        <v>2</v>
      </c>
      <c r="BB75" s="15">
        <v>0</v>
      </c>
      <c r="BC75" s="15">
        <v>0</v>
      </c>
      <c r="BD75" s="15">
        <v>0</v>
      </c>
    </row>
    <row r="76" spans="1:56" x14ac:dyDescent="0.35">
      <c r="A76" s="14" t="s">
        <v>69</v>
      </c>
      <c r="B76" s="15">
        <v>77</v>
      </c>
      <c r="C76" s="16">
        <v>137.3699891174424</v>
      </c>
      <c r="D76" s="15">
        <v>1</v>
      </c>
      <c r="E76" s="15">
        <v>1</v>
      </c>
      <c r="F76" s="15">
        <v>3</v>
      </c>
      <c r="G76" s="15">
        <v>1</v>
      </c>
      <c r="H76" s="15">
        <v>0</v>
      </c>
      <c r="I76" s="15">
        <v>1</v>
      </c>
      <c r="J76" s="15">
        <v>1</v>
      </c>
      <c r="K76" s="15">
        <v>3</v>
      </c>
      <c r="L76" s="15">
        <v>0</v>
      </c>
      <c r="M76" s="15">
        <v>1</v>
      </c>
      <c r="N76" s="15">
        <v>0</v>
      </c>
      <c r="O76" s="15">
        <v>1</v>
      </c>
      <c r="P76" s="15">
        <v>0</v>
      </c>
      <c r="Q76" s="15">
        <v>0</v>
      </c>
      <c r="R76" s="15">
        <v>0</v>
      </c>
      <c r="S76" s="15">
        <v>1</v>
      </c>
      <c r="T76" s="15">
        <v>1</v>
      </c>
      <c r="U76" s="15">
        <v>0</v>
      </c>
      <c r="V76" s="15">
        <v>0</v>
      </c>
      <c r="W76" s="15">
        <v>0</v>
      </c>
      <c r="X76" s="15">
        <v>0</v>
      </c>
      <c r="Y76" s="15">
        <v>1</v>
      </c>
      <c r="Z76" s="15">
        <v>3</v>
      </c>
      <c r="AA76" s="15">
        <v>0</v>
      </c>
      <c r="AB76" s="15">
        <v>1</v>
      </c>
      <c r="AC76" s="15">
        <v>1</v>
      </c>
      <c r="AD76" s="15">
        <v>3</v>
      </c>
      <c r="AE76" s="15">
        <v>1</v>
      </c>
      <c r="AF76" s="15">
        <v>1</v>
      </c>
      <c r="AG76" s="15">
        <v>1</v>
      </c>
      <c r="AH76" s="15">
        <v>1</v>
      </c>
      <c r="AI76" s="15">
        <v>1</v>
      </c>
      <c r="AJ76" s="15">
        <v>0</v>
      </c>
      <c r="AK76" s="15">
        <v>0</v>
      </c>
      <c r="AL76" s="15">
        <v>1</v>
      </c>
      <c r="AM76" s="15">
        <v>2</v>
      </c>
      <c r="AN76" s="15">
        <v>1</v>
      </c>
      <c r="AO76" s="15">
        <v>2</v>
      </c>
      <c r="AP76" s="15">
        <v>4</v>
      </c>
      <c r="AQ76" s="15">
        <v>4</v>
      </c>
      <c r="AR76" s="15">
        <v>2</v>
      </c>
      <c r="AS76" s="15">
        <v>1</v>
      </c>
      <c r="AT76" s="15">
        <v>1</v>
      </c>
      <c r="AU76" s="15">
        <v>4</v>
      </c>
      <c r="AV76" s="15">
        <v>1</v>
      </c>
      <c r="AW76" s="15">
        <v>4</v>
      </c>
      <c r="AX76" s="15">
        <v>3</v>
      </c>
      <c r="AY76" s="15">
        <v>2</v>
      </c>
      <c r="AZ76" s="15">
        <v>4</v>
      </c>
      <c r="BA76" s="15">
        <v>9</v>
      </c>
      <c r="BB76" s="15">
        <v>2</v>
      </c>
      <c r="BC76" s="15">
        <v>1</v>
      </c>
      <c r="BD76" s="15">
        <v>0</v>
      </c>
    </row>
    <row r="77" spans="1:56" x14ac:dyDescent="0.35">
      <c r="A77" s="14" t="s">
        <v>70</v>
      </c>
      <c r="B77" s="15">
        <v>89</v>
      </c>
      <c r="C77" s="16">
        <v>131.34980371321467</v>
      </c>
      <c r="D77" s="15">
        <v>0</v>
      </c>
      <c r="E77" s="15">
        <v>0</v>
      </c>
      <c r="F77" s="15">
        <v>0</v>
      </c>
      <c r="G77" s="15">
        <v>0</v>
      </c>
      <c r="H77" s="15">
        <v>1</v>
      </c>
      <c r="I77" s="15">
        <v>0</v>
      </c>
      <c r="J77" s="15">
        <v>0</v>
      </c>
      <c r="K77" s="15">
        <v>1</v>
      </c>
      <c r="L77" s="15">
        <v>0</v>
      </c>
      <c r="M77" s="15">
        <v>0</v>
      </c>
      <c r="N77" s="15">
        <v>0</v>
      </c>
      <c r="O77" s="15">
        <v>1</v>
      </c>
      <c r="P77" s="15">
        <v>0</v>
      </c>
      <c r="Q77" s="15">
        <v>0</v>
      </c>
      <c r="R77" s="15">
        <v>0</v>
      </c>
      <c r="S77" s="15">
        <v>0</v>
      </c>
      <c r="T77" s="15">
        <v>0</v>
      </c>
      <c r="U77" s="15">
        <v>0</v>
      </c>
      <c r="V77" s="15">
        <v>1</v>
      </c>
      <c r="W77" s="15">
        <v>0</v>
      </c>
      <c r="X77" s="15">
        <v>2</v>
      </c>
      <c r="Y77" s="15">
        <v>0</v>
      </c>
      <c r="Z77" s="15">
        <v>9</v>
      </c>
      <c r="AA77" s="15">
        <v>4</v>
      </c>
      <c r="AB77" s="15">
        <v>2</v>
      </c>
      <c r="AC77" s="15">
        <v>0</v>
      </c>
      <c r="AD77" s="15">
        <v>4</v>
      </c>
      <c r="AE77" s="15">
        <v>0</v>
      </c>
      <c r="AF77" s="15">
        <v>0</v>
      </c>
      <c r="AG77" s="15">
        <v>0</v>
      </c>
      <c r="AH77" s="15">
        <v>1</v>
      </c>
      <c r="AI77" s="15">
        <v>2</v>
      </c>
      <c r="AJ77" s="15">
        <v>2</v>
      </c>
      <c r="AK77" s="15">
        <v>1</v>
      </c>
      <c r="AL77" s="15">
        <v>1</v>
      </c>
      <c r="AM77" s="15">
        <v>1</v>
      </c>
      <c r="AN77" s="15">
        <v>2</v>
      </c>
      <c r="AO77" s="15">
        <v>4</v>
      </c>
      <c r="AP77" s="15">
        <v>6</v>
      </c>
      <c r="AQ77" s="15">
        <v>5</v>
      </c>
      <c r="AR77" s="15">
        <v>4</v>
      </c>
      <c r="AS77" s="15">
        <v>3</v>
      </c>
      <c r="AT77" s="15">
        <v>4</v>
      </c>
      <c r="AU77" s="15">
        <v>6</v>
      </c>
      <c r="AV77" s="15">
        <v>5</v>
      </c>
      <c r="AW77" s="15">
        <v>2</v>
      </c>
      <c r="AX77" s="15">
        <v>3</v>
      </c>
      <c r="AY77" s="15">
        <v>7</v>
      </c>
      <c r="AZ77" s="15">
        <v>3</v>
      </c>
      <c r="BA77" s="15">
        <v>1</v>
      </c>
      <c r="BB77" s="15">
        <v>1</v>
      </c>
      <c r="BC77" s="15">
        <v>0</v>
      </c>
      <c r="BD77" s="15">
        <v>0</v>
      </c>
    </row>
    <row r="78" spans="1:56" x14ac:dyDescent="0.35">
      <c r="A78" s="14" t="s">
        <v>71</v>
      </c>
      <c r="B78" s="15">
        <v>9</v>
      </c>
      <c r="C78" s="16">
        <v>37.856481870951455</v>
      </c>
      <c r="D78" s="15">
        <v>0</v>
      </c>
      <c r="E78" s="15">
        <v>0</v>
      </c>
      <c r="F78" s="15">
        <v>0</v>
      </c>
      <c r="G78" s="15">
        <v>0</v>
      </c>
      <c r="H78" s="15">
        <v>0</v>
      </c>
      <c r="I78" s="15">
        <v>0</v>
      </c>
      <c r="J78" s="15">
        <v>0</v>
      </c>
      <c r="K78" s="15">
        <v>0</v>
      </c>
      <c r="L78" s="15">
        <v>0</v>
      </c>
      <c r="M78" s="15">
        <v>0</v>
      </c>
      <c r="N78" s="15">
        <v>0</v>
      </c>
      <c r="O78" s="15">
        <v>0</v>
      </c>
      <c r="P78" s="15">
        <v>0</v>
      </c>
      <c r="Q78" s="15">
        <v>0</v>
      </c>
      <c r="R78" s="15">
        <v>0</v>
      </c>
      <c r="S78" s="15">
        <v>0</v>
      </c>
      <c r="T78" s="15">
        <v>0</v>
      </c>
      <c r="U78" s="15">
        <v>0</v>
      </c>
      <c r="V78" s="15">
        <v>0</v>
      </c>
      <c r="W78" s="15">
        <v>0</v>
      </c>
      <c r="X78" s="15">
        <v>0</v>
      </c>
      <c r="Y78" s="15">
        <v>0</v>
      </c>
      <c r="Z78" s="15">
        <v>1</v>
      </c>
      <c r="AA78" s="15">
        <v>1</v>
      </c>
      <c r="AB78" s="15">
        <v>0</v>
      </c>
      <c r="AC78" s="15">
        <v>0</v>
      </c>
      <c r="AD78" s="15">
        <v>1</v>
      </c>
      <c r="AE78" s="15">
        <v>0</v>
      </c>
      <c r="AF78" s="15">
        <v>0</v>
      </c>
      <c r="AG78" s="15">
        <v>0</v>
      </c>
      <c r="AH78" s="15">
        <v>0</v>
      </c>
      <c r="AI78" s="15">
        <v>0</v>
      </c>
      <c r="AJ78" s="15">
        <v>0</v>
      </c>
      <c r="AK78" s="15">
        <v>1</v>
      </c>
      <c r="AL78" s="15">
        <v>0</v>
      </c>
      <c r="AM78" s="15">
        <v>0</v>
      </c>
      <c r="AN78" s="15">
        <v>0</v>
      </c>
      <c r="AO78" s="15">
        <v>1</v>
      </c>
      <c r="AP78" s="15">
        <v>0</v>
      </c>
      <c r="AQ78" s="15">
        <v>0</v>
      </c>
      <c r="AR78" s="15">
        <v>0</v>
      </c>
      <c r="AS78" s="15">
        <v>0</v>
      </c>
      <c r="AT78" s="15">
        <v>0</v>
      </c>
      <c r="AU78" s="15">
        <v>0</v>
      </c>
      <c r="AV78" s="15">
        <v>0</v>
      </c>
      <c r="AW78" s="15">
        <v>0</v>
      </c>
      <c r="AX78" s="15">
        <v>1</v>
      </c>
      <c r="AY78" s="15">
        <v>0</v>
      </c>
      <c r="AZ78" s="15">
        <v>0</v>
      </c>
      <c r="BA78" s="15">
        <v>3</v>
      </c>
      <c r="BB78" s="15">
        <v>0</v>
      </c>
      <c r="BC78" s="15">
        <v>0</v>
      </c>
      <c r="BD78" s="15">
        <v>0</v>
      </c>
    </row>
    <row r="79" spans="1:56" x14ac:dyDescent="0.35">
      <c r="A79" s="14" t="s">
        <v>72</v>
      </c>
      <c r="B79" s="15">
        <v>100</v>
      </c>
      <c r="C79" s="16">
        <v>221.99036561813216</v>
      </c>
      <c r="D79" s="15">
        <v>1</v>
      </c>
      <c r="E79" s="15">
        <v>3</v>
      </c>
      <c r="F79" s="15">
        <v>3</v>
      </c>
      <c r="G79" s="15">
        <v>0</v>
      </c>
      <c r="H79" s="15">
        <v>0</v>
      </c>
      <c r="I79" s="15">
        <v>0</v>
      </c>
      <c r="J79" s="15">
        <v>0</v>
      </c>
      <c r="K79" s="15">
        <v>0</v>
      </c>
      <c r="L79" s="15">
        <v>2</v>
      </c>
      <c r="M79" s="15">
        <v>0</v>
      </c>
      <c r="N79" s="15">
        <v>0</v>
      </c>
      <c r="O79" s="15">
        <v>0</v>
      </c>
      <c r="P79" s="15">
        <v>1</v>
      </c>
      <c r="Q79" s="15">
        <v>0</v>
      </c>
      <c r="R79" s="15">
        <v>0</v>
      </c>
      <c r="S79" s="15">
        <v>0</v>
      </c>
      <c r="T79" s="15">
        <v>1</v>
      </c>
      <c r="U79" s="15">
        <v>1</v>
      </c>
      <c r="V79" s="15">
        <v>1</v>
      </c>
      <c r="W79" s="15">
        <v>0</v>
      </c>
      <c r="X79" s="15">
        <v>2</v>
      </c>
      <c r="Y79" s="15">
        <v>0</v>
      </c>
      <c r="Z79" s="15">
        <v>0</v>
      </c>
      <c r="AA79" s="15">
        <v>1</v>
      </c>
      <c r="AB79" s="15">
        <v>3</v>
      </c>
      <c r="AC79" s="15">
        <v>3</v>
      </c>
      <c r="AD79" s="15">
        <v>3</v>
      </c>
      <c r="AE79" s="15">
        <v>3</v>
      </c>
      <c r="AF79" s="15">
        <v>0</v>
      </c>
      <c r="AG79" s="15">
        <v>1</v>
      </c>
      <c r="AH79" s="15">
        <v>3</v>
      </c>
      <c r="AI79" s="15">
        <v>4</v>
      </c>
      <c r="AJ79" s="15">
        <v>5</v>
      </c>
      <c r="AK79" s="15">
        <v>3</v>
      </c>
      <c r="AL79" s="15">
        <v>5</v>
      </c>
      <c r="AM79" s="15">
        <v>1</v>
      </c>
      <c r="AN79" s="15">
        <v>3</v>
      </c>
      <c r="AO79" s="15">
        <v>3</v>
      </c>
      <c r="AP79" s="15">
        <v>1</v>
      </c>
      <c r="AQ79" s="15">
        <v>0</v>
      </c>
      <c r="AR79" s="15">
        <v>3</v>
      </c>
      <c r="AS79" s="15">
        <v>8</v>
      </c>
      <c r="AT79" s="15">
        <v>8</v>
      </c>
      <c r="AU79" s="15">
        <v>0</v>
      </c>
      <c r="AV79" s="15">
        <v>2</v>
      </c>
      <c r="AW79" s="15">
        <v>8</v>
      </c>
      <c r="AX79" s="15">
        <v>5</v>
      </c>
      <c r="AY79" s="15">
        <v>2</v>
      </c>
      <c r="AZ79" s="15">
        <v>2</v>
      </c>
      <c r="BA79" s="15">
        <v>2</v>
      </c>
      <c r="BB79" s="15">
        <v>1</v>
      </c>
      <c r="BC79" s="15">
        <v>2</v>
      </c>
      <c r="BD79" s="15">
        <v>0</v>
      </c>
    </row>
    <row r="80" spans="1:56" x14ac:dyDescent="0.35">
      <c r="A80" s="14" t="s">
        <v>73</v>
      </c>
      <c r="B80" s="15">
        <v>53</v>
      </c>
      <c r="C80" s="16">
        <v>163.95978344934261</v>
      </c>
      <c r="D80" s="15">
        <v>0</v>
      </c>
      <c r="E80" s="15">
        <v>0</v>
      </c>
      <c r="F80" s="15">
        <v>0</v>
      </c>
      <c r="G80" s="15">
        <v>1</v>
      </c>
      <c r="H80" s="15">
        <v>0</v>
      </c>
      <c r="I80" s="15">
        <v>1</v>
      </c>
      <c r="J80" s="15">
        <v>1</v>
      </c>
      <c r="K80" s="15">
        <v>0</v>
      </c>
      <c r="L80" s="15">
        <v>0</v>
      </c>
      <c r="M80" s="15">
        <v>0</v>
      </c>
      <c r="N80" s="15">
        <v>1</v>
      </c>
      <c r="O80" s="15">
        <v>0</v>
      </c>
      <c r="P80" s="15">
        <v>0</v>
      </c>
      <c r="Q80" s="15">
        <v>1</v>
      </c>
      <c r="R80" s="15">
        <v>0</v>
      </c>
      <c r="S80" s="15">
        <v>1</v>
      </c>
      <c r="T80" s="15">
        <v>0</v>
      </c>
      <c r="U80" s="15">
        <v>1</v>
      </c>
      <c r="V80" s="15">
        <v>0</v>
      </c>
      <c r="W80" s="15">
        <v>0</v>
      </c>
      <c r="X80" s="15">
        <v>0</v>
      </c>
      <c r="Y80" s="15">
        <v>2</v>
      </c>
      <c r="Z80" s="15">
        <v>1</v>
      </c>
      <c r="AA80" s="15">
        <v>0</v>
      </c>
      <c r="AB80" s="15">
        <v>1</v>
      </c>
      <c r="AC80" s="15">
        <v>0</v>
      </c>
      <c r="AD80" s="15">
        <v>0</v>
      </c>
      <c r="AE80" s="15">
        <v>0</v>
      </c>
      <c r="AF80" s="15">
        <v>1</v>
      </c>
      <c r="AG80" s="15">
        <v>0</v>
      </c>
      <c r="AH80" s="15">
        <v>0</v>
      </c>
      <c r="AI80" s="15">
        <v>0</v>
      </c>
      <c r="AJ80" s="15">
        <v>0</v>
      </c>
      <c r="AK80" s="15">
        <v>1</v>
      </c>
      <c r="AL80" s="15">
        <v>0</v>
      </c>
      <c r="AM80" s="15">
        <v>0</v>
      </c>
      <c r="AN80" s="15">
        <v>1</v>
      </c>
      <c r="AO80" s="15">
        <v>0</v>
      </c>
      <c r="AP80" s="15">
        <v>0</v>
      </c>
      <c r="AQ80" s="15">
        <v>1</v>
      </c>
      <c r="AR80" s="15">
        <v>0</v>
      </c>
      <c r="AS80" s="15">
        <v>2</v>
      </c>
      <c r="AT80" s="15">
        <v>4</v>
      </c>
      <c r="AU80" s="15">
        <v>4</v>
      </c>
      <c r="AV80" s="15">
        <v>5</v>
      </c>
      <c r="AW80" s="15">
        <v>1</v>
      </c>
      <c r="AX80" s="15">
        <v>4</v>
      </c>
      <c r="AY80" s="15">
        <v>3</v>
      </c>
      <c r="AZ80" s="15">
        <v>7</v>
      </c>
      <c r="BA80" s="15">
        <v>1</v>
      </c>
      <c r="BB80" s="15">
        <v>4</v>
      </c>
      <c r="BC80" s="15">
        <v>3</v>
      </c>
      <c r="BD80" s="15">
        <v>0</v>
      </c>
    </row>
    <row r="81" spans="1:56" x14ac:dyDescent="0.35">
      <c r="A81" s="14" t="s">
        <v>74</v>
      </c>
      <c r="B81" s="15">
        <v>45</v>
      </c>
      <c r="C81" s="16">
        <v>226.39231272324798</v>
      </c>
      <c r="D81" s="15">
        <v>0</v>
      </c>
      <c r="E81" s="15">
        <v>0</v>
      </c>
      <c r="F81" s="15">
        <v>0</v>
      </c>
      <c r="G81" s="15">
        <v>0</v>
      </c>
      <c r="H81" s="15">
        <v>0</v>
      </c>
      <c r="I81" s="15">
        <v>0</v>
      </c>
      <c r="J81" s="15">
        <v>0</v>
      </c>
      <c r="K81" s="15">
        <v>0</v>
      </c>
      <c r="L81" s="15">
        <v>0</v>
      </c>
      <c r="M81" s="15">
        <v>0</v>
      </c>
      <c r="N81" s="15">
        <v>0</v>
      </c>
      <c r="O81" s="15">
        <v>0</v>
      </c>
      <c r="P81" s="15">
        <v>0</v>
      </c>
      <c r="Q81" s="15">
        <v>0</v>
      </c>
      <c r="R81" s="15">
        <v>0</v>
      </c>
      <c r="S81" s="15">
        <v>0</v>
      </c>
      <c r="T81" s="15">
        <v>0</v>
      </c>
      <c r="U81" s="15">
        <v>0</v>
      </c>
      <c r="V81" s="15">
        <v>0</v>
      </c>
      <c r="W81" s="15">
        <v>0</v>
      </c>
      <c r="X81" s="15">
        <v>0</v>
      </c>
      <c r="Y81" s="15">
        <v>0</v>
      </c>
      <c r="Z81" s="15">
        <v>0</v>
      </c>
      <c r="AA81" s="15">
        <v>0</v>
      </c>
      <c r="AB81" s="15">
        <v>0</v>
      </c>
      <c r="AC81" s="15">
        <v>0</v>
      </c>
      <c r="AD81" s="15">
        <v>0</v>
      </c>
      <c r="AE81" s="15">
        <v>0</v>
      </c>
      <c r="AF81" s="15">
        <v>0</v>
      </c>
      <c r="AG81" s="15">
        <v>0</v>
      </c>
      <c r="AH81" s="15">
        <v>0</v>
      </c>
      <c r="AI81" s="15">
        <v>0</v>
      </c>
      <c r="AJ81" s="15">
        <v>0</v>
      </c>
      <c r="AK81" s="15">
        <v>1</v>
      </c>
      <c r="AL81" s="15">
        <v>1</v>
      </c>
      <c r="AM81" s="15">
        <v>4</v>
      </c>
      <c r="AN81" s="15">
        <v>2</v>
      </c>
      <c r="AO81" s="15">
        <v>3</v>
      </c>
      <c r="AP81" s="15">
        <v>2</v>
      </c>
      <c r="AQ81" s="15">
        <v>2</v>
      </c>
      <c r="AR81" s="15">
        <v>1</v>
      </c>
      <c r="AS81" s="15">
        <v>1</v>
      </c>
      <c r="AT81" s="15">
        <v>3</v>
      </c>
      <c r="AU81" s="15">
        <v>3</v>
      </c>
      <c r="AV81" s="15">
        <v>5</v>
      </c>
      <c r="AW81" s="15">
        <v>4</v>
      </c>
      <c r="AX81" s="15">
        <v>2</v>
      </c>
      <c r="AY81" s="15">
        <v>5</v>
      </c>
      <c r="AZ81" s="15">
        <v>2</v>
      </c>
      <c r="BA81" s="15">
        <v>1</v>
      </c>
      <c r="BB81" s="15">
        <v>1</v>
      </c>
      <c r="BC81" s="15">
        <v>2</v>
      </c>
      <c r="BD81" s="15">
        <v>0</v>
      </c>
    </row>
    <row r="82" spans="1:56" x14ac:dyDescent="0.35">
      <c r="A82" s="14" t="s">
        <v>75</v>
      </c>
      <c r="B82" s="15">
        <v>4</v>
      </c>
      <c r="C82" s="16">
        <v>18.502243397011888</v>
      </c>
      <c r="D82" s="15">
        <v>0</v>
      </c>
      <c r="E82" s="15">
        <v>0</v>
      </c>
      <c r="F82" s="15">
        <v>0</v>
      </c>
      <c r="G82" s="15">
        <v>0</v>
      </c>
      <c r="H82" s="15">
        <v>0</v>
      </c>
      <c r="I82" s="15">
        <v>0</v>
      </c>
      <c r="J82" s="15">
        <v>0</v>
      </c>
      <c r="K82" s="15">
        <v>0</v>
      </c>
      <c r="L82" s="15">
        <v>0</v>
      </c>
      <c r="M82" s="15">
        <v>0</v>
      </c>
      <c r="N82" s="15">
        <v>0</v>
      </c>
      <c r="O82" s="15">
        <v>0</v>
      </c>
      <c r="P82" s="15">
        <v>0</v>
      </c>
      <c r="Q82" s="15">
        <v>0</v>
      </c>
      <c r="R82" s="15">
        <v>0</v>
      </c>
      <c r="S82" s="15">
        <v>0</v>
      </c>
      <c r="T82" s="15">
        <v>0</v>
      </c>
      <c r="U82" s="15">
        <v>0</v>
      </c>
      <c r="V82" s="15">
        <v>0</v>
      </c>
      <c r="W82" s="15">
        <v>0</v>
      </c>
      <c r="X82" s="15">
        <v>0</v>
      </c>
      <c r="Y82" s="15">
        <v>1</v>
      </c>
      <c r="Z82" s="15">
        <v>0</v>
      </c>
      <c r="AA82" s="15">
        <v>1</v>
      </c>
      <c r="AB82" s="15">
        <v>0</v>
      </c>
      <c r="AC82" s="15">
        <v>0</v>
      </c>
      <c r="AD82" s="15">
        <v>0</v>
      </c>
      <c r="AE82" s="15">
        <v>0</v>
      </c>
      <c r="AF82" s="15">
        <v>0</v>
      </c>
      <c r="AG82" s="15">
        <v>0</v>
      </c>
      <c r="AH82" s="15">
        <v>0</v>
      </c>
      <c r="AI82" s="15">
        <v>0</v>
      </c>
      <c r="AJ82" s="15">
        <v>0</v>
      </c>
      <c r="AK82" s="15">
        <v>0</v>
      </c>
      <c r="AL82" s="15">
        <v>1</v>
      </c>
      <c r="AM82" s="15">
        <v>0</v>
      </c>
      <c r="AN82" s="15">
        <v>0</v>
      </c>
      <c r="AO82" s="15">
        <v>0</v>
      </c>
      <c r="AP82" s="15">
        <v>0</v>
      </c>
      <c r="AQ82" s="15">
        <v>0</v>
      </c>
      <c r="AR82" s="15">
        <v>0</v>
      </c>
      <c r="AS82" s="15">
        <v>0</v>
      </c>
      <c r="AT82" s="15">
        <v>0</v>
      </c>
      <c r="AU82" s="15">
        <v>0</v>
      </c>
      <c r="AV82" s="15">
        <v>0</v>
      </c>
      <c r="AW82" s="15">
        <v>0</v>
      </c>
      <c r="AX82" s="15">
        <v>1</v>
      </c>
      <c r="AY82" s="15">
        <v>0</v>
      </c>
      <c r="AZ82" s="15">
        <v>0</v>
      </c>
      <c r="BA82" s="15">
        <v>0</v>
      </c>
      <c r="BB82" s="15">
        <v>0</v>
      </c>
      <c r="BC82" s="15">
        <v>0</v>
      </c>
      <c r="BD82" s="15">
        <v>0</v>
      </c>
    </row>
    <row r="83" spans="1:56" x14ac:dyDescent="0.35">
      <c r="A83" s="14" t="s">
        <v>76</v>
      </c>
      <c r="B83" s="15">
        <v>14</v>
      </c>
      <c r="C83" s="16">
        <v>119.14893617021276</v>
      </c>
      <c r="D83" s="15">
        <v>1</v>
      </c>
      <c r="E83" s="15">
        <v>0</v>
      </c>
      <c r="F83" s="15">
        <v>1</v>
      </c>
      <c r="G83" s="15">
        <v>0</v>
      </c>
      <c r="H83" s="15">
        <v>0</v>
      </c>
      <c r="I83" s="15">
        <v>0</v>
      </c>
      <c r="J83" s="15">
        <v>0</v>
      </c>
      <c r="K83" s="15">
        <v>0</v>
      </c>
      <c r="L83" s="15">
        <v>0</v>
      </c>
      <c r="M83" s="15">
        <v>0</v>
      </c>
      <c r="N83" s="15">
        <v>0</v>
      </c>
      <c r="O83" s="15">
        <v>0</v>
      </c>
      <c r="P83" s="15">
        <v>0</v>
      </c>
      <c r="Q83" s="15">
        <v>1</v>
      </c>
      <c r="R83" s="15">
        <v>0</v>
      </c>
      <c r="S83" s="15">
        <v>0</v>
      </c>
      <c r="T83" s="15">
        <v>0</v>
      </c>
      <c r="U83" s="15">
        <v>0</v>
      </c>
      <c r="V83" s="15">
        <v>0</v>
      </c>
      <c r="W83" s="15">
        <v>0</v>
      </c>
      <c r="X83" s="15">
        <v>0</v>
      </c>
      <c r="Y83" s="15">
        <v>0</v>
      </c>
      <c r="Z83" s="15">
        <v>0</v>
      </c>
      <c r="AA83" s="15">
        <v>0</v>
      </c>
      <c r="AB83" s="15">
        <v>0</v>
      </c>
      <c r="AC83" s="15">
        <v>1</v>
      </c>
      <c r="AD83" s="15">
        <v>1</v>
      </c>
      <c r="AE83" s="15">
        <v>0</v>
      </c>
      <c r="AF83" s="15">
        <v>0</v>
      </c>
      <c r="AG83" s="15">
        <v>0</v>
      </c>
      <c r="AH83" s="15">
        <v>0</v>
      </c>
      <c r="AI83" s="15">
        <v>0</v>
      </c>
      <c r="AJ83" s="15">
        <v>0</v>
      </c>
      <c r="AK83" s="15">
        <v>0</v>
      </c>
      <c r="AL83" s="15">
        <v>0</v>
      </c>
      <c r="AM83" s="15">
        <v>0</v>
      </c>
      <c r="AN83" s="15">
        <v>0</v>
      </c>
      <c r="AO83" s="15">
        <v>0</v>
      </c>
      <c r="AP83" s="15">
        <v>0</v>
      </c>
      <c r="AQ83" s="15">
        <v>0</v>
      </c>
      <c r="AR83" s="15">
        <v>0</v>
      </c>
      <c r="AS83" s="15">
        <v>0</v>
      </c>
      <c r="AT83" s="15">
        <v>0</v>
      </c>
      <c r="AU83" s="15">
        <v>1</v>
      </c>
      <c r="AV83" s="15">
        <v>0</v>
      </c>
      <c r="AW83" s="15">
        <v>1</v>
      </c>
      <c r="AX83" s="15">
        <v>2</v>
      </c>
      <c r="AY83" s="15">
        <v>4</v>
      </c>
      <c r="AZ83" s="15">
        <v>0</v>
      </c>
      <c r="BA83" s="15">
        <v>0</v>
      </c>
      <c r="BB83" s="15">
        <v>0</v>
      </c>
      <c r="BC83" s="15">
        <v>1</v>
      </c>
      <c r="BD83" s="15">
        <v>0</v>
      </c>
    </row>
    <row r="84" spans="1:56" x14ac:dyDescent="0.35">
      <c r="A84" s="14" t="s">
        <v>77</v>
      </c>
      <c r="B84" s="15">
        <v>351</v>
      </c>
      <c r="C84" s="16">
        <v>1319.5984811459077</v>
      </c>
      <c r="D84" s="15">
        <v>0</v>
      </c>
      <c r="E84" s="15">
        <v>0</v>
      </c>
      <c r="F84" s="15">
        <v>0</v>
      </c>
      <c r="G84" s="15">
        <v>1</v>
      </c>
      <c r="H84" s="15">
        <v>0</v>
      </c>
      <c r="I84" s="15">
        <v>0</v>
      </c>
      <c r="J84" s="15">
        <v>0</v>
      </c>
      <c r="K84" s="15">
        <v>0</v>
      </c>
      <c r="L84" s="15">
        <v>0</v>
      </c>
      <c r="M84" s="15">
        <v>0</v>
      </c>
      <c r="N84" s="15">
        <v>1</v>
      </c>
      <c r="O84" s="15">
        <v>2</v>
      </c>
      <c r="P84" s="15">
        <v>1</v>
      </c>
      <c r="Q84" s="15">
        <v>0</v>
      </c>
      <c r="R84" s="15">
        <v>0</v>
      </c>
      <c r="S84" s="15">
        <v>0</v>
      </c>
      <c r="T84" s="15">
        <v>1</v>
      </c>
      <c r="U84" s="15">
        <v>0</v>
      </c>
      <c r="V84" s="15">
        <v>0</v>
      </c>
      <c r="W84" s="15">
        <v>0</v>
      </c>
      <c r="X84" s="15">
        <v>0</v>
      </c>
      <c r="Y84" s="15">
        <v>0</v>
      </c>
      <c r="Z84" s="15">
        <v>1</v>
      </c>
      <c r="AA84" s="15">
        <v>0</v>
      </c>
      <c r="AB84" s="15">
        <v>0</v>
      </c>
      <c r="AC84" s="15">
        <v>0</v>
      </c>
      <c r="AD84" s="15">
        <v>0</v>
      </c>
      <c r="AE84" s="15">
        <v>0</v>
      </c>
      <c r="AF84" s="15">
        <v>2</v>
      </c>
      <c r="AG84" s="15">
        <v>3</v>
      </c>
      <c r="AH84" s="15">
        <v>2</v>
      </c>
      <c r="AI84" s="15">
        <v>1</v>
      </c>
      <c r="AJ84" s="15">
        <v>2</v>
      </c>
      <c r="AK84" s="15">
        <v>0</v>
      </c>
      <c r="AL84" s="15">
        <v>8</v>
      </c>
      <c r="AM84" s="15">
        <v>19</v>
      </c>
      <c r="AN84" s="15">
        <v>9</v>
      </c>
      <c r="AO84" s="15">
        <v>20</v>
      </c>
      <c r="AP84" s="15">
        <v>24</v>
      </c>
      <c r="AQ84" s="15">
        <v>14</v>
      </c>
      <c r="AR84" s="15">
        <v>24</v>
      </c>
      <c r="AS84" s="15">
        <v>40</v>
      </c>
      <c r="AT84" s="15">
        <v>29</v>
      </c>
      <c r="AU84" s="15">
        <v>28</v>
      </c>
      <c r="AV84" s="15">
        <v>25</v>
      </c>
      <c r="AW84" s="15">
        <v>19</v>
      </c>
      <c r="AX84" s="15">
        <v>23</v>
      </c>
      <c r="AY84" s="15">
        <v>12</v>
      </c>
      <c r="AZ84" s="15">
        <v>18</v>
      </c>
      <c r="BA84" s="15">
        <v>5</v>
      </c>
      <c r="BB84" s="15">
        <v>14</v>
      </c>
      <c r="BC84" s="15">
        <v>3</v>
      </c>
      <c r="BD84" s="15">
        <v>0</v>
      </c>
    </row>
    <row r="85" spans="1:56" x14ac:dyDescent="0.35">
      <c r="A85" s="14" t="s">
        <v>78</v>
      </c>
      <c r="B85" s="15">
        <v>13</v>
      </c>
      <c r="C85" s="16">
        <v>163.62492133417243</v>
      </c>
      <c r="D85" s="15">
        <v>0</v>
      </c>
      <c r="E85" s="15">
        <v>0</v>
      </c>
      <c r="F85" s="15">
        <v>0</v>
      </c>
      <c r="G85" s="15">
        <v>0</v>
      </c>
      <c r="H85" s="15">
        <v>0</v>
      </c>
      <c r="I85" s="15">
        <v>0</v>
      </c>
      <c r="J85" s="15">
        <v>0</v>
      </c>
      <c r="K85" s="15">
        <v>0</v>
      </c>
      <c r="L85" s="15">
        <v>0</v>
      </c>
      <c r="M85" s="15">
        <v>0</v>
      </c>
      <c r="N85" s="15">
        <v>0</v>
      </c>
      <c r="O85" s="15">
        <v>0</v>
      </c>
      <c r="P85" s="15">
        <v>0</v>
      </c>
      <c r="Q85" s="15">
        <v>0</v>
      </c>
      <c r="R85" s="15">
        <v>1</v>
      </c>
      <c r="S85" s="15">
        <v>0</v>
      </c>
      <c r="T85" s="15">
        <v>0</v>
      </c>
      <c r="U85" s="15">
        <v>2</v>
      </c>
      <c r="V85" s="15">
        <v>0</v>
      </c>
      <c r="W85" s="15">
        <v>0</v>
      </c>
      <c r="X85" s="15">
        <v>0</v>
      </c>
      <c r="Y85" s="15">
        <v>0</v>
      </c>
      <c r="Z85" s="15">
        <v>1</v>
      </c>
      <c r="AA85" s="15">
        <v>1</v>
      </c>
      <c r="AB85" s="15">
        <v>4</v>
      </c>
      <c r="AC85" s="15">
        <v>0</v>
      </c>
      <c r="AD85" s="15">
        <v>1</v>
      </c>
      <c r="AE85" s="15">
        <v>0</v>
      </c>
      <c r="AF85" s="15">
        <v>0</v>
      </c>
      <c r="AG85" s="15">
        <v>0</v>
      </c>
      <c r="AH85" s="15">
        <v>0</v>
      </c>
      <c r="AI85" s="15">
        <v>0</v>
      </c>
      <c r="AJ85" s="15">
        <v>0</v>
      </c>
      <c r="AK85" s="15">
        <v>0</v>
      </c>
      <c r="AL85" s="15">
        <v>0</v>
      </c>
      <c r="AM85" s="15">
        <v>0</v>
      </c>
      <c r="AN85" s="15">
        <v>0</v>
      </c>
      <c r="AO85" s="15">
        <v>0</v>
      </c>
      <c r="AP85" s="15">
        <v>0</v>
      </c>
      <c r="AQ85" s="15">
        <v>0</v>
      </c>
      <c r="AR85" s="15">
        <v>0</v>
      </c>
      <c r="AS85" s="15">
        <v>0</v>
      </c>
      <c r="AT85" s="15">
        <v>0</v>
      </c>
      <c r="AU85" s="15">
        <v>0</v>
      </c>
      <c r="AV85" s="15">
        <v>0</v>
      </c>
      <c r="AW85" s="15">
        <v>0</v>
      </c>
      <c r="AX85" s="15">
        <v>1</v>
      </c>
      <c r="AY85" s="15">
        <v>0</v>
      </c>
      <c r="AZ85" s="15">
        <v>1</v>
      </c>
      <c r="BA85" s="15">
        <v>0</v>
      </c>
      <c r="BB85" s="15">
        <v>1</v>
      </c>
      <c r="BC85" s="15">
        <v>0</v>
      </c>
      <c r="BD85" s="15">
        <v>0</v>
      </c>
    </row>
    <row r="86" spans="1:56" x14ac:dyDescent="0.35">
      <c r="A86" s="14"/>
      <c r="B86" s="12"/>
      <c r="C86" s="13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</row>
    <row r="87" spans="1:56" x14ac:dyDescent="0.35">
      <c r="A87" s="1" t="s">
        <v>79</v>
      </c>
      <c r="B87" s="10">
        <v>966</v>
      </c>
      <c r="C87" s="11">
        <v>196.01079479739462</v>
      </c>
      <c r="D87" s="10">
        <v>5</v>
      </c>
      <c r="E87" s="10">
        <v>1</v>
      </c>
      <c r="F87" s="10">
        <v>1</v>
      </c>
      <c r="G87" s="10">
        <v>2</v>
      </c>
      <c r="H87" s="10">
        <v>1</v>
      </c>
      <c r="I87" s="10">
        <v>2</v>
      </c>
      <c r="J87" s="10">
        <v>0</v>
      </c>
      <c r="K87" s="10">
        <v>1</v>
      </c>
      <c r="L87" s="10">
        <v>0</v>
      </c>
      <c r="M87" s="10">
        <v>3</v>
      </c>
      <c r="N87" s="10">
        <v>1</v>
      </c>
      <c r="O87" s="10">
        <v>2</v>
      </c>
      <c r="P87" s="10">
        <v>1</v>
      </c>
      <c r="Q87" s="10">
        <v>2</v>
      </c>
      <c r="R87" s="10">
        <v>1</v>
      </c>
      <c r="S87" s="10">
        <v>3</v>
      </c>
      <c r="T87" s="10">
        <v>0</v>
      </c>
      <c r="U87" s="10">
        <v>2</v>
      </c>
      <c r="V87" s="10">
        <v>2</v>
      </c>
      <c r="W87" s="10">
        <v>2</v>
      </c>
      <c r="X87" s="10">
        <v>1</v>
      </c>
      <c r="Y87" s="10">
        <v>0</v>
      </c>
      <c r="Z87" s="10">
        <v>2</v>
      </c>
      <c r="AA87" s="10">
        <v>9</v>
      </c>
      <c r="AB87" s="10">
        <v>12</v>
      </c>
      <c r="AC87" s="10">
        <v>9</v>
      </c>
      <c r="AD87" s="10">
        <v>7</v>
      </c>
      <c r="AE87" s="10">
        <v>14</v>
      </c>
      <c r="AF87" s="10">
        <v>15</v>
      </c>
      <c r="AG87" s="10">
        <v>15</v>
      </c>
      <c r="AH87" s="10">
        <v>12</v>
      </c>
      <c r="AI87" s="10">
        <v>27</v>
      </c>
      <c r="AJ87" s="10">
        <v>21</v>
      </c>
      <c r="AK87" s="10">
        <v>42</v>
      </c>
      <c r="AL87" s="10">
        <v>25</v>
      </c>
      <c r="AM87" s="10">
        <v>35</v>
      </c>
      <c r="AN87" s="10">
        <v>31</v>
      </c>
      <c r="AO87" s="10">
        <v>26</v>
      </c>
      <c r="AP87" s="10">
        <v>25</v>
      </c>
      <c r="AQ87" s="10">
        <v>31</v>
      </c>
      <c r="AR87" s="10">
        <v>31</v>
      </c>
      <c r="AS87" s="10">
        <v>34</v>
      </c>
      <c r="AT87" s="10">
        <v>46</v>
      </c>
      <c r="AU87" s="10">
        <v>34</v>
      </c>
      <c r="AV87" s="10">
        <v>42</v>
      </c>
      <c r="AW87" s="10">
        <v>57</v>
      </c>
      <c r="AX87" s="10">
        <v>42</v>
      </c>
      <c r="AY87" s="10">
        <v>74</v>
      </c>
      <c r="AZ87" s="10">
        <v>89</v>
      </c>
      <c r="BA87" s="10">
        <v>60</v>
      </c>
      <c r="BB87" s="10">
        <v>54</v>
      </c>
      <c r="BC87" s="10">
        <v>12</v>
      </c>
      <c r="BD87" s="10">
        <v>0</v>
      </c>
    </row>
    <row r="88" spans="1:56" x14ac:dyDescent="0.35">
      <c r="A88" s="14" t="s">
        <v>80</v>
      </c>
      <c r="B88" s="15">
        <v>452</v>
      </c>
      <c r="C88" s="16">
        <v>327.01017204207722</v>
      </c>
      <c r="D88" s="15">
        <v>5</v>
      </c>
      <c r="E88" s="15">
        <v>0</v>
      </c>
      <c r="F88" s="15">
        <v>1</v>
      </c>
      <c r="G88" s="15">
        <v>2</v>
      </c>
      <c r="H88" s="15">
        <v>1</v>
      </c>
      <c r="I88" s="15">
        <v>2</v>
      </c>
      <c r="J88" s="15">
        <v>0</v>
      </c>
      <c r="K88" s="15">
        <v>1</v>
      </c>
      <c r="L88" s="15">
        <v>0</v>
      </c>
      <c r="M88" s="15">
        <v>3</v>
      </c>
      <c r="N88" s="15">
        <v>1</v>
      </c>
      <c r="O88" s="15">
        <v>1</v>
      </c>
      <c r="P88" s="15">
        <v>0</v>
      </c>
      <c r="Q88" s="15">
        <v>2</v>
      </c>
      <c r="R88" s="15">
        <v>1</v>
      </c>
      <c r="S88" s="15">
        <v>3</v>
      </c>
      <c r="T88" s="15">
        <v>0</v>
      </c>
      <c r="U88" s="15">
        <v>1</v>
      </c>
      <c r="V88" s="15">
        <v>1</v>
      </c>
      <c r="W88" s="15">
        <v>2</v>
      </c>
      <c r="X88" s="15">
        <v>1</v>
      </c>
      <c r="Y88" s="15">
        <v>0</v>
      </c>
      <c r="Z88" s="15">
        <v>1</v>
      </c>
      <c r="AA88" s="15">
        <v>6</v>
      </c>
      <c r="AB88" s="15">
        <v>9</v>
      </c>
      <c r="AC88" s="15">
        <v>5</v>
      </c>
      <c r="AD88" s="15">
        <v>5</v>
      </c>
      <c r="AE88" s="15">
        <v>4</v>
      </c>
      <c r="AF88" s="15">
        <v>10</v>
      </c>
      <c r="AG88" s="15">
        <v>6</v>
      </c>
      <c r="AH88" s="15">
        <v>1</v>
      </c>
      <c r="AI88" s="15">
        <v>6</v>
      </c>
      <c r="AJ88" s="15">
        <v>7</v>
      </c>
      <c r="AK88" s="15">
        <v>16</v>
      </c>
      <c r="AL88" s="15">
        <v>15</v>
      </c>
      <c r="AM88" s="15">
        <v>15</v>
      </c>
      <c r="AN88" s="15">
        <v>17</v>
      </c>
      <c r="AO88" s="15">
        <v>18</v>
      </c>
      <c r="AP88" s="15">
        <v>14</v>
      </c>
      <c r="AQ88" s="15">
        <v>19</v>
      </c>
      <c r="AR88" s="15">
        <v>19</v>
      </c>
      <c r="AS88" s="15">
        <v>22</v>
      </c>
      <c r="AT88" s="15">
        <v>29</v>
      </c>
      <c r="AU88" s="15">
        <v>13</v>
      </c>
      <c r="AV88" s="15">
        <v>29</v>
      </c>
      <c r="AW88" s="15">
        <v>25</v>
      </c>
      <c r="AX88" s="15">
        <v>25</v>
      </c>
      <c r="AY88" s="15">
        <v>19</v>
      </c>
      <c r="AZ88" s="15">
        <v>32</v>
      </c>
      <c r="BA88" s="15">
        <v>20</v>
      </c>
      <c r="BB88" s="15">
        <v>7</v>
      </c>
      <c r="BC88" s="15">
        <v>10</v>
      </c>
      <c r="BD88" s="15">
        <v>0</v>
      </c>
    </row>
    <row r="89" spans="1:56" x14ac:dyDescent="0.35">
      <c r="A89" s="14" t="s">
        <v>81</v>
      </c>
      <c r="B89" s="15">
        <v>49</v>
      </c>
      <c r="C89" s="16">
        <v>130.15645336945838</v>
      </c>
      <c r="D89" s="15">
        <v>0</v>
      </c>
      <c r="E89" s="15">
        <v>0</v>
      </c>
      <c r="F89" s="15">
        <v>0</v>
      </c>
      <c r="G89" s="15">
        <v>0</v>
      </c>
      <c r="H89" s="15">
        <v>0</v>
      </c>
      <c r="I89" s="15">
        <v>0</v>
      </c>
      <c r="J89" s="15">
        <v>0</v>
      </c>
      <c r="K89" s="15">
        <v>0</v>
      </c>
      <c r="L89" s="15">
        <v>0</v>
      </c>
      <c r="M89" s="15">
        <v>0</v>
      </c>
      <c r="N89" s="15">
        <v>0</v>
      </c>
      <c r="O89" s="15">
        <v>1</v>
      </c>
      <c r="P89" s="15">
        <v>0</v>
      </c>
      <c r="Q89" s="15">
        <v>0</v>
      </c>
      <c r="R89" s="15">
        <v>0</v>
      </c>
      <c r="S89" s="15">
        <v>0</v>
      </c>
      <c r="T89" s="15">
        <v>0</v>
      </c>
      <c r="U89" s="15">
        <v>0</v>
      </c>
      <c r="V89" s="15">
        <v>0</v>
      </c>
      <c r="W89" s="15">
        <v>0</v>
      </c>
      <c r="X89" s="15">
        <v>0</v>
      </c>
      <c r="Y89" s="15">
        <v>0</v>
      </c>
      <c r="Z89" s="15">
        <v>0</v>
      </c>
      <c r="AA89" s="15">
        <v>0</v>
      </c>
      <c r="AB89" s="15">
        <v>0</v>
      </c>
      <c r="AC89" s="15">
        <v>1</v>
      </c>
      <c r="AD89" s="15">
        <v>0</v>
      </c>
      <c r="AE89" s="15">
        <v>0</v>
      </c>
      <c r="AF89" s="15">
        <v>0</v>
      </c>
      <c r="AG89" s="15">
        <v>0</v>
      </c>
      <c r="AH89" s="15">
        <v>0</v>
      </c>
      <c r="AI89" s="15">
        <v>0</v>
      </c>
      <c r="AJ89" s="15">
        <v>0</v>
      </c>
      <c r="AK89" s="15">
        <v>1</v>
      </c>
      <c r="AL89" s="15">
        <v>1</v>
      </c>
      <c r="AM89" s="15">
        <v>0</v>
      </c>
      <c r="AN89" s="15">
        <v>0</v>
      </c>
      <c r="AO89" s="15">
        <v>0</v>
      </c>
      <c r="AP89" s="15">
        <v>0</v>
      </c>
      <c r="AQ89" s="15">
        <v>2</v>
      </c>
      <c r="AR89" s="15">
        <v>2</v>
      </c>
      <c r="AS89" s="15">
        <v>3</v>
      </c>
      <c r="AT89" s="15">
        <v>6</v>
      </c>
      <c r="AU89" s="15">
        <v>1</v>
      </c>
      <c r="AV89" s="15">
        <v>3</v>
      </c>
      <c r="AW89" s="15">
        <v>7</v>
      </c>
      <c r="AX89" s="15">
        <v>9</v>
      </c>
      <c r="AY89" s="15">
        <v>5</v>
      </c>
      <c r="AZ89" s="15">
        <v>4</v>
      </c>
      <c r="BA89" s="15">
        <v>2</v>
      </c>
      <c r="BB89" s="15">
        <v>0</v>
      </c>
      <c r="BC89" s="15">
        <v>1</v>
      </c>
      <c r="BD89" s="15">
        <v>0</v>
      </c>
    </row>
    <row r="90" spans="1:56" x14ac:dyDescent="0.35">
      <c r="A90" s="14" t="s">
        <v>82</v>
      </c>
      <c r="B90" s="15">
        <v>1</v>
      </c>
      <c r="C90" s="16">
        <v>1.8945134889360413</v>
      </c>
      <c r="D90" s="15">
        <v>0</v>
      </c>
      <c r="E90" s="15">
        <v>0</v>
      </c>
      <c r="F90" s="15">
        <v>0</v>
      </c>
      <c r="G90" s="15">
        <v>0</v>
      </c>
      <c r="H90" s="15">
        <v>0</v>
      </c>
      <c r="I90" s="15">
        <v>0</v>
      </c>
      <c r="J90" s="15">
        <v>0</v>
      </c>
      <c r="K90" s="15">
        <v>0</v>
      </c>
      <c r="L90" s="15">
        <v>0</v>
      </c>
      <c r="M90" s="15">
        <v>0</v>
      </c>
      <c r="N90" s="15">
        <v>0</v>
      </c>
      <c r="O90" s="15">
        <v>0</v>
      </c>
      <c r="P90" s="15">
        <v>0</v>
      </c>
      <c r="Q90" s="15">
        <v>0</v>
      </c>
      <c r="R90" s="15">
        <v>0</v>
      </c>
      <c r="S90" s="15">
        <v>0</v>
      </c>
      <c r="T90" s="15">
        <v>0</v>
      </c>
      <c r="U90" s="15">
        <v>0</v>
      </c>
      <c r="V90" s="15">
        <v>0</v>
      </c>
      <c r="W90" s="15">
        <v>0</v>
      </c>
      <c r="X90" s="15">
        <v>0</v>
      </c>
      <c r="Y90" s="15">
        <v>0</v>
      </c>
      <c r="Z90" s="15">
        <v>0</v>
      </c>
      <c r="AA90" s="15">
        <v>0</v>
      </c>
      <c r="AB90" s="15">
        <v>0</v>
      </c>
      <c r="AC90" s="15">
        <v>0</v>
      </c>
      <c r="AD90" s="15">
        <v>0</v>
      </c>
      <c r="AE90" s="15">
        <v>0</v>
      </c>
      <c r="AF90" s="15">
        <v>0</v>
      </c>
      <c r="AG90" s="15">
        <v>0</v>
      </c>
      <c r="AH90" s="15">
        <v>0</v>
      </c>
      <c r="AI90" s="15">
        <v>0</v>
      </c>
      <c r="AJ90" s="15">
        <v>0</v>
      </c>
      <c r="AK90" s="15">
        <v>0</v>
      </c>
      <c r="AL90" s="15">
        <v>0</v>
      </c>
      <c r="AM90" s="15">
        <v>0</v>
      </c>
      <c r="AN90" s="15">
        <v>0</v>
      </c>
      <c r="AO90" s="15">
        <v>0</v>
      </c>
      <c r="AP90" s="15">
        <v>1</v>
      </c>
      <c r="AQ90" s="15">
        <v>0</v>
      </c>
      <c r="AR90" s="15">
        <v>0</v>
      </c>
      <c r="AS90" s="15">
        <v>0</v>
      </c>
      <c r="AT90" s="15">
        <v>0</v>
      </c>
      <c r="AU90" s="15">
        <v>0</v>
      </c>
      <c r="AV90" s="15">
        <v>0</v>
      </c>
      <c r="AW90" s="15">
        <v>0</v>
      </c>
      <c r="AX90" s="15">
        <v>0</v>
      </c>
      <c r="AY90" s="15">
        <v>0</v>
      </c>
      <c r="AZ90" s="15">
        <v>0</v>
      </c>
      <c r="BA90" s="15">
        <v>0</v>
      </c>
      <c r="BB90" s="15">
        <v>0</v>
      </c>
      <c r="BC90" s="15">
        <v>0</v>
      </c>
      <c r="BD90" s="15">
        <v>0</v>
      </c>
    </row>
    <row r="91" spans="1:56" x14ac:dyDescent="0.35">
      <c r="A91" s="14" t="s">
        <v>83</v>
      </c>
      <c r="B91" s="15">
        <v>17</v>
      </c>
      <c r="C91" s="16">
        <v>119.91253438668267</v>
      </c>
      <c r="D91" s="15">
        <v>0</v>
      </c>
      <c r="E91" s="15">
        <v>0</v>
      </c>
      <c r="F91" s="15">
        <v>0</v>
      </c>
      <c r="G91" s="15">
        <v>0</v>
      </c>
      <c r="H91" s="15">
        <v>0</v>
      </c>
      <c r="I91" s="15">
        <v>0</v>
      </c>
      <c r="J91" s="15">
        <v>0</v>
      </c>
      <c r="K91" s="15">
        <v>0</v>
      </c>
      <c r="L91" s="15">
        <v>0</v>
      </c>
      <c r="M91" s="15">
        <v>0</v>
      </c>
      <c r="N91" s="15">
        <v>0</v>
      </c>
      <c r="O91" s="15">
        <v>0</v>
      </c>
      <c r="P91" s="15">
        <v>0</v>
      </c>
      <c r="Q91" s="15">
        <v>0</v>
      </c>
      <c r="R91" s="15">
        <v>0</v>
      </c>
      <c r="S91" s="15">
        <v>0</v>
      </c>
      <c r="T91" s="15">
        <v>0</v>
      </c>
      <c r="U91" s="15">
        <v>0</v>
      </c>
      <c r="V91" s="15">
        <v>0</v>
      </c>
      <c r="W91" s="15">
        <v>0</v>
      </c>
      <c r="X91" s="15">
        <v>0</v>
      </c>
      <c r="Y91" s="15">
        <v>0</v>
      </c>
      <c r="Z91" s="15">
        <v>0</v>
      </c>
      <c r="AA91" s="15">
        <v>0</v>
      </c>
      <c r="AB91" s="15">
        <v>0</v>
      </c>
      <c r="AC91" s="15">
        <v>0</v>
      </c>
      <c r="AD91" s="15">
        <v>0</v>
      </c>
      <c r="AE91" s="15">
        <v>0</v>
      </c>
      <c r="AF91" s="15">
        <v>0</v>
      </c>
      <c r="AG91" s="15">
        <v>0</v>
      </c>
      <c r="AH91" s="15">
        <v>0</v>
      </c>
      <c r="AI91" s="15">
        <v>0</v>
      </c>
      <c r="AJ91" s="15">
        <v>0</v>
      </c>
      <c r="AK91" s="15">
        <v>0</v>
      </c>
      <c r="AL91" s="15">
        <v>2</v>
      </c>
      <c r="AM91" s="15">
        <v>1</v>
      </c>
      <c r="AN91" s="15">
        <v>3</v>
      </c>
      <c r="AO91" s="15">
        <v>3</v>
      </c>
      <c r="AP91" s="15">
        <v>1</v>
      </c>
      <c r="AQ91" s="15">
        <v>3</v>
      </c>
      <c r="AR91" s="15">
        <v>3</v>
      </c>
      <c r="AS91" s="15">
        <v>0</v>
      </c>
      <c r="AT91" s="15">
        <v>0</v>
      </c>
      <c r="AU91" s="15">
        <v>1</v>
      </c>
      <c r="AV91" s="15">
        <v>0</v>
      </c>
      <c r="AW91" s="15">
        <v>0</v>
      </c>
      <c r="AX91" s="15">
        <v>0</v>
      </c>
      <c r="AY91" s="15">
        <v>0</v>
      </c>
      <c r="AZ91" s="15">
        <v>0</v>
      </c>
      <c r="BA91" s="15">
        <v>0</v>
      </c>
      <c r="BB91" s="15">
        <v>0</v>
      </c>
      <c r="BC91" s="15">
        <v>0</v>
      </c>
      <c r="BD91" s="15">
        <v>0</v>
      </c>
    </row>
    <row r="92" spans="1:56" x14ac:dyDescent="0.35">
      <c r="A92" s="14" t="s">
        <v>84</v>
      </c>
      <c r="B92" s="15">
        <v>3</v>
      </c>
      <c r="C92" s="16">
        <v>9.6833543139343465</v>
      </c>
      <c r="D92" s="15">
        <v>0</v>
      </c>
      <c r="E92" s="15">
        <v>0</v>
      </c>
      <c r="F92" s="15">
        <v>0</v>
      </c>
      <c r="G92" s="15">
        <v>0</v>
      </c>
      <c r="H92" s="15">
        <v>0</v>
      </c>
      <c r="I92" s="15">
        <v>0</v>
      </c>
      <c r="J92" s="15">
        <v>0</v>
      </c>
      <c r="K92" s="15">
        <v>0</v>
      </c>
      <c r="L92" s="15">
        <v>0</v>
      </c>
      <c r="M92" s="15">
        <v>0</v>
      </c>
      <c r="N92" s="15">
        <v>0</v>
      </c>
      <c r="O92" s="15">
        <v>0</v>
      </c>
      <c r="P92" s="15">
        <v>0</v>
      </c>
      <c r="Q92" s="15">
        <v>0</v>
      </c>
      <c r="R92" s="15">
        <v>0</v>
      </c>
      <c r="S92" s="15">
        <v>0</v>
      </c>
      <c r="T92" s="15">
        <v>0</v>
      </c>
      <c r="U92" s="15">
        <v>0</v>
      </c>
      <c r="V92" s="15">
        <v>1</v>
      </c>
      <c r="W92" s="15">
        <v>0</v>
      </c>
      <c r="X92" s="15">
        <v>0</v>
      </c>
      <c r="Y92" s="15">
        <v>0</v>
      </c>
      <c r="Z92" s="15">
        <v>0</v>
      </c>
      <c r="AA92" s="15">
        <v>1</v>
      </c>
      <c r="AB92" s="15">
        <v>0</v>
      </c>
      <c r="AC92" s="15">
        <v>0</v>
      </c>
      <c r="AD92" s="15">
        <v>0</v>
      </c>
      <c r="AE92" s="15">
        <v>0</v>
      </c>
      <c r="AF92" s="15">
        <v>0</v>
      </c>
      <c r="AG92" s="15">
        <v>1</v>
      </c>
      <c r="AH92" s="15">
        <v>0</v>
      </c>
      <c r="AI92" s="15">
        <v>0</v>
      </c>
      <c r="AJ92" s="15">
        <v>0</v>
      </c>
      <c r="AK92" s="15">
        <v>0</v>
      </c>
      <c r="AL92" s="15">
        <v>0</v>
      </c>
      <c r="AM92" s="15">
        <v>0</v>
      </c>
      <c r="AN92" s="15">
        <v>0</v>
      </c>
      <c r="AO92" s="15">
        <v>0</v>
      </c>
      <c r="AP92" s="15">
        <v>0</v>
      </c>
      <c r="AQ92" s="15">
        <v>0</v>
      </c>
      <c r="AR92" s="15">
        <v>0</v>
      </c>
      <c r="AS92" s="15">
        <v>0</v>
      </c>
      <c r="AT92" s="15">
        <v>0</v>
      </c>
      <c r="AU92" s="15">
        <v>0</v>
      </c>
      <c r="AV92" s="15">
        <v>0</v>
      </c>
      <c r="AW92" s="15">
        <v>0</v>
      </c>
      <c r="AX92" s="15">
        <v>0</v>
      </c>
      <c r="AY92" s="15">
        <v>0</v>
      </c>
      <c r="AZ92" s="15">
        <v>0</v>
      </c>
      <c r="BA92" s="15">
        <v>0</v>
      </c>
      <c r="BB92" s="15">
        <v>0</v>
      </c>
      <c r="BC92" s="15">
        <v>0</v>
      </c>
      <c r="BD92" s="15">
        <v>0</v>
      </c>
    </row>
    <row r="93" spans="1:56" x14ac:dyDescent="0.35">
      <c r="A93" s="14" t="s">
        <v>85</v>
      </c>
      <c r="B93" s="15">
        <v>325</v>
      </c>
      <c r="C93" s="16">
        <v>996.90193552345022</v>
      </c>
      <c r="D93" s="15">
        <v>0</v>
      </c>
      <c r="E93" s="15">
        <v>0</v>
      </c>
      <c r="F93" s="15">
        <v>0</v>
      </c>
      <c r="G93" s="15">
        <v>0</v>
      </c>
      <c r="H93" s="15">
        <v>0</v>
      </c>
      <c r="I93" s="15">
        <v>0</v>
      </c>
      <c r="J93" s="15">
        <v>0</v>
      </c>
      <c r="K93" s="15">
        <v>0</v>
      </c>
      <c r="L93" s="15">
        <v>0</v>
      </c>
      <c r="M93" s="15">
        <v>0</v>
      </c>
      <c r="N93" s="15">
        <v>0</v>
      </c>
      <c r="O93" s="15">
        <v>0</v>
      </c>
      <c r="P93" s="15">
        <v>0</v>
      </c>
      <c r="Q93" s="15">
        <v>0</v>
      </c>
      <c r="R93" s="15">
        <v>0</v>
      </c>
      <c r="S93" s="15">
        <v>0</v>
      </c>
      <c r="T93" s="15">
        <v>0</v>
      </c>
      <c r="U93" s="15">
        <v>0</v>
      </c>
      <c r="V93" s="15">
        <v>0</v>
      </c>
      <c r="W93" s="15">
        <v>0</v>
      </c>
      <c r="X93" s="15">
        <v>0</v>
      </c>
      <c r="Y93" s="15">
        <v>0</v>
      </c>
      <c r="Z93" s="15">
        <v>0</v>
      </c>
      <c r="AA93" s="15">
        <v>0</v>
      </c>
      <c r="AB93" s="15">
        <v>0</v>
      </c>
      <c r="AC93" s="15">
        <v>0</v>
      </c>
      <c r="AD93" s="15">
        <v>0</v>
      </c>
      <c r="AE93" s="15">
        <v>4</v>
      </c>
      <c r="AF93" s="15">
        <v>2</v>
      </c>
      <c r="AG93" s="15">
        <v>4</v>
      </c>
      <c r="AH93" s="15">
        <v>5</v>
      </c>
      <c r="AI93" s="15">
        <v>9</v>
      </c>
      <c r="AJ93" s="15">
        <v>9</v>
      </c>
      <c r="AK93" s="15">
        <v>6</v>
      </c>
      <c r="AL93" s="15">
        <v>3</v>
      </c>
      <c r="AM93" s="15">
        <v>14</v>
      </c>
      <c r="AN93" s="15">
        <v>6</v>
      </c>
      <c r="AO93" s="15">
        <v>2</v>
      </c>
      <c r="AP93" s="15">
        <v>4</v>
      </c>
      <c r="AQ93" s="15">
        <v>4</v>
      </c>
      <c r="AR93" s="15">
        <v>4</v>
      </c>
      <c r="AS93" s="15">
        <v>8</v>
      </c>
      <c r="AT93" s="15">
        <v>8</v>
      </c>
      <c r="AU93" s="15">
        <v>17</v>
      </c>
      <c r="AV93" s="15">
        <v>8</v>
      </c>
      <c r="AW93" s="15">
        <v>21</v>
      </c>
      <c r="AX93" s="15">
        <v>8</v>
      </c>
      <c r="AY93" s="15">
        <v>48</v>
      </c>
      <c r="AZ93" s="15">
        <v>52</v>
      </c>
      <c r="BA93" s="15">
        <v>34</v>
      </c>
      <c r="BB93" s="15">
        <v>45</v>
      </c>
      <c r="BC93" s="15">
        <v>0</v>
      </c>
      <c r="BD93" s="15">
        <v>0</v>
      </c>
    </row>
    <row r="94" spans="1:56" x14ac:dyDescent="0.35">
      <c r="A94" s="14" t="s">
        <v>86</v>
      </c>
      <c r="B94" s="15">
        <v>1</v>
      </c>
      <c r="C94" s="16">
        <v>2.2181802049598511</v>
      </c>
      <c r="D94" s="15">
        <v>0</v>
      </c>
      <c r="E94" s="15">
        <v>0</v>
      </c>
      <c r="F94" s="15">
        <v>0</v>
      </c>
      <c r="G94" s="15">
        <v>0</v>
      </c>
      <c r="H94" s="15">
        <v>0</v>
      </c>
      <c r="I94" s="15">
        <v>0</v>
      </c>
      <c r="J94" s="15">
        <v>0</v>
      </c>
      <c r="K94" s="15">
        <v>0</v>
      </c>
      <c r="L94" s="15">
        <v>0</v>
      </c>
      <c r="M94" s="15">
        <v>0</v>
      </c>
      <c r="N94" s="15">
        <v>0</v>
      </c>
      <c r="O94" s="15">
        <v>0</v>
      </c>
      <c r="P94" s="15">
        <v>0</v>
      </c>
      <c r="Q94" s="15">
        <v>0</v>
      </c>
      <c r="R94" s="15">
        <v>0</v>
      </c>
      <c r="S94" s="15">
        <v>0</v>
      </c>
      <c r="T94" s="15">
        <v>0</v>
      </c>
      <c r="U94" s="15">
        <v>0</v>
      </c>
      <c r="V94" s="15">
        <v>0</v>
      </c>
      <c r="W94" s="15">
        <v>0</v>
      </c>
      <c r="X94" s="15">
        <v>0</v>
      </c>
      <c r="Y94" s="15">
        <v>0</v>
      </c>
      <c r="Z94" s="15">
        <v>0</v>
      </c>
      <c r="AA94" s="15">
        <v>0</v>
      </c>
      <c r="AB94" s="15">
        <v>0</v>
      </c>
      <c r="AC94" s="15">
        <v>0</v>
      </c>
      <c r="AD94" s="15">
        <v>0</v>
      </c>
      <c r="AE94" s="15">
        <v>0</v>
      </c>
      <c r="AF94" s="15">
        <v>0</v>
      </c>
      <c r="AG94" s="15">
        <v>0</v>
      </c>
      <c r="AH94" s="15">
        <v>0</v>
      </c>
      <c r="AI94" s="15">
        <v>0</v>
      </c>
      <c r="AJ94" s="15">
        <v>0</v>
      </c>
      <c r="AK94" s="15">
        <v>0</v>
      </c>
      <c r="AL94" s="15">
        <v>0</v>
      </c>
      <c r="AM94" s="15">
        <v>0</v>
      </c>
      <c r="AN94" s="15">
        <v>0</v>
      </c>
      <c r="AO94" s="15">
        <v>0</v>
      </c>
      <c r="AP94" s="15">
        <v>0</v>
      </c>
      <c r="AQ94" s="15">
        <v>0</v>
      </c>
      <c r="AR94" s="15">
        <v>0</v>
      </c>
      <c r="AS94" s="15">
        <v>0</v>
      </c>
      <c r="AT94" s="15">
        <v>1</v>
      </c>
      <c r="AU94" s="15">
        <v>0</v>
      </c>
      <c r="AV94" s="15">
        <v>0</v>
      </c>
      <c r="AW94" s="15">
        <v>0</v>
      </c>
      <c r="AX94" s="15">
        <v>0</v>
      </c>
      <c r="AY94" s="15">
        <v>0</v>
      </c>
      <c r="AZ94" s="15">
        <v>0</v>
      </c>
      <c r="BA94" s="15">
        <v>0</v>
      </c>
      <c r="BB94" s="15">
        <v>0</v>
      </c>
      <c r="BC94" s="15">
        <v>0</v>
      </c>
      <c r="BD94" s="15">
        <v>0</v>
      </c>
    </row>
    <row r="95" spans="1:56" x14ac:dyDescent="0.35">
      <c r="A95" s="14" t="s">
        <v>87</v>
      </c>
      <c r="B95" s="15">
        <v>0</v>
      </c>
      <c r="C95" s="16">
        <v>0</v>
      </c>
      <c r="D95" s="15">
        <v>0</v>
      </c>
      <c r="E95" s="15">
        <v>0</v>
      </c>
      <c r="F95" s="15">
        <v>0</v>
      </c>
      <c r="G95" s="15">
        <v>0</v>
      </c>
      <c r="H95" s="15">
        <v>0</v>
      </c>
      <c r="I95" s="15">
        <v>0</v>
      </c>
      <c r="J95" s="15">
        <v>0</v>
      </c>
      <c r="K95" s="15">
        <v>0</v>
      </c>
      <c r="L95" s="15">
        <v>0</v>
      </c>
      <c r="M95" s="15">
        <v>0</v>
      </c>
      <c r="N95" s="15">
        <v>0</v>
      </c>
      <c r="O95" s="15">
        <v>0</v>
      </c>
      <c r="P95" s="15">
        <v>0</v>
      </c>
      <c r="Q95" s="15">
        <v>0</v>
      </c>
      <c r="R95" s="15">
        <v>0</v>
      </c>
      <c r="S95" s="15">
        <v>0</v>
      </c>
      <c r="T95" s="15">
        <v>0</v>
      </c>
      <c r="U95" s="15">
        <v>0</v>
      </c>
      <c r="V95" s="15">
        <v>0</v>
      </c>
      <c r="W95" s="15">
        <v>0</v>
      </c>
      <c r="X95" s="15">
        <v>0</v>
      </c>
      <c r="Y95" s="15">
        <v>0</v>
      </c>
      <c r="Z95" s="15">
        <v>0</v>
      </c>
      <c r="AA95" s="15">
        <v>0</v>
      </c>
      <c r="AB95" s="15">
        <v>0</v>
      </c>
      <c r="AC95" s="15">
        <v>0</v>
      </c>
      <c r="AD95" s="15">
        <v>0</v>
      </c>
      <c r="AE95" s="15">
        <v>0</v>
      </c>
      <c r="AF95" s="15">
        <v>0</v>
      </c>
      <c r="AG95" s="15">
        <v>0</v>
      </c>
      <c r="AH95" s="15">
        <v>0</v>
      </c>
      <c r="AI95" s="15">
        <v>0</v>
      </c>
      <c r="AJ95" s="15">
        <v>0</v>
      </c>
      <c r="AK95" s="15">
        <v>0</v>
      </c>
      <c r="AL95" s="15">
        <v>0</v>
      </c>
      <c r="AM95" s="15">
        <v>0</v>
      </c>
      <c r="AN95" s="15">
        <v>0</v>
      </c>
      <c r="AO95" s="15">
        <v>0</v>
      </c>
      <c r="AP95" s="15">
        <v>0</v>
      </c>
      <c r="AQ95" s="15">
        <v>0</v>
      </c>
      <c r="AR95" s="15">
        <v>0</v>
      </c>
      <c r="AS95" s="15">
        <v>0</v>
      </c>
      <c r="AT95" s="15">
        <v>0</v>
      </c>
      <c r="AU95" s="15">
        <v>0</v>
      </c>
      <c r="AV95" s="15">
        <v>0</v>
      </c>
      <c r="AW95" s="15">
        <v>0</v>
      </c>
      <c r="AX95" s="15">
        <v>0</v>
      </c>
      <c r="AY95" s="15">
        <v>0</v>
      </c>
      <c r="AZ95" s="15">
        <v>0</v>
      </c>
      <c r="BA95" s="15">
        <v>0</v>
      </c>
      <c r="BB95" s="15">
        <v>0</v>
      </c>
      <c r="BC95" s="15">
        <v>0</v>
      </c>
      <c r="BD95" s="15">
        <v>0</v>
      </c>
    </row>
    <row r="96" spans="1:56" x14ac:dyDescent="0.35">
      <c r="A96" s="14" t="s">
        <v>88</v>
      </c>
      <c r="B96" s="15">
        <v>20</v>
      </c>
      <c r="C96" s="16">
        <v>100.86746015735324</v>
      </c>
      <c r="D96" s="15">
        <v>0</v>
      </c>
      <c r="E96" s="15">
        <v>0</v>
      </c>
      <c r="F96" s="15">
        <v>0</v>
      </c>
      <c r="G96" s="15">
        <v>0</v>
      </c>
      <c r="H96" s="15">
        <v>0</v>
      </c>
      <c r="I96" s="15">
        <v>0</v>
      </c>
      <c r="J96" s="15">
        <v>0</v>
      </c>
      <c r="K96" s="15">
        <v>0</v>
      </c>
      <c r="L96" s="15">
        <v>0</v>
      </c>
      <c r="M96" s="15">
        <v>0</v>
      </c>
      <c r="N96" s="15">
        <v>0</v>
      </c>
      <c r="O96" s="15">
        <v>0</v>
      </c>
      <c r="P96" s="15">
        <v>1</v>
      </c>
      <c r="Q96" s="15">
        <v>0</v>
      </c>
      <c r="R96" s="15">
        <v>0</v>
      </c>
      <c r="S96" s="15">
        <v>0</v>
      </c>
      <c r="T96" s="15">
        <v>0</v>
      </c>
      <c r="U96" s="15">
        <v>0</v>
      </c>
      <c r="V96" s="15">
        <v>0</v>
      </c>
      <c r="W96" s="15">
        <v>0</v>
      </c>
      <c r="X96" s="15">
        <v>0</v>
      </c>
      <c r="Y96" s="15">
        <v>0</v>
      </c>
      <c r="Z96" s="15">
        <v>1</v>
      </c>
      <c r="AA96" s="15">
        <v>1</v>
      </c>
      <c r="AB96" s="15">
        <v>2</v>
      </c>
      <c r="AC96" s="15">
        <v>1</v>
      </c>
      <c r="AD96" s="15">
        <v>0</v>
      </c>
      <c r="AE96" s="15">
        <v>2</v>
      </c>
      <c r="AF96" s="15">
        <v>1</v>
      </c>
      <c r="AG96" s="15">
        <v>0</v>
      </c>
      <c r="AH96" s="15">
        <v>1</v>
      </c>
      <c r="AI96" s="15">
        <v>0</v>
      </c>
      <c r="AJ96" s="15">
        <v>1</v>
      </c>
      <c r="AK96" s="15">
        <v>2</v>
      </c>
      <c r="AL96" s="15">
        <v>0</v>
      </c>
      <c r="AM96" s="15">
        <v>1</v>
      </c>
      <c r="AN96" s="15">
        <v>0</v>
      </c>
      <c r="AO96" s="15">
        <v>0</v>
      </c>
      <c r="AP96" s="15">
        <v>0</v>
      </c>
      <c r="AQ96" s="15">
        <v>1</v>
      </c>
      <c r="AR96" s="15">
        <v>0</v>
      </c>
      <c r="AS96" s="15">
        <v>0</v>
      </c>
      <c r="AT96" s="15">
        <v>1</v>
      </c>
      <c r="AU96" s="15">
        <v>0</v>
      </c>
      <c r="AV96" s="15">
        <v>0</v>
      </c>
      <c r="AW96" s="15">
        <v>1</v>
      </c>
      <c r="AX96" s="15">
        <v>0</v>
      </c>
      <c r="AY96" s="15">
        <v>0</v>
      </c>
      <c r="AZ96" s="15">
        <v>1</v>
      </c>
      <c r="BA96" s="15">
        <v>1</v>
      </c>
      <c r="BB96" s="15">
        <v>1</v>
      </c>
      <c r="BC96" s="15">
        <v>0</v>
      </c>
      <c r="BD96" s="15">
        <v>0</v>
      </c>
    </row>
    <row r="97" spans="1:56" x14ac:dyDescent="0.35">
      <c r="A97" s="14" t="s">
        <v>89</v>
      </c>
      <c r="B97" s="15">
        <v>20</v>
      </c>
      <c r="C97" s="16">
        <v>38.561650438638772</v>
      </c>
      <c r="D97" s="15">
        <v>0</v>
      </c>
      <c r="E97" s="15">
        <v>0</v>
      </c>
      <c r="F97" s="15">
        <v>0</v>
      </c>
      <c r="G97" s="15">
        <v>0</v>
      </c>
      <c r="H97" s="15">
        <v>0</v>
      </c>
      <c r="I97" s="15">
        <v>0</v>
      </c>
      <c r="J97" s="15">
        <v>0</v>
      </c>
      <c r="K97" s="15">
        <v>0</v>
      </c>
      <c r="L97" s="15">
        <v>0</v>
      </c>
      <c r="M97" s="15">
        <v>0</v>
      </c>
      <c r="N97" s="15">
        <v>0</v>
      </c>
      <c r="O97" s="15">
        <v>0</v>
      </c>
      <c r="P97" s="15">
        <v>0</v>
      </c>
      <c r="Q97" s="15">
        <v>0</v>
      </c>
      <c r="R97" s="15">
        <v>0</v>
      </c>
      <c r="S97" s="15">
        <v>0</v>
      </c>
      <c r="T97" s="15">
        <v>0</v>
      </c>
      <c r="U97" s="15">
        <v>1</v>
      </c>
      <c r="V97" s="15">
        <v>0</v>
      </c>
      <c r="W97" s="15">
        <v>0</v>
      </c>
      <c r="X97" s="15">
        <v>0</v>
      </c>
      <c r="Y97" s="15">
        <v>0</v>
      </c>
      <c r="Z97" s="15">
        <v>0</v>
      </c>
      <c r="AA97" s="15">
        <v>0</v>
      </c>
      <c r="AB97" s="15">
        <v>0</v>
      </c>
      <c r="AC97" s="15">
        <v>0</v>
      </c>
      <c r="AD97" s="15">
        <v>0</v>
      </c>
      <c r="AE97" s="15">
        <v>0</v>
      </c>
      <c r="AF97" s="15">
        <v>0</v>
      </c>
      <c r="AG97" s="15">
        <v>0</v>
      </c>
      <c r="AH97" s="15">
        <v>0</v>
      </c>
      <c r="AI97" s="15">
        <v>0</v>
      </c>
      <c r="AJ97" s="15">
        <v>1</v>
      </c>
      <c r="AK97" s="15">
        <v>1</v>
      </c>
      <c r="AL97" s="15">
        <v>1</v>
      </c>
      <c r="AM97" s="15">
        <v>1</v>
      </c>
      <c r="AN97" s="15">
        <v>2</v>
      </c>
      <c r="AO97" s="15">
        <v>0</v>
      </c>
      <c r="AP97" s="15">
        <v>0</v>
      </c>
      <c r="AQ97" s="15">
        <v>0</v>
      </c>
      <c r="AR97" s="15">
        <v>1</v>
      </c>
      <c r="AS97" s="15">
        <v>1</v>
      </c>
      <c r="AT97" s="15">
        <v>1</v>
      </c>
      <c r="AU97" s="15">
        <v>1</v>
      </c>
      <c r="AV97" s="15">
        <v>1</v>
      </c>
      <c r="AW97" s="15">
        <v>2</v>
      </c>
      <c r="AX97" s="15">
        <v>0</v>
      </c>
      <c r="AY97" s="15">
        <v>2</v>
      </c>
      <c r="AZ97" s="15">
        <v>0</v>
      </c>
      <c r="BA97" s="15">
        <v>2</v>
      </c>
      <c r="BB97" s="15">
        <v>1</v>
      </c>
      <c r="BC97" s="15">
        <v>1</v>
      </c>
      <c r="BD97" s="15">
        <v>0</v>
      </c>
    </row>
    <row r="98" spans="1:56" x14ac:dyDescent="0.35">
      <c r="A98" s="14" t="s">
        <v>90</v>
      </c>
      <c r="B98" s="15">
        <v>78</v>
      </c>
      <c r="C98" s="16">
        <v>307.31649659193886</v>
      </c>
      <c r="D98" s="15">
        <v>0</v>
      </c>
      <c r="E98" s="15">
        <v>1</v>
      </c>
      <c r="F98" s="15">
        <v>0</v>
      </c>
      <c r="G98" s="15">
        <v>0</v>
      </c>
      <c r="H98" s="15">
        <v>0</v>
      </c>
      <c r="I98" s="15">
        <v>0</v>
      </c>
      <c r="J98" s="15">
        <v>0</v>
      </c>
      <c r="K98" s="15">
        <v>0</v>
      </c>
      <c r="L98" s="15">
        <v>0</v>
      </c>
      <c r="M98" s="15">
        <v>0</v>
      </c>
      <c r="N98" s="15">
        <v>0</v>
      </c>
      <c r="O98" s="15">
        <v>0</v>
      </c>
      <c r="P98" s="15">
        <v>0</v>
      </c>
      <c r="Q98" s="15">
        <v>0</v>
      </c>
      <c r="R98" s="15">
        <v>0</v>
      </c>
      <c r="S98" s="15">
        <v>0</v>
      </c>
      <c r="T98" s="15">
        <v>0</v>
      </c>
      <c r="U98" s="15">
        <v>0</v>
      </c>
      <c r="V98" s="15">
        <v>0</v>
      </c>
      <c r="W98" s="15">
        <v>0</v>
      </c>
      <c r="X98" s="15">
        <v>0</v>
      </c>
      <c r="Y98" s="15">
        <v>0</v>
      </c>
      <c r="Z98" s="15">
        <v>0</v>
      </c>
      <c r="AA98" s="15">
        <v>1</v>
      </c>
      <c r="AB98" s="15">
        <v>1</v>
      </c>
      <c r="AC98" s="15">
        <v>2</v>
      </c>
      <c r="AD98" s="15">
        <v>2</v>
      </c>
      <c r="AE98" s="15">
        <v>4</v>
      </c>
      <c r="AF98" s="15">
        <v>2</v>
      </c>
      <c r="AG98" s="15">
        <v>4</v>
      </c>
      <c r="AH98" s="15">
        <v>5</v>
      </c>
      <c r="AI98" s="15">
        <v>12</v>
      </c>
      <c r="AJ98" s="15">
        <v>3</v>
      </c>
      <c r="AK98" s="15">
        <v>16</v>
      </c>
      <c r="AL98" s="15">
        <v>3</v>
      </c>
      <c r="AM98" s="15">
        <v>3</v>
      </c>
      <c r="AN98" s="15">
        <v>3</v>
      </c>
      <c r="AO98" s="15">
        <v>3</v>
      </c>
      <c r="AP98" s="15">
        <v>5</v>
      </c>
      <c r="AQ98" s="15">
        <v>2</v>
      </c>
      <c r="AR98" s="15">
        <v>2</v>
      </c>
      <c r="AS98" s="15">
        <v>0</v>
      </c>
      <c r="AT98" s="15">
        <v>0</v>
      </c>
      <c r="AU98" s="15">
        <v>1</v>
      </c>
      <c r="AV98" s="15">
        <v>1</v>
      </c>
      <c r="AW98" s="15">
        <v>1</v>
      </c>
      <c r="AX98" s="15">
        <v>0</v>
      </c>
      <c r="AY98" s="15">
        <v>0</v>
      </c>
      <c r="AZ98" s="15">
        <v>0</v>
      </c>
      <c r="BA98" s="15">
        <v>1</v>
      </c>
      <c r="BB98" s="15">
        <v>0</v>
      </c>
      <c r="BC98" s="15">
        <v>0</v>
      </c>
      <c r="BD98" s="15">
        <v>0</v>
      </c>
    </row>
    <row r="99" spans="1:56" x14ac:dyDescent="0.35">
      <c r="A99" s="14"/>
      <c r="B99" s="12"/>
      <c r="C99" s="13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</row>
    <row r="100" spans="1:56" x14ac:dyDescent="0.35">
      <c r="A100" s="1" t="s">
        <v>91</v>
      </c>
      <c r="B100" s="10">
        <v>1912</v>
      </c>
      <c r="C100" s="11">
        <v>420.19761594992787</v>
      </c>
      <c r="D100" s="10">
        <v>1</v>
      </c>
      <c r="E100" s="10">
        <v>10</v>
      </c>
      <c r="F100" s="10">
        <v>5</v>
      </c>
      <c r="G100" s="10">
        <v>7</v>
      </c>
      <c r="H100" s="10">
        <v>5</v>
      </c>
      <c r="I100" s="10">
        <v>12</v>
      </c>
      <c r="J100" s="10">
        <v>13</v>
      </c>
      <c r="K100" s="10">
        <v>17</v>
      </c>
      <c r="L100" s="10">
        <v>16</v>
      </c>
      <c r="M100" s="10">
        <v>9</v>
      </c>
      <c r="N100" s="10">
        <v>19</v>
      </c>
      <c r="O100" s="10">
        <v>14</v>
      </c>
      <c r="P100" s="10">
        <v>10</v>
      </c>
      <c r="Q100" s="10">
        <v>12</v>
      </c>
      <c r="R100" s="10">
        <v>15</v>
      </c>
      <c r="S100" s="10">
        <v>16</v>
      </c>
      <c r="T100" s="10">
        <v>13</v>
      </c>
      <c r="U100" s="10">
        <v>16</v>
      </c>
      <c r="V100" s="10">
        <v>18</v>
      </c>
      <c r="W100" s="10">
        <v>18</v>
      </c>
      <c r="X100" s="10">
        <v>32</v>
      </c>
      <c r="Y100" s="10">
        <v>26</v>
      </c>
      <c r="Z100" s="10">
        <v>42</v>
      </c>
      <c r="AA100" s="10">
        <v>35</v>
      </c>
      <c r="AB100" s="10">
        <v>37</v>
      </c>
      <c r="AC100" s="10">
        <v>36</v>
      </c>
      <c r="AD100" s="10">
        <v>44</v>
      </c>
      <c r="AE100" s="10">
        <v>53</v>
      </c>
      <c r="AF100" s="10">
        <v>74</v>
      </c>
      <c r="AG100" s="10">
        <v>88</v>
      </c>
      <c r="AH100" s="10">
        <v>83</v>
      </c>
      <c r="AI100" s="10">
        <v>60</v>
      </c>
      <c r="AJ100" s="10">
        <v>67</v>
      </c>
      <c r="AK100" s="10">
        <v>85</v>
      </c>
      <c r="AL100" s="10">
        <v>73</v>
      </c>
      <c r="AM100" s="10">
        <v>57</v>
      </c>
      <c r="AN100" s="10">
        <v>73</v>
      </c>
      <c r="AO100" s="10">
        <v>55</v>
      </c>
      <c r="AP100" s="10">
        <v>58</v>
      </c>
      <c r="AQ100" s="10">
        <v>73</v>
      </c>
      <c r="AR100" s="10">
        <v>51</v>
      </c>
      <c r="AS100" s="10">
        <v>66</v>
      </c>
      <c r="AT100" s="10">
        <v>47</v>
      </c>
      <c r="AU100" s="10">
        <v>41</v>
      </c>
      <c r="AV100" s="10">
        <v>46</v>
      </c>
      <c r="AW100" s="10">
        <v>44</v>
      </c>
      <c r="AX100" s="10">
        <v>45</v>
      </c>
      <c r="AY100" s="10">
        <v>39</v>
      </c>
      <c r="AZ100" s="10">
        <v>41</v>
      </c>
      <c r="BA100" s="10">
        <v>26</v>
      </c>
      <c r="BB100" s="10">
        <v>41</v>
      </c>
      <c r="BC100" s="10">
        <v>28</v>
      </c>
      <c r="BD100" s="10">
        <v>0</v>
      </c>
    </row>
    <row r="101" spans="1:56" x14ac:dyDescent="0.35">
      <c r="A101" s="14" t="s">
        <v>92</v>
      </c>
      <c r="B101" s="15">
        <v>158</v>
      </c>
      <c r="C101" s="16">
        <v>158.72218594605454</v>
      </c>
      <c r="D101" s="15">
        <v>0</v>
      </c>
      <c r="E101" s="15">
        <v>1</v>
      </c>
      <c r="F101" s="15">
        <v>0</v>
      </c>
      <c r="G101" s="15">
        <v>0</v>
      </c>
      <c r="H101" s="15">
        <v>0</v>
      </c>
      <c r="I101" s="15">
        <v>1</v>
      </c>
      <c r="J101" s="15">
        <v>0</v>
      </c>
      <c r="K101" s="15">
        <v>2</v>
      </c>
      <c r="L101" s="15">
        <v>1</v>
      </c>
      <c r="M101" s="15">
        <v>0</v>
      </c>
      <c r="N101" s="15">
        <v>3</v>
      </c>
      <c r="O101" s="15">
        <v>2</v>
      </c>
      <c r="P101" s="15">
        <v>2</v>
      </c>
      <c r="Q101" s="15">
        <v>1</v>
      </c>
      <c r="R101" s="15">
        <v>0</v>
      </c>
      <c r="S101" s="15">
        <v>0</v>
      </c>
      <c r="T101" s="15">
        <v>2</v>
      </c>
      <c r="U101" s="15">
        <v>3</v>
      </c>
      <c r="V101" s="15">
        <v>1</v>
      </c>
      <c r="W101" s="15">
        <v>2</v>
      </c>
      <c r="X101" s="15">
        <v>6</v>
      </c>
      <c r="Y101" s="15">
        <v>2</v>
      </c>
      <c r="Z101" s="15">
        <v>2</v>
      </c>
      <c r="AA101" s="15">
        <v>6</v>
      </c>
      <c r="AB101" s="15">
        <v>7</v>
      </c>
      <c r="AC101" s="15">
        <v>6</v>
      </c>
      <c r="AD101" s="15">
        <v>4</v>
      </c>
      <c r="AE101" s="15">
        <v>8</v>
      </c>
      <c r="AF101" s="15">
        <v>4</v>
      </c>
      <c r="AG101" s="15">
        <v>7</v>
      </c>
      <c r="AH101" s="15">
        <v>4</v>
      </c>
      <c r="AI101" s="15">
        <v>4</v>
      </c>
      <c r="AJ101" s="15">
        <v>9</v>
      </c>
      <c r="AK101" s="15">
        <v>4</v>
      </c>
      <c r="AL101" s="15">
        <v>4</v>
      </c>
      <c r="AM101" s="15">
        <v>10</v>
      </c>
      <c r="AN101" s="15">
        <v>9</v>
      </c>
      <c r="AO101" s="15">
        <v>5</v>
      </c>
      <c r="AP101" s="15">
        <v>5</v>
      </c>
      <c r="AQ101" s="15">
        <v>6</v>
      </c>
      <c r="AR101" s="15">
        <v>2</v>
      </c>
      <c r="AS101" s="15">
        <v>4</v>
      </c>
      <c r="AT101" s="15">
        <v>0</v>
      </c>
      <c r="AU101" s="15">
        <v>1</v>
      </c>
      <c r="AV101" s="15">
        <v>1</v>
      </c>
      <c r="AW101" s="15">
        <v>0</v>
      </c>
      <c r="AX101" s="15">
        <v>2</v>
      </c>
      <c r="AY101" s="15">
        <v>6</v>
      </c>
      <c r="AZ101" s="15">
        <v>2</v>
      </c>
      <c r="BA101" s="15">
        <v>3</v>
      </c>
      <c r="BB101" s="15">
        <v>3</v>
      </c>
      <c r="BC101" s="15">
        <v>1</v>
      </c>
      <c r="BD101" s="15">
        <v>0</v>
      </c>
    </row>
    <row r="102" spans="1:56" x14ac:dyDescent="0.35">
      <c r="A102" s="14" t="s">
        <v>93</v>
      </c>
      <c r="B102" s="15">
        <v>868</v>
      </c>
      <c r="C102" s="16">
        <v>584.14595573142753</v>
      </c>
      <c r="D102" s="15">
        <v>1</v>
      </c>
      <c r="E102" s="15">
        <v>2</v>
      </c>
      <c r="F102" s="15">
        <v>1</v>
      </c>
      <c r="G102" s="15">
        <v>2</v>
      </c>
      <c r="H102" s="15">
        <v>0</v>
      </c>
      <c r="I102" s="15">
        <v>4</v>
      </c>
      <c r="J102" s="15">
        <v>9</v>
      </c>
      <c r="K102" s="15">
        <v>7</v>
      </c>
      <c r="L102" s="15">
        <v>8</v>
      </c>
      <c r="M102" s="15">
        <v>3</v>
      </c>
      <c r="N102" s="15">
        <v>8</v>
      </c>
      <c r="O102" s="15">
        <v>4</v>
      </c>
      <c r="P102" s="15">
        <v>6</v>
      </c>
      <c r="Q102" s="15">
        <v>4</v>
      </c>
      <c r="R102" s="15">
        <v>10</v>
      </c>
      <c r="S102" s="15">
        <v>11</v>
      </c>
      <c r="T102" s="15">
        <v>7</v>
      </c>
      <c r="U102" s="15">
        <v>7</v>
      </c>
      <c r="V102" s="15">
        <v>10</v>
      </c>
      <c r="W102" s="15">
        <v>10</v>
      </c>
      <c r="X102" s="15">
        <v>20</v>
      </c>
      <c r="Y102" s="15">
        <v>15</v>
      </c>
      <c r="Z102" s="15">
        <v>24</v>
      </c>
      <c r="AA102" s="15">
        <v>15</v>
      </c>
      <c r="AB102" s="15">
        <v>15</v>
      </c>
      <c r="AC102" s="15">
        <v>16</v>
      </c>
      <c r="AD102" s="15">
        <v>18</v>
      </c>
      <c r="AE102" s="15">
        <v>27</v>
      </c>
      <c r="AF102" s="15">
        <v>36</v>
      </c>
      <c r="AG102" s="15">
        <v>45</v>
      </c>
      <c r="AH102" s="15">
        <v>31</v>
      </c>
      <c r="AI102" s="15">
        <v>30</v>
      </c>
      <c r="AJ102" s="15">
        <v>25</v>
      </c>
      <c r="AK102" s="15">
        <v>42</v>
      </c>
      <c r="AL102" s="15">
        <v>30</v>
      </c>
      <c r="AM102" s="15">
        <v>27</v>
      </c>
      <c r="AN102" s="15">
        <v>34</v>
      </c>
      <c r="AO102" s="15">
        <v>25</v>
      </c>
      <c r="AP102" s="15">
        <v>24</v>
      </c>
      <c r="AQ102" s="15">
        <v>27</v>
      </c>
      <c r="AR102" s="15">
        <v>29</v>
      </c>
      <c r="AS102" s="15">
        <v>24</v>
      </c>
      <c r="AT102" s="15">
        <v>24</v>
      </c>
      <c r="AU102" s="15">
        <v>20</v>
      </c>
      <c r="AV102" s="15">
        <v>19</v>
      </c>
      <c r="AW102" s="15">
        <v>17</v>
      </c>
      <c r="AX102" s="15">
        <v>20</v>
      </c>
      <c r="AY102" s="15">
        <v>13</v>
      </c>
      <c r="AZ102" s="15">
        <v>18</v>
      </c>
      <c r="BA102" s="15">
        <v>13</v>
      </c>
      <c r="BB102" s="15">
        <v>19</v>
      </c>
      <c r="BC102" s="15">
        <v>12</v>
      </c>
      <c r="BD102" s="15">
        <v>0</v>
      </c>
    </row>
    <row r="103" spans="1:56" x14ac:dyDescent="0.35">
      <c r="A103" s="14" t="s">
        <v>94</v>
      </c>
      <c r="B103" s="15">
        <v>166</v>
      </c>
      <c r="C103" s="16">
        <v>257.36035100231004</v>
      </c>
      <c r="D103" s="15">
        <v>0</v>
      </c>
      <c r="E103" s="15">
        <v>4</v>
      </c>
      <c r="F103" s="15">
        <v>1</v>
      </c>
      <c r="G103" s="15">
        <v>1</v>
      </c>
      <c r="H103" s="15">
        <v>2</v>
      </c>
      <c r="I103" s="15">
        <v>0</v>
      </c>
      <c r="J103" s="15">
        <v>0</v>
      </c>
      <c r="K103" s="15">
        <v>2</v>
      </c>
      <c r="L103" s="15">
        <v>0</v>
      </c>
      <c r="M103" s="15">
        <v>0</v>
      </c>
      <c r="N103" s="15">
        <v>0</v>
      </c>
      <c r="O103" s="15">
        <v>3</v>
      </c>
      <c r="P103" s="15">
        <v>2</v>
      </c>
      <c r="Q103" s="15">
        <v>4</v>
      </c>
      <c r="R103" s="15">
        <v>1</v>
      </c>
      <c r="S103" s="15">
        <v>0</v>
      </c>
      <c r="T103" s="15">
        <v>1</v>
      </c>
      <c r="U103" s="15">
        <v>0</v>
      </c>
      <c r="V103" s="15">
        <v>1</v>
      </c>
      <c r="W103" s="15">
        <v>0</v>
      </c>
      <c r="X103" s="15">
        <v>2</v>
      </c>
      <c r="Y103" s="15">
        <v>1</v>
      </c>
      <c r="Z103" s="15">
        <v>4</v>
      </c>
      <c r="AA103" s="15">
        <v>2</v>
      </c>
      <c r="AB103" s="15">
        <v>4</v>
      </c>
      <c r="AC103" s="15">
        <v>6</v>
      </c>
      <c r="AD103" s="15">
        <v>5</v>
      </c>
      <c r="AE103" s="15">
        <v>3</v>
      </c>
      <c r="AF103" s="15">
        <v>7</v>
      </c>
      <c r="AG103" s="15">
        <v>6</v>
      </c>
      <c r="AH103" s="15">
        <v>5</v>
      </c>
      <c r="AI103" s="15">
        <v>1</v>
      </c>
      <c r="AJ103" s="15">
        <v>1</v>
      </c>
      <c r="AK103" s="15">
        <v>3</v>
      </c>
      <c r="AL103" s="15">
        <v>2</v>
      </c>
      <c r="AM103" s="15">
        <v>2</v>
      </c>
      <c r="AN103" s="15">
        <v>6</v>
      </c>
      <c r="AO103" s="15">
        <v>9</v>
      </c>
      <c r="AP103" s="15">
        <v>13</v>
      </c>
      <c r="AQ103" s="15">
        <v>3</v>
      </c>
      <c r="AR103" s="15">
        <v>4</v>
      </c>
      <c r="AS103" s="15">
        <v>10</v>
      </c>
      <c r="AT103" s="15">
        <v>7</v>
      </c>
      <c r="AU103" s="15">
        <v>7</v>
      </c>
      <c r="AV103" s="15">
        <v>5</v>
      </c>
      <c r="AW103" s="15">
        <v>6</v>
      </c>
      <c r="AX103" s="15">
        <v>1</v>
      </c>
      <c r="AY103" s="15">
        <v>4</v>
      </c>
      <c r="AZ103" s="15">
        <v>5</v>
      </c>
      <c r="BA103" s="15">
        <v>0</v>
      </c>
      <c r="BB103" s="15">
        <v>8</v>
      </c>
      <c r="BC103" s="15">
        <v>2</v>
      </c>
      <c r="BD103" s="15">
        <v>0</v>
      </c>
    </row>
    <row r="104" spans="1:56" x14ac:dyDescent="0.35">
      <c r="A104" s="14" t="s">
        <v>95</v>
      </c>
      <c r="B104" s="15">
        <v>87</v>
      </c>
      <c r="C104" s="16">
        <v>205.42608202875965</v>
      </c>
      <c r="D104" s="15">
        <v>0</v>
      </c>
      <c r="E104" s="15">
        <v>1</v>
      </c>
      <c r="F104" s="15">
        <v>1</v>
      </c>
      <c r="G104" s="15">
        <v>2</v>
      </c>
      <c r="H104" s="15">
        <v>0</v>
      </c>
      <c r="I104" s="15">
        <v>2</v>
      </c>
      <c r="J104" s="15">
        <v>2</v>
      </c>
      <c r="K104" s="15">
        <v>2</v>
      </c>
      <c r="L104" s="15">
        <v>2</v>
      </c>
      <c r="M104" s="15">
        <v>3</v>
      </c>
      <c r="N104" s="15">
        <v>2</v>
      </c>
      <c r="O104" s="15">
        <v>0</v>
      </c>
      <c r="P104" s="15">
        <v>0</v>
      </c>
      <c r="Q104" s="15">
        <v>0</v>
      </c>
      <c r="R104" s="15">
        <v>1</v>
      </c>
      <c r="S104" s="15">
        <v>2</v>
      </c>
      <c r="T104" s="15">
        <v>0</v>
      </c>
      <c r="U104" s="15">
        <v>2</v>
      </c>
      <c r="V104" s="15">
        <v>3</v>
      </c>
      <c r="W104" s="15">
        <v>1</v>
      </c>
      <c r="X104" s="15">
        <v>2</v>
      </c>
      <c r="Y104" s="15">
        <v>1</v>
      </c>
      <c r="Z104" s="15">
        <v>0</v>
      </c>
      <c r="AA104" s="15">
        <v>0</v>
      </c>
      <c r="AB104" s="15">
        <v>4</v>
      </c>
      <c r="AC104" s="15">
        <v>0</v>
      </c>
      <c r="AD104" s="15">
        <v>0</v>
      </c>
      <c r="AE104" s="15">
        <v>0</v>
      </c>
      <c r="AF104" s="15">
        <v>1</v>
      </c>
      <c r="AG104" s="15">
        <v>1</v>
      </c>
      <c r="AH104" s="15">
        <v>6</v>
      </c>
      <c r="AI104" s="15">
        <v>2</v>
      </c>
      <c r="AJ104" s="15">
        <v>3</v>
      </c>
      <c r="AK104" s="15">
        <v>3</v>
      </c>
      <c r="AL104" s="15">
        <v>8</v>
      </c>
      <c r="AM104" s="15">
        <v>1</v>
      </c>
      <c r="AN104" s="15">
        <v>2</v>
      </c>
      <c r="AO104" s="15">
        <v>0</v>
      </c>
      <c r="AP104" s="15">
        <v>1</v>
      </c>
      <c r="AQ104" s="15">
        <v>0</v>
      </c>
      <c r="AR104" s="15">
        <v>1</v>
      </c>
      <c r="AS104" s="15">
        <v>3</v>
      </c>
      <c r="AT104" s="15">
        <v>1</v>
      </c>
      <c r="AU104" s="15">
        <v>1</v>
      </c>
      <c r="AV104" s="15">
        <v>2</v>
      </c>
      <c r="AW104" s="15">
        <v>4</v>
      </c>
      <c r="AX104" s="15">
        <v>2</v>
      </c>
      <c r="AY104" s="15">
        <v>2</v>
      </c>
      <c r="AZ104" s="15">
        <v>4</v>
      </c>
      <c r="BA104" s="15">
        <v>3</v>
      </c>
      <c r="BB104" s="15">
        <v>2</v>
      </c>
      <c r="BC104" s="15">
        <v>1</v>
      </c>
      <c r="BD104" s="15">
        <v>0</v>
      </c>
    </row>
    <row r="105" spans="1:56" x14ac:dyDescent="0.35">
      <c r="A105" s="14" t="s">
        <v>96</v>
      </c>
      <c r="B105" s="15">
        <v>31</v>
      </c>
      <c r="C105" s="16">
        <v>67.628002356072344</v>
      </c>
      <c r="D105" s="15">
        <v>0</v>
      </c>
      <c r="E105" s="15">
        <v>0</v>
      </c>
      <c r="F105" s="15">
        <v>0</v>
      </c>
      <c r="G105" s="15">
        <v>0</v>
      </c>
      <c r="H105" s="15">
        <v>1</v>
      </c>
      <c r="I105" s="15">
        <v>0</v>
      </c>
      <c r="J105" s="15">
        <v>0</v>
      </c>
      <c r="K105" s="15">
        <v>1</v>
      </c>
      <c r="L105" s="15">
        <v>0</v>
      </c>
      <c r="M105" s="15">
        <v>0</v>
      </c>
      <c r="N105" s="15">
        <v>0</v>
      </c>
      <c r="O105" s="15">
        <v>0</v>
      </c>
      <c r="P105" s="15">
        <v>0</v>
      </c>
      <c r="Q105" s="15">
        <v>1</v>
      </c>
      <c r="R105" s="15">
        <v>0</v>
      </c>
      <c r="S105" s="15">
        <v>0</v>
      </c>
      <c r="T105" s="15">
        <v>0</v>
      </c>
      <c r="U105" s="15">
        <v>1</v>
      </c>
      <c r="V105" s="15">
        <v>0</v>
      </c>
      <c r="W105" s="15">
        <v>0</v>
      </c>
      <c r="X105" s="15">
        <v>0</v>
      </c>
      <c r="Y105" s="15">
        <v>0</v>
      </c>
      <c r="Z105" s="15">
        <v>0</v>
      </c>
      <c r="AA105" s="15">
        <v>0</v>
      </c>
      <c r="AB105" s="15">
        <v>0</v>
      </c>
      <c r="AC105" s="15">
        <v>2</v>
      </c>
      <c r="AD105" s="15">
        <v>0</v>
      </c>
      <c r="AE105" s="15">
        <v>1</v>
      </c>
      <c r="AF105" s="15">
        <v>0</v>
      </c>
      <c r="AG105" s="15">
        <v>0</v>
      </c>
      <c r="AH105" s="15">
        <v>2</v>
      </c>
      <c r="AI105" s="15">
        <v>0</v>
      </c>
      <c r="AJ105" s="15">
        <v>2</v>
      </c>
      <c r="AK105" s="15">
        <v>2</v>
      </c>
      <c r="AL105" s="15">
        <v>0</v>
      </c>
      <c r="AM105" s="15">
        <v>1</v>
      </c>
      <c r="AN105" s="15">
        <v>1</v>
      </c>
      <c r="AO105" s="15">
        <v>0</v>
      </c>
      <c r="AP105" s="15">
        <v>1</v>
      </c>
      <c r="AQ105" s="15">
        <v>0</v>
      </c>
      <c r="AR105" s="15">
        <v>0</v>
      </c>
      <c r="AS105" s="15">
        <v>0</v>
      </c>
      <c r="AT105" s="15">
        <v>1</v>
      </c>
      <c r="AU105" s="15">
        <v>0</v>
      </c>
      <c r="AV105" s="15">
        <v>3</v>
      </c>
      <c r="AW105" s="15">
        <v>0</v>
      </c>
      <c r="AX105" s="15">
        <v>2</v>
      </c>
      <c r="AY105" s="15">
        <v>1</v>
      </c>
      <c r="AZ105" s="15">
        <v>4</v>
      </c>
      <c r="BA105" s="15">
        <v>2</v>
      </c>
      <c r="BB105" s="15">
        <v>0</v>
      </c>
      <c r="BC105" s="15">
        <v>2</v>
      </c>
      <c r="BD105" s="15">
        <v>0</v>
      </c>
    </row>
    <row r="106" spans="1:56" x14ac:dyDescent="0.35">
      <c r="A106" s="14" t="s">
        <v>97</v>
      </c>
      <c r="B106" s="15">
        <v>602</v>
      </c>
      <c r="C106" s="16">
        <v>1110.8035796660208</v>
      </c>
      <c r="D106" s="15">
        <v>0</v>
      </c>
      <c r="E106" s="15">
        <v>2</v>
      </c>
      <c r="F106" s="15">
        <v>2</v>
      </c>
      <c r="G106" s="15">
        <v>2</v>
      </c>
      <c r="H106" s="15">
        <v>2</v>
      </c>
      <c r="I106" s="15">
        <v>5</v>
      </c>
      <c r="J106" s="15">
        <v>2</v>
      </c>
      <c r="K106" s="15">
        <v>3</v>
      </c>
      <c r="L106" s="15">
        <v>5</v>
      </c>
      <c r="M106" s="15">
        <v>3</v>
      </c>
      <c r="N106" s="15">
        <v>6</v>
      </c>
      <c r="O106" s="15">
        <v>5</v>
      </c>
      <c r="P106" s="15">
        <v>0</v>
      </c>
      <c r="Q106" s="15">
        <v>2</v>
      </c>
      <c r="R106" s="15">
        <v>3</v>
      </c>
      <c r="S106" s="15">
        <v>3</v>
      </c>
      <c r="T106" s="15">
        <v>3</v>
      </c>
      <c r="U106" s="15">
        <v>3</v>
      </c>
      <c r="V106" s="15">
        <v>3</v>
      </c>
      <c r="W106" s="15">
        <v>5</v>
      </c>
      <c r="X106" s="15">
        <v>2</v>
      </c>
      <c r="Y106" s="15">
        <v>7</v>
      </c>
      <c r="Z106" s="15">
        <v>12</v>
      </c>
      <c r="AA106" s="15">
        <v>12</v>
      </c>
      <c r="AB106" s="15">
        <v>7</v>
      </c>
      <c r="AC106" s="15">
        <v>6</v>
      </c>
      <c r="AD106" s="15">
        <v>17</v>
      </c>
      <c r="AE106" s="15">
        <v>14</v>
      </c>
      <c r="AF106" s="15">
        <v>26</v>
      </c>
      <c r="AG106" s="15">
        <v>29</v>
      </c>
      <c r="AH106" s="15">
        <v>35</v>
      </c>
      <c r="AI106" s="15">
        <v>23</v>
      </c>
      <c r="AJ106" s="15">
        <v>27</v>
      </c>
      <c r="AK106" s="15">
        <v>31</v>
      </c>
      <c r="AL106" s="15">
        <v>29</v>
      </c>
      <c r="AM106" s="15">
        <v>16</v>
      </c>
      <c r="AN106" s="15">
        <v>21</v>
      </c>
      <c r="AO106" s="15">
        <v>16</v>
      </c>
      <c r="AP106" s="15">
        <v>14</v>
      </c>
      <c r="AQ106" s="15">
        <v>37</v>
      </c>
      <c r="AR106" s="15">
        <v>15</v>
      </c>
      <c r="AS106" s="15">
        <v>25</v>
      </c>
      <c r="AT106" s="15">
        <v>14</v>
      </c>
      <c r="AU106" s="15">
        <v>12</v>
      </c>
      <c r="AV106" s="15">
        <v>16</v>
      </c>
      <c r="AW106" s="15">
        <v>17</v>
      </c>
      <c r="AX106" s="15">
        <v>18</v>
      </c>
      <c r="AY106" s="15">
        <v>13</v>
      </c>
      <c r="AZ106" s="15">
        <v>8</v>
      </c>
      <c r="BA106" s="15">
        <v>5</v>
      </c>
      <c r="BB106" s="15">
        <v>9</v>
      </c>
      <c r="BC106" s="15">
        <v>10</v>
      </c>
      <c r="BD106" s="15">
        <v>0</v>
      </c>
    </row>
    <row r="107" spans="1:56" x14ac:dyDescent="0.35">
      <c r="A107" s="14"/>
      <c r="B107" s="12"/>
      <c r="C107" s="13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  <c r="BC107" s="2"/>
      <c r="BD107" s="2"/>
    </row>
    <row r="108" spans="1:56" x14ac:dyDescent="0.35">
      <c r="A108" s="14" t="s">
        <v>98</v>
      </c>
      <c r="B108" s="10">
        <v>0</v>
      </c>
      <c r="C108" s="13"/>
      <c r="D108" s="15">
        <v>0</v>
      </c>
      <c r="E108" s="15">
        <v>0</v>
      </c>
      <c r="F108" s="15">
        <v>0</v>
      </c>
      <c r="G108" s="15">
        <v>0</v>
      </c>
      <c r="H108" s="15">
        <v>0</v>
      </c>
      <c r="I108" s="15">
        <v>0</v>
      </c>
      <c r="J108" s="15">
        <v>0</v>
      </c>
      <c r="K108" s="15">
        <v>0</v>
      </c>
      <c r="L108" s="15">
        <v>0</v>
      </c>
      <c r="M108" s="15">
        <v>0</v>
      </c>
      <c r="N108" s="15">
        <v>0</v>
      </c>
      <c r="O108" s="15">
        <v>0</v>
      </c>
      <c r="P108" s="15">
        <v>0</v>
      </c>
      <c r="Q108" s="15">
        <v>0</v>
      </c>
      <c r="R108" s="15">
        <v>0</v>
      </c>
      <c r="S108" s="15">
        <v>0</v>
      </c>
      <c r="T108" s="15">
        <v>0</v>
      </c>
      <c r="U108" s="15">
        <v>0</v>
      </c>
      <c r="V108" s="15">
        <v>0</v>
      </c>
      <c r="W108" s="15">
        <v>0</v>
      </c>
      <c r="X108" s="15">
        <v>0</v>
      </c>
      <c r="Y108" s="15">
        <v>0</v>
      </c>
      <c r="Z108" s="15">
        <v>0</v>
      </c>
      <c r="AA108" s="15">
        <v>0</v>
      </c>
      <c r="AB108" s="15">
        <v>0</v>
      </c>
      <c r="AC108" s="15">
        <v>0</v>
      </c>
      <c r="AD108" s="15">
        <v>0</v>
      </c>
      <c r="AE108" s="15">
        <v>0</v>
      </c>
      <c r="AF108" s="15">
        <v>0</v>
      </c>
      <c r="AG108" s="15">
        <v>0</v>
      </c>
      <c r="AH108" s="15">
        <v>0</v>
      </c>
      <c r="AI108" s="15">
        <v>0</v>
      </c>
      <c r="AJ108" s="15">
        <v>0</v>
      </c>
      <c r="AK108" s="15">
        <v>0</v>
      </c>
      <c r="AL108" s="15">
        <v>0</v>
      </c>
      <c r="AM108" s="15">
        <v>0</v>
      </c>
      <c r="AN108" s="15">
        <v>0</v>
      </c>
      <c r="AO108" s="15">
        <v>0</v>
      </c>
      <c r="AP108" s="15">
        <v>0</v>
      </c>
      <c r="AQ108" s="15">
        <v>0</v>
      </c>
      <c r="AR108" s="15">
        <v>0</v>
      </c>
      <c r="AS108" s="15">
        <v>0</v>
      </c>
      <c r="AT108" s="15">
        <v>0</v>
      </c>
      <c r="AU108" s="15">
        <v>0</v>
      </c>
      <c r="AV108" s="15">
        <v>0</v>
      </c>
      <c r="AW108" s="15">
        <v>0</v>
      </c>
      <c r="AX108" s="15">
        <v>0</v>
      </c>
      <c r="AY108" s="15">
        <v>0</v>
      </c>
      <c r="AZ108" s="15">
        <v>0</v>
      </c>
      <c r="BA108" s="15">
        <v>0</v>
      </c>
      <c r="BB108" s="15">
        <v>0</v>
      </c>
      <c r="BC108" s="15">
        <v>0</v>
      </c>
      <c r="BD108" s="15">
        <v>0</v>
      </c>
    </row>
    <row r="109" spans="1:56" x14ac:dyDescent="0.35">
      <c r="A109" s="14" t="s">
        <v>99</v>
      </c>
      <c r="B109" s="10">
        <v>0</v>
      </c>
      <c r="C109" s="13"/>
      <c r="D109" s="15">
        <v>0</v>
      </c>
      <c r="E109" s="15">
        <v>0</v>
      </c>
      <c r="F109" s="15">
        <v>0</v>
      </c>
      <c r="G109" s="15">
        <v>0</v>
      </c>
      <c r="H109" s="15">
        <v>0</v>
      </c>
      <c r="I109" s="15">
        <v>0</v>
      </c>
      <c r="J109" s="15">
        <v>0</v>
      </c>
      <c r="K109" s="15">
        <v>0</v>
      </c>
      <c r="L109" s="15">
        <v>0</v>
      </c>
      <c r="M109" s="15">
        <v>0</v>
      </c>
      <c r="N109" s="15">
        <v>0</v>
      </c>
      <c r="O109" s="15">
        <v>0</v>
      </c>
      <c r="P109" s="15">
        <v>0</v>
      </c>
      <c r="Q109" s="15">
        <v>0</v>
      </c>
      <c r="R109" s="15">
        <v>0</v>
      </c>
      <c r="S109" s="15">
        <v>0</v>
      </c>
      <c r="T109" s="15">
        <v>0</v>
      </c>
      <c r="U109" s="15">
        <v>0</v>
      </c>
      <c r="V109" s="15">
        <v>0</v>
      </c>
      <c r="W109" s="15">
        <v>0</v>
      </c>
      <c r="X109" s="15">
        <v>0</v>
      </c>
      <c r="Y109" s="15">
        <v>0</v>
      </c>
      <c r="Z109" s="15">
        <v>0</v>
      </c>
      <c r="AA109" s="15">
        <v>0</v>
      </c>
      <c r="AB109" s="15">
        <v>0</v>
      </c>
      <c r="AC109" s="15">
        <v>0</v>
      </c>
      <c r="AD109" s="15">
        <v>0</v>
      </c>
      <c r="AE109" s="15">
        <v>0</v>
      </c>
      <c r="AF109" s="15">
        <v>0</v>
      </c>
      <c r="AG109" s="15">
        <v>0</v>
      </c>
      <c r="AH109" s="15">
        <v>0</v>
      </c>
      <c r="AI109" s="15">
        <v>0</v>
      </c>
      <c r="AJ109" s="15">
        <v>0</v>
      </c>
      <c r="AK109" s="15">
        <v>0</v>
      </c>
      <c r="AL109" s="15">
        <v>0</v>
      </c>
      <c r="AM109" s="15">
        <v>0</v>
      </c>
      <c r="AN109" s="15">
        <v>0</v>
      </c>
      <c r="AO109" s="15">
        <v>0</v>
      </c>
      <c r="AP109" s="15">
        <v>0</v>
      </c>
      <c r="AQ109" s="15">
        <v>0</v>
      </c>
      <c r="AR109" s="15">
        <v>0</v>
      </c>
      <c r="AS109" s="15">
        <v>0</v>
      </c>
      <c r="AT109" s="15">
        <v>0</v>
      </c>
      <c r="AU109" s="15">
        <v>0</v>
      </c>
      <c r="AV109" s="15">
        <v>0</v>
      </c>
      <c r="AW109" s="15">
        <v>0</v>
      </c>
      <c r="AX109" s="15">
        <v>0</v>
      </c>
      <c r="AY109" s="15">
        <v>0</v>
      </c>
      <c r="AZ109" s="15">
        <v>0</v>
      </c>
      <c r="BA109" s="15">
        <v>0</v>
      </c>
      <c r="BB109" s="15">
        <v>0</v>
      </c>
      <c r="BC109" s="15">
        <v>0</v>
      </c>
      <c r="BD109" s="15">
        <v>0</v>
      </c>
    </row>
    <row r="110" spans="1:56" x14ac:dyDescent="0.35">
      <c r="A110" s="17" t="s">
        <v>100</v>
      </c>
      <c r="B110" s="18"/>
      <c r="C110" s="18"/>
      <c r="D110" s="18"/>
      <c r="E110" s="18"/>
      <c r="F110" s="18"/>
      <c r="G110" s="18"/>
      <c r="H110" s="18"/>
      <c r="I110" s="18"/>
      <c r="J110" s="18"/>
      <c r="K110" s="18"/>
      <c r="L110" s="18"/>
      <c r="M110" s="18"/>
      <c r="N110" s="18"/>
      <c r="O110" s="18"/>
      <c r="P110" s="18"/>
      <c r="Q110" s="18"/>
      <c r="R110" s="18"/>
      <c r="S110" s="18"/>
      <c r="T110" s="18"/>
      <c r="U110" s="18"/>
      <c r="V110" s="18"/>
      <c r="W110" s="18"/>
      <c r="X110" s="18"/>
      <c r="Y110" s="18"/>
      <c r="Z110" s="18"/>
      <c r="AA110" s="18"/>
      <c r="AB110" s="18"/>
      <c r="AC110" s="18"/>
      <c r="AD110" s="18"/>
      <c r="AE110" s="18"/>
      <c r="AF110" s="18"/>
      <c r="AG110" s="18"/>
      <c r="AH110" s="18"/>
      <c r="AI110" s="18"/>
      <c r="AJ110" s="18"/>
      <c r="AK110" s="18"/>
      <c r="AL110" s="18"/>
      <c r="AM110" s="18"/>
      <c r="AN110" s="18"/>
      <c r="AO110" s="18"/>
      <c r="AP110" s="18"/>
      <c r="AQ110" s="18"/>
      <c r="AR110" s="18"/>
      <c r="AS110" s="18"/>
      <c r="AT110" s="18"/>
      <c r="AU110" s="18"/>
      <c r="AV110" s="18"/>
      <c r="AW110" s="18"/>
      <c r="AX110" s="18"/>
      <c r="AY110" s="18"/>
      <c r="AZ110" s="18"/>
      <c r="BA110" s="18"/>
      <c r="BB110" s="18"/>
      <c r="BC110" s="18"/>
      <c r="BD110" s="18"/>
    </row>
    <row r="111" spans="1:56" x14ac:dyDescent="0.35">
      <c r="A111" s="14" t="s">
        <v>103</v>
      </c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2"/>
      <c r="BC111" s="2"/>
      <c r="BD111" s="2"/>
    </row>
  </sheetData>
  <mergeCells count="58">
    <mergeCell ref="BD8:BD9"/>
    <mergeCell ref="AS8:AS9"/>
    <mergeCell ref="AT8:AT9"/>
    <mergeCell ref="AU8:AU9"/>
    <mergeCell ref="AV8:AV9"/>
    <mergeCell ref="AW8:AW9"/>
    <mergeCell ref="AX8:AX9"/>
    <mergeCell ref="AY8:AY9"/>
    <mergeCell ref="AZ8:AZ9"/>
    <mergeCell ref="BA8:BA9"/>
    <mergeCell ref="BB8:BB9"/>
    <mergeCell ref="BC8:BC9"/>
    <mergeCell ref="AR8:AR9"/>
    <mergeCell ref="AG8:AG9"/>
    <mergeCell ref="AH8:AH9"/>
    <mergeCell ref="AI8:AI9"/>
    <mergeCell ref="AJ8:AJ9"/>
    <mergeCell ref="AK8:AK9"/>
    <mergeCell ref="AL8:AL9"/>
    <mergeCell ref="AM8:AM9"/>
    <mergeCell ref="AN8:AN9"/>
    <mergeCell ref="AO8:AO9"/>
    <mergeCell ref="AP8:AP9"/>
    <mergeCell ref="AQ8:AQ9"/>
    <mergeCell ref="S8:S9"/>
    <mergeCell ref="AF8:AF9"/>
    <mergeCell ref="U8:U9"/>
    <mergeCell ref="V8:V9"/>
    <mergeCell ref="W8:W9"/>
    <mergeCell ref="X8:X9"/>
    <mergeCell ref="Y8:Y9"/>
    <mergeCell ref="Z8:Z9"/>
    <mergeCell ref="AA8:AA9"/>
    <mergeCell ref="AB8:AB9"/>
    <mergeCell ref="AC8:AC9"/>
    <mergeCell ref="AD8:AD9"/>
    <mergeCell ref="AE8:AE9"/>
    <mergeCell ref="N8:N9"/>
    <mergeCell ref="O8:O9"/>
    <mergeCell ref="P8:P9"/>
    <mergeCell ref="Q8:Q9"/>
    <mergeCell ref="R8:R9"/>
    <mergeCell ref="A7:A9"/>
    <mergeCell ref="B7:C7"/>
    <mergeCell ref="D7:BD7"/>
    <mergeCell ref="B8:B9"/>
    <mergeCell ref="C8:C9"/>
    <mergeCell ref="D8:D9"/>
    <mergeCell ref="E8:E9"/>
    <mergeCell ref="F8:F9"/>
    <mergeCell ref="G8:G9"/>
    <mergeCell ref="H8:H9"/>
    <mergeCell ref="T8:T9"/>
    <mergeCell ref="I8:I9"/>
    <mergeCell ref="J8:J9"/>
    <mergeCell ref="K8:K9"/>
    <mergeCell ref="L8:L9"/>
    <mergeCell ref="M8:M9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17A56B-D175-48D1-9955-5B60E7A7679E}">
  <dimension ref="A1:BE113"/>
  <sheetViews>
    <sheetView topLeftCell="A99" workbookViewId="0">
      <selection activeCell="AZ115" sqref="AZ115"/>
    </sheetView>
  </sheetViews>
  <sheetFormatPr baseColWidth="10" defaultColWidth="11.453125" defaultRowHeight="14.5" x14ac:dyDescent="0.35"/>
  <sheetData>
    <row r="1" spans="1:57" x14ac:dyDescent="0.35">
      <c r="A1" s="20"/>
      <c r="B1" s="21"/>
      <c r="C1" s="22"/>
      <c r="D1" s="21"/>
      <c r="E1" s="21"/>
      <c r="F1" s="21"/>
      <c r="G1" s="21"/>
      <c r="H1" s="21"/>
      <c r="I1" s="21"/>
      <c r="J1" s="21"/>
      <c r="K1" s="21"/>
      <c r="L1" s="21"/>
      <c r="M1" s="21"/>
      <c r="N1" s="21"/>
      <c r="O1" s="21"/>
      <c r="P1" s="21"/>
      <c r="Q1" s="21"/>
      <c r="R1" s="21"/>
      <c r="S1" s="21"/>
      <c r="T1" s="21"/>
      <c r="U1" s="21"/>
      <c r="V1" s="21"/>
      <c r="W1" s="21"/>
      <c r="X1" s="21"/>
      <c r="Y1" s="21"/>
      <c r="Z1" s="21"/>
      <c r="AA1" s="21"/>
      <c r="AB1" s="21"/>
      <c r="AC1" s="21"/>
      <c r="AD1" s="21"/>
      <c r="AE1" s="21"/>
      <c r="AF1" s="21"/>
      <c r="AG1" s="21"/>
      <c r="AH1" s="21"/>
      <c r="AI1" s="21"/>
      <c r="AJ1" s="21"/>
      <c r="AK1" s="21"/>
      <c r="AL1" s="21"/>
      <c r="AM1" s="21"/>
      <c r="AN1" s="21"/>
      <c r="AO1" s="21"/>
      <c r="AP1" s="21"/>
      <c r="AQ1" s="21"/>
      <c r="AR1" s="21"/>
      <c r="AS1" s="21"/>
      <c r="AT1" s="21"/>
      <c r="AU1" s="21"/>
      <c r="AV1" s="21"/>
      <c r="AW1" s="21"/>
      <c r="AX1" s="21"/>
      <c r="AY1" s="21"/>
      <c r="AZ1" s="21"/>
      <c r="BA1" s="21"/>
      <c r="BB1" s="21"/>
      <c r="BC1" s="21"/>
      <c r="BD1" s="21"/>
      <c r="BE1" s="21"/>
    </row>
    <row r="2" spans="1:57" x14ac:dyDescent="0.35">
      <c r="A2" s="20" t="s">
        <v>0</v>
      </c>
      <c r="B2" s="21"/>
      <c r="C2" s="22"/>
      <c r="D2" s="21"/>
      <c r="E2" s="21"/>
      <c r="F2" s="21"/>
      <c r="G2" s="21"/>
      <c r="H2" s="21"/>
      <c r="I2" s="21"/>
      <c r="J2" s="21"/>
      <c r="K2" s="21"/>
      <c r="L2" s="21"/>
      <c r="M2" s="21"/>
      <c r="N2" s="21"/>
      <c r="O2" s="21"/>
      <c r="P2" s="21"/>
      <c r="Q2" s="21"/>
      <c r="R2" s="21"/>
      <c r="S2" s="21"/>
      <c r="T2" s="21"/>
      <c r="U2" s="21"/>
      <c r="V2" s="21"/>
      <c r="W2" s="21"/>
      <c r="X2" s="21"/>
      <c r="Y2" s="21"/>
      <c r="Z2" s="21"/>
      <c r="AA2" s="21"/>
      <c r="AB2" s="21"/>
      <c r="AC2" s="21"/>
      <c r="AD2" s="21"/>
      <c r="AE2" s="21"/>
      <c r="AF2" s="21"/>
      <c r="AG2" s="21"/>
      <c r="AH2" s="21"/>
      <c r="AI2" s="21"/>
      <c r="AJ2" s="21"/>
      <c r="AK2" s="21"/>
      <c r="AL2" s="21"/>
      <c r="AM2" s="21"/>
      <c r="AN2" s="21"/>
      <c r="AO2" s="21"/>
      <c r="AP2" s="21"/>
      <c r="AQ2" s="21"/>
      <c r="AR2" s="21"/>
      <c r="AS2" s="21"/>
      <c r="AT2" s="21"/>
      <c r="AU2" s="21"/>
      <c r="AV2" s="21"/>
      <c r="AW2" s="21"/>
      <c r="AX2" s="21"/>
      <c r="AY2" s="21"/>
      <c r="AZ2" s="21"/>
      <c r="BA2" s="21"/>
      <c r="BB2" s="21"/>
      <c r="BC2" s="21"/>
      <c r="BD2" s="21"/>
      <c r="BE2" s="21"/>
    </row>
    <row r="3" spans="1:57" x14ac:dyDescent="0.35">
      <c r="A3" s="20" t="s">
        <v>1</v>
      </c>
      <c r="B3" s="21"/>
      <c r="C3" s="22"/>
      <c r="D3" s="21"/>
      <c r="E3" s="21"/>
      <c r="F3" s="21"/>
      <c r="G3" s="21"/>
      <c r="H3" s="21"/>
      <c r="I3" s="21"/>
      <c r="J3" s="21"/>
      <c r="K3" s="21"/>
      <c r="L3" s="21"/>
      <c r="M3" s="21"/>
      <c r="N3" s="21"/>
      <c r="O3" s="21"/>
      <c r="P3" s="21"/>
      <c r="Q3" s="21"/>
      <c r="R3" s="21"/>
      <c r="S3" s="21"/>
      <c r="T3" s="21"/>
      <c r="U3" s="21"/>
      <c r="V3" s="21"/>
      <c r="W3" s="21"/>
      <c r="X3" s="21"/>
      <c r="Y3" s="21"/>
      <c r="Z3" s="21"/>
      <c r="AA3" s="21"/>
      <c r="AB3" s="21"/>
      <c r="AC3" s="21"/>
      <c r="AD3" s="21"/>
      <c r="AE3" s="21"/>
      <c r="AF3" s="21"/>
      <c r="AG3" s="21"/>
      <c r="AH3" s="21"/>
      <c r="AI3" s="21"/>
      <c r="AJ3" s="21"/>
      <c r="AK3" s="21"/>
      <c r="AL3" s="21"/>
      <c r="AM3" s="21"/>
      <c r="AN3" s="21"/>
      <c r="AO3" s="21"/>
      <c r="AP3" s="21"/>
      <c r="AQ3" s="21"/>
      <c r="AR3" s="21"/>
      <c r="AS3" s="21"/>
      <c r="AT3" s="21"/>
      <c r="AU3" s="21"/>
      <c r="AV3" s="21"/>
      <c r="AW3" s="21"/>
      <c r="AX3" s="21"/>
      <c r="AY3" s="21"/>
      <c r="AZ3" s="21"/>
      <c r="BA3" s="21"/>
      <c r="BB3" s="21"/>
      <c r="BC3" s="21"/>
      <c r="BD3" s="21"/>
      <c r="BE3" s="21"/>
    </row>
    <row r="4" spans="1:57" x14ac:dyDescent="0.35">
      <c r="A4" s="23" t="s">
        <v>2</v>
      </c>
      <c r="B4" s="21"/>
      <c r="C4" s="22"/>
      <c r="D4" s="21"/>
      <c r="E4" s="21"/>
      <c r="F4" s="21"/>
      <c r="G4" s="21"/>
      <c r="H4" s="21"/>
      <c r="I4" s="21"/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  <c r="V4" s="21"/>
      <c r="W4" s="21"/>
      <c r="X4" s="21"/>
      <c r="Y4" s="21"/>
      <c r="Z4" s="21"/>
      <c r="AA4" s="21"/>
      <c r="AB4" s="21"/>
      <c r="AC4" s="21"/>
      <c r="AD4" s="21"/>
      <c r="AE4" s="21"/>
      <c r="AF4" s="21"/>
      <c r="AG4" s="21"/>
      <c r="AH4" s="21"/>
      <c r="AI4" s="21"/>
      <c r="AJ4" s="21"/>
      <c r="AK4" s="21"/>
      <c r="AL4" s="21"/>
      <c r="AM4" s="21"/>
      <c r="AN4" s="21"/>
      <c r="AO4" s="21"/>
      <c r="AP4" s="21"/>
      <c r="AQ4" s="21"/>
      <c r="AR4" s="21"/>
      <c r="AS4" s="21"/>
      <c r="AT4" s="21"/>
      <c r="AU4" s="21"/>
      <c r="AV4" s="21"/>
      <c r="AW4" s="21"/>
      <c r="AX4" s="21"/>
      <c r="AY4" s="21"/>
      <c r="AZ4" s="21"/>
      <c r="BA4" s="21"/>
      <c r="BB4" s="21"/>
      <c r="BC4" s="21"/>
      <c r="BD4" s="21"/>
      <c r="BE4" s="21"/>
    </row>
    <row r="5" spans="1:57" x14ac:dyDescent="0.35">
      <c r="A5" s="20" t="s">
        <v>104</v>
      </c>
      <c r="B5" s="21"/>
      <c r="C5" s="22"/>
      <c r="D5" s="21"/>
      <c r="E5" s="21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  <c r="V5" s="21"/>
      <c r="W5" s="21"/>
      <c r="X5" s="21"/>
      <c r="Y5" s="21"/>
      <c r="Z5" s="21"/>
      <c r="AA5" s="21"/>
      <c r="AB5" s="21"/>
      <c r="AC5" s="21"/>
      <c r="AD5" s="21"/>
      <c r="AE5" s="21"/>
      <c r="AF5" s="21"/>
      <c r="AG5" s="21"/>
      <c r="AH5" s="21"/>
      <c r="AI5" s="21"/>
      <c r="AJ5" s="21"/>
      <c r="AK5" s="21"/>
      <c r="AL5" s="21"/>
      <c r="AM5" s="21"/>
      <c r="AN5" s="21"/>
      <c r="AO5" s="21"/>
      <c r="AP5" s="21"/>
      <c r="AQ5" s="21"/>
      <c r="AR5" s="21"/>
      <c r="AS5" s="21"/>
      <c r="AT5" s="21"/>
      <c r="AU5" s="21"/>
      <c r="AV5" s="21"/>
      <c r="AW5" s="21"/>
      <c r="AX5" s="21"/>
      <c r="AY5" s="21"/>
      <c r="AZ5" s="21"/>
      <c r="BA5" s="21"/>
      <c r="BB5" s="21"/>
      <c r="BC5" s="21"/>
      <c r="BD5" s="21"/>
      <c r="BE5" s="21"/>
    </row>
    <row r="6" spans="1:57" x14ac:dyDescent="0.35">
      <c r="A6" s="24"/>
      <c r="B6" s="25"/>
      <c r="C6" s="26"/>
      <c r="D6" s="21"/>
      <c r="E6" s="21"/>
      <c r="F6" s="21"/>
      <c r="G6" s="21"/>
      <c r="H6" s="21"/>
      <c r="I6" s="21"/>
      <c r="J6" s="21"/>
      <c r="K6" s="21"/>
      <c r="L6" s="21"/>
      <c r="M6" s="21"/>
      <c r="N6" s="21"/>
      <c r="O6" s="21"/>
      <c r="P6" s="21"/>
      <c r="Q6" s="21"/>
      <c r="R6" s="21"/>
      <c r="S6" s="21"/>
      <c r="T6" s="21"/>
      <c r="U6" s="21"/>
      <c r="V6" s="21"/>
      <c r="W6" s="21"/>
      <c r="X6" s="21"/>
      <c r="Y6" s="21"/>
      <c r="Z6" s="21"/>
      <c r="AA6" s="21"/>
      <c r="AB6" s="21"/>
      <c r="AC6" s="21"/>
      <c r="AD6" s="21"/>
      <c r="AE6" s="21"/>
      <c r="AF6" s="21"/>
      <c r="AG6" s="21"/>
      <c r="AH6" s="21"/>
      <c r="AI6" s="21"/>
      <c r="AJ6" s="21"/>
      <c r="AK6" s="21"/>
      <c r="AL6" s="21"/>
      <c r="AM6" s="21"/>
      <c r="AN6" s="21"/>
      <c r="AO6" s="21"/>
      <c r="AP6" s="21"/>
      <c r="AQ6" s="21"/>
      <c r="AR6" s="21"/>
      <c r="AS6" s="21"/>
      <c r="AT6" s="21"/>
      <c r="AU6" s="21"/>
      <c r="AV6" s="21"/>
      <c r="AW6" s="21"/>
      <c r="AX6" s="21"/>
      <c r="AY6" s="21"/>
      <c r="AZ6" s="21"/>
      <c r="BA6" s="21"/>
      <c r="BB6" s="21"/>
      <c r="BC6" s="21"/>
      <c r="BD6" s="21"/>
      <c r="BE6" s="21"/>
    </row>
    <row r="7" spans="1:57" x14ac:dyDescent="0.35">
      <c r="A7" s="88" t="s">
        <v>4</v>
      </c>
      <c r="B7" s="91" t="s">
        <v>5</v>
      </c>
      <c r="C7" s="91"/>
      <c r="D7" s="92" t="s">
        <v>6</v>
      </c>
      <c r="E7" s="92"/>
      <c r="F7" s="92"/>
      <c r="G7" s="92"/>
      <c r="H7" s="92"/>
      <c r="I7" s="92"/>
      <c r="J7" s="92"/>
      <c r="K7" s="92"/>
      <c r="L7" s="92"/>
      <c r="M7" s="92"/>
      <c r="N7" s="92"/>
      <c r="O7" s="92"/>
      <c r="P7" s="92"/>
      <c r="Q7" s="92"/>
      <c r="R7" s="92"/>
      <c r="S7" s="92"/>
      <c r="T7" s="92"/>
      <c r="U7" s="92"/>
      <c r="V7" s="92"/>
      <c r="W7" s="92"/>
      <c r="X7" s="92"/>
      <c r="Y7" s="92"/>
      <c r="Z7" s="92"/>
      <c r="AA7" s="92"/>
      <c r="AB7" s="92"/>
      <c r="AC7" s="92"/>
      <c r="AD7" s="92"/>
      <c r="AE7" s="92"/>
      <c r="AF7" s="92"/>
      <c r="AG7" s="92"/>
      <c r="AH7" s="92"/>
      <c r="AI7" s="92"/>
      <c r="AJ7" s="92"/>
      <c r="AK7" s="92"/>
      <c r="AL7" s="92"/>
      <c r="AM7" s="92"/>
      <c r="AN7" s="92"/>
      <c r="AO7" s="92"/>
      <c r="AP7" s="92"/>
      <c r="AQ7" s="92"/>
      <c r="AR7" s="92"/>
      <c r="AS7" s="92"/>
      <c r="AT7" s="92"/>
      <c r="AU7" s="92"/>
      <c r="AV7" s="92"/>
      <c r="AW7" s="92"/>
      <c r="AX7" s="92"/>
      <c r="AY7" s="92"/>
      <c r="AZ7" s="92"/>
      <c r="BA7" s="92"/>
      <c r="BB7" s="92"/>
      <c r="BC7" s="92"/>
      <c r="BD7" s="92"/>
      <c r="BE7" s="21"/>
    </row>
    <row r="8" spans="1:57" x14ac:dyDescent="0.35">
      <c r="A8" s="89"/>
      <c r="B8" s="93" t="s">
        <v>7</v>
      </c>
      <c r="C8" s="95" t="s">
        <v>8</v>
      </c>
      <c r="D8" s="97">
        <v>1</v>
      </c>
      <c r="E8" s="97">
        <v>2</v>
      </c>
      <c r="F8" s="97">
        <v>3</v>
      </c>
      <c r="G8" s="97">
        <v>4</v>
      </c>
      <c r="H8" s="97">
        <v>5</v>
      </c>
      <c r="I8" s="97">
        <v>6</v>
      </c>
      <c r="J8" s="97">
        <v>7</v>
      </c>
      <c r="K8" s="97">
        <v>8</v>
      </c>
      <c r="L8" s="97">
        <v>9</v>
      </c>
      <c r="M8" s="97">
        <v>10</v>
      </c>
      <c r="N8" s="97">
        <v>11</v>
      </c>
      <c r="O8" s="97">
        <v>12</v>
      </c>
      <c r="P8" s="97">
        <v>13</v>
      </c>
      <c r="Q8" s="97">
        <v>14</v>
      </c>
      <c r="R8" s="97">
        <v>15</v>
      </c>
      <c r="S8" s="97">
        <v>16</v>
      </c>
      <c r="T8" s="97">
        <v>17</v>
      </c>
      <c r="U8" s="97">
        <v>18</v>
      </c>
      <c r="V8" s="97">
        <v>19</v>
      </c>
      <c r="W8" s="97">
        <v>20</v>
      </c>
      <c r="X8" s="97">
        <v>21</v>
      </c>
      <c r="Y8" s="97">
        <v>22</v>
      </c>
      <c r="Z8" s="97">
        <v>23</v>
      </c>
      <c r="AA8" s="97">
        <v>24</v>
      </c>
      <c r="AB8" s="97">
        <v>25</v>
      </c>
      <c r="AC8" s="97">
        <v>26</v>
      </c>
      <c r="AD8" s="97">
        <v>27</v>
      </c>
      <c r="AE8" s="97">
        <v>28</v>
      </c>
      <c r="AF8" s="97">
        <v>29</v>
      </c>
      <c r="AG8" s="97">
        <v>30</v>
      </c>
      <c r="AH8" s="97">
        <v>31</v>
      </c>
      <c r="AI8" s="97">
        <v>32</v>
      </c>
      <c r="AJ8" s="97">
        <v>33</v>
      </c>
      <c r="AK8" s="97">
        <v>34</v>
      </c>
      <c r="AL8" s="97">
        <v>35</v>
      </c>
      <c r="AM8" s="97">
        <v>36</v>
      </c>
      <c r="AN8" s="97">
        <v>37</v>
      </c>
      <c r="AO8" s="97">
        <v>38</v>
      </c>
      <c r="AP8" s="97">
        <v>39</v>
      </c>
      <c r="AQ8" s="97">
        <v>40</v>
      </c>
      <c r="AR8" s="97">
        <v>41</v>
      </c>
      <c r="AS8" s="97">
        <v>42</v>
      </c>
      <c r="AT8" s="97">
        <v>43</v>
      </c>
      <c r="AU8" s="97">
        <v>44</v>
      </c>
      <c r="AV8" s="97">
        <v>45</v>
      </c>
      <c r="AW8" s="97">
        <v>46</v>
      </c>
      <c r="AX8" s="97">
        <v>47</v>
      </c>
      <c r="AY8" s="97">
        <v>48</v>
      </c>
      <c r="AZ8" s="97">
        <v>49</v>
      </c>
      <c r="BA8" s="97">
        <v>50</v>
      </c>
      <c r="BB8" s="97">
        <v>51</v>
      </c>
      <c r="BC8" s="97">
        <v>52</v>
      </c>
      <c r="BD8" s="97">
        <v>53</v>
      </c>
      <c r="BE8" s="21"/>
    </row>
    <row r="9" spans="1:57" x14ac:dyDescent="0.35">
      <c r="A9" s="90"/>
      <c r="B9" s="94"/>
      <c r="C9" s="96"/>
      <c r="D9" s="98"/>
      <c r="E9" s="98"/>
      <c r="F9" s="98"/>
      <c r="G9" s="98"/>
      <c r="H9" s="98"/>
      <c r="I9" s="98"/>
      <c r="J9" s="98"/>
      <c r="K9" s="98"/>
      <c r="L9" s="98"/>
      <c r="M9" s="98"/>
      <c r="N9" s="98"/>
      <c r="O9" s="98"/>
      <c r="P9" s="98"/>
      <c r="Q9" s="98"/>
      <c r="R9" s="98"/>
      <c r="S9" s="98"/>
      <c r="T9" s="98"/>
      <c r="U9" s="98"/>
      <c r="V9" s="98"/>
      <c r="W9" s="98"/>
      <c r="X9" s="98"/>
      <c r="Y9" s="98"/>
      <c r="Z9" s="98"/>
      <c r="AA9" s="98"/>
      <c r="AB9" s="98"/>
      <c r="AC9" s="98"/>
      <c r="AD9" s="98"/>
      <c r="AE9" s="98"/>
      <c r="AF9" s="98"/>
      <c r="AG9" s="98"/>
      <c r="AH9" s="98"/>
      <c r="AI9" s="98"/>
      <c r="AJ9" s="98"/>
      <c r="AK9" s="98"/>
      <c r="AL9" s="98"/>
      <c r="AM9" s="98"/>
      <c r="AN9" s="98"/>
      <c r="AO9" s="98"/>
      <c r="AP9" s="98"/>
      <c r="AQ9" s="98"/>
      <c r="AR9" s="98"/>
      <c r="AS9" s="98"/>
      <c r="AT9" s="98"/>
      <c r="AU9" s="98"/>
      <c r="AV9" s="98"/>
      <c r="AW9" s="98"/>
      <c r="AX9" s="98"/>
      <c r="AY9" s="98"/>
      <c r="AZ9" s="98"/>
      <c r="BA9" s="98"/>
      <c r="BB9" s="98"/>
      <c r="BC9" s="98"/>
      <c r="BD9" s="98"/>
      <c r="BE9" s="21"/>
    </row>
    <row r="10" spans="1:57" x14ac:dyDescent="0.35">
      <c r="A10" s="27"/>
      <c r="B10" s="21"/>
      <c r="C10" s="21"/>
      <c r="D10" s="21"/>
      <c r="E10" s="21"/>
      <c r="F10" s="21"/>
      <c r="G10" s="21"/>
      <c r="H10" s="21"/>
      <c r="I10" s="21"/>
      <c r="J10" s="21"/>
      <c r="K10" s="21"/>
      <c r="L10" s="21"/>
      <c r="M10" s="21"/>
      <c r="N10" s="21"/>
      <c r="O10" s="21"/>
      <c r="P10" s="21"/>
      <c r="Q10" s="21"/>
      <c r="R10" s="21"/>
      <c r="S10" s="21"/>
      <c r="T10" s="21"/>
      <c r="U10" s="21"/>
      <c r="V10" s="21"/>
      <c r="W10" s="21"/>
      <c r="X10" s="21"/>
      <c r="Y10" s="21"/>
      <c r="Z10" s="21"/>
      <c r="AA10" s="21"/>
      <c r="AB10" s="21"/>
      <c r="AC10" s="21"/>
      <c r="AD10" s="21"/>
      <c r="AE10" s="21"/>
      <c r="AF10" s="21"/>
      <c r="AG10" s="21"/>
      <c r="AH10" s="21"/>
      <c r="AI10" s="21"/>
      <c r="AJ10" s="21"/>
      <c r="AK10" s="21"/>
      <c r="AL10" s="21"/>
      <c r="AM10" s="21"/>
      <c r="AN10" s="21"/>
      <c r="AO10" s="21"/>
      <c r="AP10" s="21"/>
      <c r="AQ10" s="21"/>
      <c r="AR10" s="21"/>
      <c r="AS10" s="21"/>
      <c r="AT10" s="21"/>
      <c r="AU10" s="21"/>
      <c r="AV10" s="21"/>
      <c r="AW10" s="21"/>
      <c r="AX10" s="21"/>
      <c r="AY10" s="21"/>
      <c r="AZ10" s="21"/>
      <c r="BA10" s="21"/>
      <c r="BB10" s="21"/>
      <c r="BC10" s="21"/>
      <c r="BD10" s="21"/>
      <c r="BE10" s="21"/>
    </row>
    <row r="11" spans="1:57" x14ac:dyDescent="0.35">
      <c r="A11" s="28" t="s">
        <v>9</v>
      </c>
      <c r="B11" s="29">
        <v>10056</v>
      </c>
      <c r="C11" s="30">
        <v>196.7435960996404</v>
      </c>
      <c r="D11" s="29">
        <v>168</v>
      </c>
      <c r="E11" s="29">
        <v>171</v>
      </c>
      <c r="F11" s="29">
        <v>160</v>
      </c>
      <c r="G11" s="29">
        <v>154</v>
      </c>
      <c r="H11" s="29">
        <v>179</v>
      </c>
      <c r="I11" s="29">
        <v>146</v>
      </c>
      <c r="J11" s="29">
        <v>128</v>
      </c>
      <c r="K11" s="29">
        <v>147</v>
      </c>
      <c r="L11" s="29">
        <v>126</v>
      </c>
      <c r="M11" s="29">
        <v>129</v>
      </c>
      <c r="N11" s="29">
        <v>114</v>
      </c>
      <c r="O11" s="29">
        <v>85</v>
      </c>
      <c r="P11" s="29">
        <v>83</v>
      </c>
      <c r="Q11" s="29">
        <v>96</v>
      </c>
      <c r="R11" s="29">
        <v>110</v>
      </c>
      <c r="S11" s="29">
        <v>151</v>
      </c>
      <c r="T11" s="29">
        <v>154</v>
      </c>
      <c r="U11" s="29">
        <v>145</v>
      </c>
      <c r="V11" s="29">
        <v>214</v>
      </c>
      <c r="W11" s="29">
        <v>207</v>
      </c>
      <c r="X11" s="29">
        <v>246</v>
      </c>
      <c r="Y11" s="29">
        <v>301</v>
      </c>
      <c r="Z11" s="29">
        <v>386</v>
      </c>
      <c r="AA11" s="29">
        <v>376</v>
      </c>
      <c r="AB11" s="29">
        <v>427</v>
      </c>
      <c r="AC11" s="29">
        <v>419</v>
      </c>
      <c r="AD11" s="29">
        <v>445</v>
      </c>
      <c r="AE11" s="29">
        <v>386</v>
      </c>
      <c r="AF11" s="29">
        <v>416</v>
      </c>
      <c r="AG11" s="29">
        <v>445</v>
      </c>
      <c r="AH11" s="29">
        <v>398</v>
      </c>
      <c r="AI11" s="29">
        <v>420</v>
      </c>
      <c r="AJ11" s="29">
        <v>308</v>
      </c>
      <c r="AK11" s="29">
        <v>222</v>
      </c>
      <c r="AL11" s="29">
        <v>200</v>
      </c>
      <c r="AM11" s="29">
        <v>205</v>
      </c>
      <c r="AN11" s="29">
        <v>168</v>
      </c>
      <c r="AO11" s="29">
        <v>157</v>
      </c>
      <c r="AP11" s="29">
        <v>140</v>
      </c>
      <c r="AQ11" s="29">
        <v>108</v>
      </c>
      <c r="AR11" s="29">
        <v>95</v>
      </c>
      <c r="AS11" s="29">
        <v>96</v>
      </c>
      <c r="AT11" s="29">
        <v>113</v>
      </c>
      <c r="AU11" s="29">
        <v>101</v>
      </c>
      <c r="AV11" s="29">
        <v>100</v>
      </c>
      <c r="AW11" s="29">
        <v>98</v>
      </c>
      <c r="AX11" s="29">
        <v>100</v>
      </c>
      <c r="AY11" s="29">
        <v>68</v>
      </c>
      <c r="AZ11" s="29">
        <v>69</v>
      </c>
      <c r="BA11" s="29">
        <v>56</v>
      </c>
      <c r="BB11" s="29">
        <v>53</v>
      </c>
      <c r="BC11" s="29">
        <v>46</v>
      </c>
      <c r="BD11" s="29">
        <v>21</v>
      </c>
      <c r="BE11" s="21"/>
    </row>
    <row r="12" spans="1:57" x14ac:dyDescent="0.35">
      <c r="A12" s="20"/>
      <c r="B12" s="31"/>
      <c r="C12" s="32"/>
      <c r="D12" s="21"/>
      <c r="E12" s="21"/>
      <c r="F12" s="21"/>
      <c r="G12" s="21"/>
      <c r="H12" s="21"/>
      <c r="I12" s="21"/>
      <c r="J12" s="21"/>
      <c r="K12" s="21"/>
      <c r="L12" s="21"/>
      <c r="M12" s="21"/>
      <c r="N12" s="21"/>
      <c r="O12" s="21"/>
      <c r="P12" s="21"/>
      <c r="Q12" s="21"/>
      <c r="R12" s="21"/>
      <c r="S12" s="21"/>
      <c r="T12" s="21"/>
      <c r="U12" s="21"/>
      <c r="V12" s="21"/>
      <c r="W12" s="21"/>
      <c r="X12" s="21"/>
      <c r="Y12" s="21"/>
      <c r="Z12" s="21"/>
      <c r="AA12" s="21"/>
      <c r="AB12" s="21"/>
      <c r="AC12" s="21"/>
      <c r="AD12" s="21"/>
      <c r="AE12" s="21"/>
      <c r="AF12" s="21"/>
      <c r="AG12" s="21"/>
      <c r="AH12" s="21"/>
      <c r="AI12" s="21"/>
      <c r="AJ12" s="21"/>
      <c r="AK12" s="21"/>
      <c r="AL12" s="21"/>
      <c r="AM12" s="21"/>
      <c r="AN12" s="21"/>
      <c r="AO12" s="21"/>
      <c r="AP12" s="21"/>
      <c r="AQ12" s="21"/>
      <c r="AR12" s="21"/>
      <c r="AS12" s="21"/>
      <c r="AT12" s="21"/>
      <c r="AU12" s="21"/>
      <c r="AV12" s="21"/>
      <c r="AW12" s="21"/>
      <c r="AX12" s="21"/>
      <c r="AY12" s="21"/>
      <c r="AZ12" s="21"/>
      <c r="BA12" s="21"/>
      <c r="BB12" s="21"/>
      <c r="BC12" s="21"/>
      <c r="BD12" s="21"/>
      <c r="BE12" s="21"/>
    </row>
    <row r="13" spans="1:57" x14ac:dyDescent="0.35">
      <c r="A13" s="20" t="s">
        <v>10</v>
      </c>
      <c r="B13" s="29">
        <v>1729</v>
      </c>
      <c r="C13" s="30">
        <v>104.05965043420379</v>
      </c>
      <c r="D13" s="29">
        <v>22</v>
      </c>
      <c r="E13" s="29">
        <v>30</v>
      </c>
      <c r="F13" s="29">
        <v>24</v>
      </c>
      <c r="G13" s="29">
        <v>18</v>
      </c>
      <c r="H13" s="29">
        <v>9</v>
      </c>
      <c r="I13" s="29">
        <v>12</v>
      </c>
      <c r="J13" s="29">
        <v>10</v>
      </c>
      <c r="K13" s="29">
        <v>10</v>
      </c>
      <c r="L13" s="29">
        <v>15</v>
      </c>
      <c r="M13" s="29">
        <v>12</v>
      </c>
      <c r="N13" s="29">
        <v>15</v>
      </c>
      <c r="O13" s="29">
        <v>9</v>
      </c>
      <c r="P13" s="29">
        <v>8</v>
      </c>
      <c r="Q13" s="29">
        <v>14</v>
      </c>
      <c r="R13" s="29">
        <v>16</v>
      </c>
      <c r="S13" s="29">
        <v>30</v>
      </c>
      <c r="T13" s="29">
        <v>19</v>
      </c>
      <c r="U13" s="29">
        <v>22</v>
      </c>
      <c r="V13" s="29">
        <v>48</v>
      </c>
      <c r="W13" s="29">
        <v>47</v>
      </c>
      <c r="X13" s="29">
        <v>56</v>
      </c>
      <c r="Y13" s="29">
        <v>59</v>
      </c>
      <c r="Z13" s="29">
        <v>97</v>
      </c>
      <c r="AA13" s="29">
        <v>68</v>
      </c>
      <c r="AB13" s="29">
        <v>85</v>
      </c>
      <c r="AC13" s="29">
        <v>87</v>
      </c>
      <c r="AD13" s="29">
        <v>97</v>
      </c>
      <c r="AE13" s="29">
        <v>83</v>
      </c>
      <c r="AF13" s="29">
        <v>75</v>
      </c>
      <c r="AG13" s="29">
        <v>87</v>
      </c>
      <c r="AH13" s="29">
        <v>75</v>
      </c>
      <c r="AI13" s="29">
        <v>77</v>
      </c>
      <c r="AJ13" s="29">
        <v>43</v>
      </c>
      <c r="AK13" s="29">
        <v>41</v>
      </c>
      <c r="AL13" s="29">
        <v>37</v>
      </c>
      <c r="AM13" s="29">
        <v>40</v>
      </c>
      <c r="AN13" s="29">
        <v>23</v>
      </c>
      <c r="AO13" s="29">
        <v>33</v>
      </c>
      <c r="AP13" s="29">
        <v>25</v>
      </c>
      <c r="AQ13" s="29">
        <v>16</v>
      </c>
      <c r="AR13" s="29">
        <v>16</v>
      </c>
      <c r="AS13" s="29">
        <v>19</v>
      </c>
      <c r="AT13" s="29">
        <v>13</v>
      </c>
      <c r="AU13" s="29">
        <v>13</v>
      </c>
      <c r="AV13" s="29">
        <v>30</v>
      </c>
      <c r="AW13" s="29">
        <v>9</v>
      </c>
      <c r="AX13" s="29">
        <v>12</v>
      </c>
      <c r="AY13" s="29">
        <v>12</v>
      </c>
      <c r="AZ13" s="29">
        <v>5</v>
      </c>
      <c r="BA13" s="29">
        <v>0</v>
      </c>
      <c r="BB13" s="29">
        <v>6</v>
      </c>
      <c r="BC13" s="29">
        <v>0</v>
      </c>
      <c r="BD13" s="29">
        <v>0</v>
      </c>
      <c r="BE13" s="21"/>
    </row>
    <row r="14" spans="1:57" x14ac:dyDescent="0.35">
      <c r="A14" s="33" t="s">
        <v>11</v>
      </c>
      <c r="B14" s="34">
        <v>102</v>
      </c>
      <c r="C14" s="35">
        <v>29.361136218400798</v>
      </c>
      <c r="D14" s="34">
        <v>3</v>
      </c>
      <c r="E14" s="34">
        <v>11</v>
      </c>
      <c r="F14" s="34">
        <v>15</v>
      </c>
      <c r="G14" s="34">
        <v>7</v>
      </c>
      <c r="H14" s="34">
        <v>0</v>
      </c>
      <c r="I14" s="34">
        <v>2</v>
      </c>
      <c r="J14" s="34">
        <v>5</v>
      </c>
      <c r="K14" s="34">
        <v>3</v>
      </c>
      <c r="L14" s="34">
        <v>4</v>
      </c>
      <c r="M14" s="34">
        <v>2</v>
      </c>
      <c r="N14" s="34">
        <v>2</v>
      </c>
      <c r="O14" s="34">
        <v>0</v>
      </c>
      <c r="P14" s="34">
        <v>0</v>
      </c>
      <c r="Q14" s="34">
        <v>1</v>
      </c>
      <c r="R14" s="34">
        <v>0</v>
      </c>
      <c r="S14" s="34">
        <v>1</v>
      </c>
      <c r="T14" s="34">
        <v>1</v>
      </c>
      <c r="U14" s="34">
        <v>1</v>
      </c>
      <c r="V14" s="34">
        <v>0</v>
      </c>
      <c r="W14" s="34">
        <v>1</v>
      </c>
      <c r="X14" s="34">
        <v>1</v>
      </c>
      <c r="Y14" s="34">
        <v>2</v>
      </c>
      <c r="Z14" s="34">
        <v>3</v>
      </c>
      <c r="AA14" s="34">
        <v>1</v>
      </c>
      <c r="AB14" s="34">
        <v>2</v>
      </c>
      <c r="AC14" s="34">
        <v>3</v>
      </c>
      <c r="AD14" s="34">
        <v>1</v>
      </c>
      <c r="AE14" s="34">
        <v>1</v>
      </c>
      <c r="AF14" s="34">
        <v>0</v>
      </c>
      <c r="AG14" s="34">
        <v>0</v>
      </c>
      <c r="AH14" s="34">
        <v>0</v>
      </c>
      <c r="AI14" s="34">
        <v>0</v>
      </c>
      <c r="AJ14" s="34">
        <v>0</v>
      </c>
      <c r="AK14" s="34">
        <v>1</v>
      </c>
      <c r="AL14" s="34">
        <v>2</v>
      </c>
      <c r="AM14" s="34">
        <v>2</v>
      </c>
      <c r="AN14" s="34">
        <v>6</v>
      </c>
      <c r="AO14" s="34">
        <v>3</v>
      </c>
      <c r="AP14" s="34">
        <v>0</v>
      </c>
      <c r="AQ14" s="34">
        <v>0</v>
      </c>
      <c r="AR14" s="34">
        <v>1</v>
      </c>
      <c r="AS14" s="34">
        <v>2</v>
      </c>
      <c r="AT14" s="34">
        <v>0</v>
      </c>
      <c r="AU14" s="34">
        <v>2</v>
      </c>
      <c r="AV14" s="34">
        <v>2</v>
      </c>
      <c r="AW14" s="34">
        <v>1</v>
      </c>
      <c r="AX14" s="34">
        <v>2</v>
      </c>
      <c r="AY14" s="34">
        <v>1</v>
      </c>
      <c r="AZ14" s="34">
        <v>2</v>
      </c>
      <c r="BA14" s="34">
        <v>0</v>
      </c>
      <c r="BB14" s="34">
        <v>2</v>
      </c>
      <c r="BC14" s="34">
        <v>0</v>
      </c>
      <c r="BD14" s="34">
        <v>0</v>
      </c>
      <c r="BE14" s="21"/>
    </row>
    <row r="15" spans="1:57" x14ac:dyDescent="0.35">
      <c r="A15" s="33" t="s">
        <v>12</v>
      </c>
      <c r="B15" s="34">
        <v>4</v>
      </c>
      <c r="C15" s="35">
        <v>5.7098809489822138</v>
      </c>
      <c r="D15" s="34">
        <v>0</v>
      </c>
      <c r="E15" s="34">
        <v>0</v>
      </c>
      <c r="F15" s="34">
        <v>0</v>
      </c>
      <c r="G15" s="34">
        <v>0</v>
      </c>
      <c r="H15" s="34">
        <v>0</v>
      </c>
      <c r="I15" s="34">
        <v>0</v>
      </c>
      <c r="J15" s="34">
        <v>0</v>
      </c>
      <c r="K15" s="34">
        <v>0</v>
      </c>
      <c r="L15" s="34">
        <v>0</v>
      </c>
      <c r="M15" s="34">
        <v>1</v>
      </c>
      <c r="N15" s="34">
        <v>0</v>
      </c>
      <c r="O15" s="34">
        <v>0</v>
      </c>
      <c r="P15" s="34">
        <v>0</v>
      </c>
      <c r="Q15" s="34">
        <v>0</v>
      </c>
      <c r="R15" s="34">
        <v>0</v>
      </c>
      <c r="S15" s="34">
        <v>0</v>
      </c>
      <c r="T15" s="34">
        <v>0</v>
      </c>
      <c r="U15" s="34">
        <v>0</v>
      </c>
      <c r="V15" s="34">
        <v>0</v>
      </c>
      <c r="W15" s="34">
        <v>0</v>
      </c>
      <c r="X15" s="34">
        <v>0</v>
      </c>
      <c r="Y15" s="34">
        <v>1</v>
      </c>
      <c r="Z15" s="34">
        <v>1</v>
      </c>
      <c r="AA15" s="34">
        <v>1</v>
      </c>
      <c r="AB15" s="34">
        <v>0</v>
      </c>
      <c r="AC15" s="34">
        <v>0</v>
      </c>
      <c r="AD15" s="34">
        <v>0</v>
      </c>
      <c r="AE15" s="34">
        <v>0</v>
      </c>
      <c r="AF15" s="34">
        <v>0</v>
      </c>
      <c r="AG15" s="34">
        <v>0</v>
      </c>
      <c r="AH15" s="34">
        <v>0</v>
      </c>
      <c r="AI15" s="34">
        <v>0</v>
      </c>
      <c r="AJ15" s="34">
        <v>0</v>
      </c>
      <c r="AK15" s="34">
        <v>0</v>
      </c>
      <c r="AL15" s="34">
        <v>0</v>
      </c>
      <c r="AM15" s="34">
        <v>0</v>
      </c>
      <c r="AN15" s="34">
        <v>0</v>
      </c>
      <c r="AO15" s="34">
        <v>0</v>
      </c>
      <c r="AP15" s="34">
        <v>0</v>
      </c>
      <c r="AQ15" s="34">
        <v>0</v>
      </c>
      <c r="AR15" s="34">
        <v>0</v>
      </c>
      <c r="AS15" s="34">
        <v>0</v>
      </c>
      <c r="AT15" s="34">
        <v>0</v>
      </c>
      <c r="AU15" s="34">
        <v>0</v>
      </c>
      <c r="AV15" s="34">
        <v>0</v>
      </c>
      <c r="AW15" s="34">
        <v>0</v>
      </c>
      <c r="AX15" s="34">
        <v>0</v>
      </c>
      <c r="AY15" s="34">
        <v>0</v>
      </c>
      <c r="AZ15" s="34">
        <v>0</v>
      </c>
      <c r="BA15" s="34">
        <v>0</v>
      </c>
      <c r="BB15" s="34">
        <v>0</v>
      </c>
      <c r="BC15" s="34">
        <v>0</v>
      </c>
      <c r="BD15" s="34">
        <v>0</v>
      </c>
      <c r="BE15" s="21"/>
    </row>
    <row r="16" spans="1:57" x14ac:dyDescent="0.35">
      <c r="A16" s="33" t="s">
        <v>13</v>
      </c>
      <c r="B16" s="34">
        <v>57</v>
      </c>
      <c r="C16" s="35">
        <v>23.245571106978566</v>
      </c>
      <c r="D16" s="34">
        <v>6</v>
      </c>
      <c r="E16" s="34">
        <v>5</v>
      </c>
      <c r="F16" s="34">
        <v>3</v>
      </c>
      <c r="G16" s="34">
        <v>2</v>
      </c>
      <c r="H16" s="34">
        <v>4</v>
      </c>
      <c r="I16" s="34">
        <v>4</v>
      </c>
      <c r="J16" s="34">
        <v>1</v>
      </c>
      <c r="K16" s="34">
        <v>2</v>
      </c>
      <c r="L16" s="34">
        <v>2</v>
      </c>
      <c r="M16" s="34">
        <v>0</v>
      </c>
      <c r="N16" s="34">
        <v>7</v>
      </c>
      <c r="O16" s="34">
        <v>3</v>
      </c>
      <c r="P16" s="34">
        <v>2</v>
      </c>
      <c r="Q16" s="34">
        <v>4</v>
      </c>
      <c r="R16" s="34">
        <v>0</v>
      </c>
      <c r="S16" s="34">
        <v>3</v>
      </c>
      <c r="T16" s="34">
        <v>3</v>
      </c>
      <c r="U16" s="34">
        <v>3</v>
      </c>
      <c r="V16" s="34">
        <v>2</v>
      </c>
      <c r="W16" s="34">
        <v>0</v>
      </c>
      <c r="X16" s="34">
        <v>1</v>
      </c>
      <c r="Y16" s="34">
        <v>0</v>
      </c>
      <c r="Z16" s="34">
        <v>0</v>
      </c>
      <c r="AA16" s="34">
        <v>0</v>
      </c>
      <c r="AB16" s="34">
        <v>0</v>
      </c>
      <c r="AC16" s="34">
        <v>0</v>
      </c>
      <c r="AD16" s="34">
        <v>0</v>
      </c>
      <c r="AE16" s="34">
        <v>0</v>
      </c>
      <c r="AF16" s="34">
        <v>0</v>
      </c>
      <c r="AG16" s="34">
        <v>0</v>
      </c>
      <c r="AH16" s="34">
        <v>0</v>
      </c>
      <c r="AI16" s="34">
        <v>0</v>
      </c>
      <c r="AJ16" s="34">
        <v>0</v>
      </c>
      <c r="AK16" s="34">
        <v>0</v>
      </c>
      <c r="AL16" s="34">
        <v>0</v>
      </c>
      <c r="AM16" s="34">
        <v>0</v>
      </c>
      <c r="AN16" s="34">
        <v>0</v>
      </c>
      <c r="AO16" s="34">
        <v>0</v>
      </c>
      <c r="AP16" s="34">
        <v>0</v>
      </c>
      <c r="AQ16" s="34">
        <v>0</v>
      </c>
      <c r="AR16" s="34">
        <v>0</v>
      </c>
      <c r="AS16" s="34">
        <v>0</v>
      </c>
      <c r="AT16" s="34">
        <v>0</v>
      </c>
      <c r="AU16" s="34">
        <v>0</v>
      </c>
      <c r="AV16" s="34">
        <v>0</v>
      </c>
      <c r="AW16" s="34">
        <v>0</v>
      </c>
      <c r="AX16" s="34">
        <v>0</v>
      </c>
      <c r="AY16" s="34">
        <v>0</v>
      </c>
      <c r="AZ16" s="34">
        <v>0</v>
      </c>
      <c r="BA16" s="34">
        <v>0</v>
      </c>
      <c r="BB16" s="34">
        <v>0</v>
      </c>
      <c r="BC16" s="34">
        <v>0</v>
      </c>
      <c r="BD16" s="34">
        <v>0</v>
      </c>
      <c r="BE16" s="21"/>
    </row>
    <row r="17" spans="1:57" x14ac:dyDescent="0.35">
      <c r="A17" s="33" t="s">
        <v>14</v>
      </c>
      <c r="B17" s="34">
        <v>42</v>
      </c>
      <c r="C17" s="35">
        <v>110.57578390332517</v>
      </c>
      <c r="D17" s="34">
        <v>0</v>
      </c>
      <c r="E17" s="34">
        <v>1</v>
      </c>
      <c r="F17" s="34">
        <v>0</v>
      </c>
      <c r="G17" s="34">
        <v>4</v>
      </c>
      <c r="H17" s="34">
        <v>0</v>
      </c>
      <c r="I17" s="34">
        <v>1</v>
      </c>
      <c r="J17" s="34">
        <v>1</v>
      </c>
      <c r="K17" s="34">
        <v>0</v>
      </c>
      <c r="L17" s="34">
        <v>1</v>
      </c>
      <c r="M17" s="34">
        <v>2</v>
      </c>
      <c r="N17" s="34">
        <v>2</v>
      </c>
      <c r="O17" s="34">
        <v>2</v>
      </c>
      <c r="P17" s="34">
        <v>1</v>
      </c>
      <c r="Q17" s="34">
        <v>1</v>
      </c>
      <c r="R17" s="34">
        <v>1</v>
      </c>
      <c r="S17" s="34">
        <v>0</v>
      </c>
      <c r="T17" s="34">
        <v>0</v>
      </c>
      <c r="U17" s="34">
        <v>1</v>
      </c>
      <c r="V17" s="34">
        <v>0</v>
      </c>
      <c r="W17" s="34">
        <v>2</v>
      </c>
      <c r="X17" s="34">
        <v>5</v>
      </c>
      <c r="Y17" s="34">
        <v>10</v>
      </c>
      <c r="Z17" s="34">
        <v>6</v>
      </c>
      <c r="AA17" s="34">
        <v>1</v>
      </c>
      <c r="AB17" s="34">
        <v>0</v>
      </c>
      <c r="AC17" s="34">
        <v>0</v>
      </c>
      <c r="AD17" s="34">
        <v>0</v>
      </c>
      <c r="AE17" s="34">
        <v>0</v>
      </c>
      <c r="AF17" s="34">
        <v>0</v>
      </c>
      <c r="AG17" s="34">
        <v>0</v>
      </c>
      <c r="AH17" s="34">
        <v>0</v>
      </c>
      <c r="AI17" s="34">
        <v>0</v>
      </c>
      <c r="AJ17" s="34">
        <v>0</v>
      </c>
      <c r="AK17" s="34">
        <v>0</v>
      </c>
      <c r="AL17" s="34">
        <v>0</v>
      </c>
      <c r="AM17" s="34">
        <v>0</v>
      </c>
      <c r="AN17" s="34">
        <v>0</v>
      </c>
      <c r="AO17" s="34">
        <v>0</v>
      </c>
      <c r="AP17" s="34">
        <v>0</v>
      </c>
      <c r="AQ17" s="34">
        <v>0</v>
      </c>
      <c r="AR17" s="34">
        <v>0</v>
      </c>
      <c r="AS17" s="34">
        <v>0</v>
      </c>
      <c r="AT17" s="34">
        <v>0</v>
      </c>
      <c r="AU17" s="34">
        <v>0</v>
      </c>
      <c r="AV17" s="34">
        <v>0</v>
      </c>
      <c r="AW17" s="34">
        <v>0</v>
      </c>
      <c r="AX17" s="34">
        <v>0</v>
      </c>
      <c r="AY17" s="34">
        <v>0</v>
      </c>
      <c r="AZ17" s="34">
        <v>0</v>
      </c>
      <c r="BA17" s="34">
        <v>0</v>
      </c>
      <c r="BB17" s="34">
        <v>0</v>
      </c>
      <c r="BC17" s="34">
        <v>0</v>
      </c>
      <c r="BD17" s="34">
        <v>0</v>
      </c>
      <c r="BE17" s="21"/>
    </row>
    <row r="18" spans="1:57" x14ac:dyDescent="0.35">
      <c r="A18" s="33" t="s">
        <v>15</v>
      </c>
      <c r="B18" s="34">
        <v>5</v>
      </c>
      <c r="C18" s="35">
        <v>26.975991367682763</v>
      </c>
      <c r="D18" s="34">
        <v>0</v>
      </c>
      <c r="E18" s="34">
        <v>0</v>
      </c>
      <c r="F18" s="34">
        <v>0</v>
      </c>
      <c r="G18" s="34">
        <v>0</v>
      </c>
      <c r="H18" s="34">
        <v>0</v>
      </c>
      <c r="I18" s="34">
        <v>0</v>
      </c>
      <c r="J18" s="34">
        <v>0</v>
      </c>
      <c r="K18" s="34">
        <v>0</v>
      </c>
      <c r="L18" s="34">
        <v>0</v>
      </c>
      <c r="M18" s="34">
        <v>0</v>
      </c>
      <c r="N18" s="34">
        <v>0</v>
      </c>
      <c r="O18" s="34">
        <v>0</v>
      </c>
      <c r="P18" s="34">
        <v>0</v>
      </c>
      <c r="Q18" s="34">
        <v>0</v>
      </c>
      <c r="R18" s="34">
        <v>0</v>
      </c>
      <c r="S18" s="34">
        <v>0</v>
      </c>
      <c r="T18" s="34">
        <v>0</v>
      </c>
      <c r="U18" s="34">
        <v>0</v>
      </c>
      <c r="V18" s="34">
        <v>0</v>
      </c>
      <c r="W18" s="34">
        <v>0</v>
      </c>
      <c r="X18" s="34">
        <v>0</v>
      </c>
      <c r="Y18" s="34">
        <v>0</v>
      </c>
      <c r="Z18" s="34">
        <v>0</v>
      </c>
      <c r="AA18" s="34">
        <v>2</v>
      </c>
      <c r="AB18" s="34">
        <v>0</v>
      </c>
      <c r="AC18" s="34">
        <v>0</v>
      </c>
      <c r="AD18" s="34">
        <v>1</v>
      </c>
      <c r="AE18" s="34">
        <v>1</v>
      </c>
      <c r="AF18" s="34">
        <v>0</v>
      </c>
      <c r="AG18" s="34">
        <v>0</v>
      </c>
      <c r="AH18" s="34">
        <v>1</v>
      </c>
      <c r="AI18" s="34">
        <v>0</v>
      </c>
      <c r="AJ18" s="34">
        <v>0</v>
      </c>
      <c r="AK18" s="34">
        <v>0</v>
      </c>
      <c r="AL18" s="34">
        <v>0</v>
      </c>
      <c r="AM18" s="34">
        <v>0</v>
      </c>
      <c r="AN18" s="34">
        <v>0</v>
      </c>
      <c r="AO18" s="34">
        <v>0</v>
      </c>
      <c r="AP18" s="34">
        <v>0</v>
      </c>
      <c r="AQ18" s="34">
        <v>0</v>
      </c>
      <c r="AR18" s="34">
        <v>0</v>
      </c>
      <c r="AS18" s="34">
        <v>0</v>
      </c>
      <c r="AT18" s="34">
        <v>0</v>
      </c>
      <c r="AU18" s="34">
        <v>0</v>
      </c>
      <c r="AV18" s="34">
        <v>0</v>
      </c>
      <c r="AW18" s="34">
        <v>0</v>
      </c>
      <c r="AX18" s="34">
        <v>0</v>
      </c>
      <c r="AY18" s="34">
        <v>0</v>
      </c>
      <c r="AZ18" s="34">
        <v>0</v>
      </c>
      <c r="BA18" s="34">
        <v>0</v>
      </c>
      <c r="BB18" s="34">
        <v>0</v>
      </c>
      <c r="BC18" s="34">
        <v>0</v>
      </c>
      <c r="BD18" s="34">
        <v>0</v>
      </c>
      <c r="BE18" s="21"/>
    </row>
    <row r="19" spans="1:57" x14ac:dyDescent="0.35">
      <c r="A19" s="33" t="s">
        <v>16</v>
      </c>
      <c r="B19" s="34">
        <v>6</v>
      </c>
      <c r="C19" s="35">
        <v>9.4445056588329734</v>
      </c>
      <c r="D19" s="34">
        <v>1</v>
      </c>
      <c r="E19" s="34">
        <v>3</v>
      </c>
      <c r="F19" s="34">
        <v>1</v>
      </c>
      <c r="G19" s="34">
        <v>0</v>
      </c>
      <c r="H19" s="34">
        <v>0</v>
      </c>
      <c r="I19" s="34">
        <v>1</v>
      </c>
      <c r="J19" s="34">
        <v>0</v>
      </c>
      <c r="K19" s="34">
        <v>0</v>
      </c>
      <c r="L19" s="34">
        <v>0</v>
      </c>
      <c r="M19" s="34">
        <v>0</v>
      </c>
      <c r="N19" s="34">
        <v>0</v>
      </c>
      <c r="O19" s="34">
        <v>0</v>
      </c>
      <c r="P19" s="34">
        <v>0</v>
      </c>
      <c r="Q19" s="34">
        <v>0</v>
      </c>
      <c r="R19" s="34">
        <v>0</v>
      </c>
      <c r="S19" s="34">
        <v>0</v>
      </c>
      <c r="T19" s="34">
        <v>0</v>
      </c>
      <c r="U19" s="34">
        <v>0</v>
      </c>
      <c r="V19" s="34">
        <v>0</v>
      </c>
      <c r="W19" s="34">
        <v>0</v>
      </c>
      <c r="X19" s="34">
        <v>0</v>
      </c>
      <c r="Y19" s="34">
        <v>0</v>
      </c>
      <c r="Z19" s="34">
        <v>0</v>
      </c>
      <c r="AA19" s="34">
        <v>0</v>
      </c>
      <c r="AB19" s="34">
        <v>0</v>
      </c>
      <c r="AC19" s="34">
        <v>0</v>
      </c>
      <c r="AD19" s="34">
        <v>0</v>
      </c>
      <c r="AE19" s="34">
        <v>0</v>
      </c>
      <c r="AF19" s="34">
        <v>0</v>
      </c>
      <c r="AG19" s="34">
        <v>0</v>
      </c>
      <c r="AH19" s="34">
        <v>0</v>
      </c>
      <c r="AI19" s="34">
        <v>0</v>
      </c>
      <c r="AJ19" s="34">
        <v>0</v>
      </c>
      <c r="AK19" s="34">
        <v>0</v>
      </c>
      <c r="AL19" s="34">
        <v>0</v>
      </c>
      <c r="AM19" s="34">
        <v>0</v>
      </c>
      <c r="AN19" s="34">
        <v>0</v>
      </c>
      <c r="AO19" s="34">
        <v>0</v>
      </c>
      <c r="AP19" s="34">
        <v>0</v>
      </c>
      <c r="AQ19" s="34">
        <v>0</v>
      </c>
      <c r="AR19" s="34">
        <v>0</v>
      </c>
      <c r="AS19" s="34">
        <v>0</v>
      </c>
      <c r="AT19" s="34">
        <v>0</v>
      </c>
      <c r="AU19" s="34">
        <v>0</v>
      </c>
      <c r="AV19" s="34">
        <v>0</v>
      </c>
      <c r="AW19" s="34">
        <v>0</v>
      </c>
      <c r="AX19" s="34">
        <v>0</v>
      </c>
      <c r="AY19" s="34">
        <v>0</v>
      </c>
      <c r="AZ19" s="34">
        <v>0</v>
      </c>
      <c r="BA19" s="34">
        <v>0</v>
      </c>
      <c r="BB19" s="34">
        <v>0</v>
      </c>
      <c r="BC19" s="34">
        <v>0</v>
      </c>
      <c r="BD19" s="34">
        <v>0</v>
      </c>
      <c r="BE19" s="21"/>
    </row>
    <row r="20" spans="1:57" x14ac:dyDescent="0.35">
      <c r="A20" s="33" t="s">
        <v>17</v>
      </c>
      <c r="B20" s="34">
        <v>20</v>
      </c>
      <c r="C20" s="35">
        <v>65.967412098423381</v>
      </c>
      <c r="D20" s="34">
        <v>3</v>
      </c>
      <c r="E20" s="34">
        <v>3</v>
      </c>
      <c r="F20" s="34">
        <v>1</v>
      </c>
      <c r="G20" s="34">
        <v>2</v>
      </c>
      <c r="H20" s="34">
        <v>0</v>
      </c>
      <c r="I20" s="34">
        <v>0</v>
      </c>
      <c r="J20" s="34">
        <v>0</v>
      </c>
      <c r="K20" s="34">
        <v>0</v>
      </c>
      <c r="L20" s="34">
        <v>0</v>
      </c>
      <c r="M20" s="34">
        <v>0</v>
      </c>
      <c r="N20" s="34">
        <v>0</v>
      </c>
      <c r="O20" s="34">
        <v>0</v>
      </c>
      <c r="P20" s="34">
        <v>0</v>
      </c>
      <c r="Q20" s="34">
        <v>0</v>
      </c>
      <c r="R20" s="34">
        <v>0</v>
      </c>
      <c r="S20" s="34">
        <v>0</v>
      </c>
      <c r="T20" s="34">
        <v>0</v>
      </c>
      <c r="U20" s="34">
        <v>0</v>
      </c>
      <c r="V20" s="34">
        <v>0</v>
      </c>
      <c r="W20" s="34">
        <v>0</v>
      </c>
      <c r="X20" s="34">
        <v>0</v>
      </c>
      <c r="Y20" s="34">
        <v>0</v>
      </c>
      <c r="Z20" s="34">
        <v>1</v>
      </c>
      <c r="AA20" s="34">
        <v>0</v>
      </c>
      <c r="AB20" s="34">
        <v>1</v>
      </c>
      <c r="AC20" s="34">
        <v>1</v>
      </c>
      <c r="AD20" s="34">
        <v>1</v>
      </c>
      <c r="AE20" s="34">
        <v>0</v>
      </c>
      <c r="AF20" s="34">
        <v>0</v>
      </c>
      <c r="AG20" s="34">
        <v>3</v>
      </c>
      <c r="AH20" s="34">
        <v>3</v>
      </c>
      <c r="AI20" s="34">
        <v>0</v>
      </c>
      <c r="AJ20" s="34">
        <v>0</v>
      </c>
      <c r="AK20" s="34">
        <v>0</v>
      </c>
      <c r="AL20" s="34">
        <v>0</v>
      </c>
      <c r="AM20" s="34">
        <v>0</v>
      </c>
      <c r="AN20" s="34">
        <v>0</v>
      </c>
      <c r="AO20" s="34">
        <v>0</v>
      </c>
      <c r="AP20" s="34">
        <v>0</v>
      </c>
      <c r="AQ20" s="34">
        <v>0</v>
      </c>
      <c r="AR20" s="34">
        <v>0</v>
      </c>
      <c r="AS20" s="34">
        <v>0</v>
      </c>
      <c r="AT20" s="34">
        <v>0</v>
      </c>
      <c r="AU20" s="34">
        <v>1</v>
      </c>
      <c r="AV20" s="34">
        <v>0</v>
      </c>
      <c r="AW20" s="34">
        <v>0</v>
      </c>
      <c r="AX20" s="34">
        <v>0</v>
      </c>
      <c r="AY20" s="34">
        <v>0</v>
      </c>
      <c r="AZ20" s="34">
        <v>0</v>
      </c>
      <c r="BA20" s="34">
        <v>0</v>
      </c>
      <c r="BB20" s="34">
        <v>0</v>
      </c>
      <c r="BC20" s="34">
        <v>0</v>
      </c>
      <c r="BD20" s="34">
        <v>0</v>
      </c>
      <c r="BE20" s="21"/>
    </row>
    <row r="21" spans="1:57" x14ac:dyDescent="0.35">
      <c r="A21" s="33" t="s">
        <v>18</v>
      </c>
      <c r="B21" s="34">
        <v>5</v>
      </c>
      <c r="C21" s="35">
        <v>3.6094567767550982</v>
      </c>
      <c r="D21" s="34">
        <v>0</v>
      </c>
      <c r="E21" s="34">
        <v>1</v>
      </c>
      <c r="F21" s="34">
        <v>0</v>
      </c>
      <c r="G21" s="34">
        <v>0</v>
      </c>
      <c r="H21" s="34">
        <v>0</v>
      </c>
      <c r="I21" s="34">
        <v>0</v>
      </c>
      <c r="J21" s="34">
        <v>0</v>
      </c>
      <c r="K21" s="34">
        <v>0</v>
      </c>
      <c r="L21" s="34">
        <v>0</v>
      </c>
      <c r="M21" s="34">
        <v>0</v>
      </c>
      <c r="N21" s="34">
        <v>0</v>
      </c>
      <c r="O21" s="34">
        <v>0</v>
      </c>
      <c r="P21" s="34">
        <v>0</v>
      </c>
      <c r="Q21" s="34">
        <v>0</v>
      </c>
      <c r="R21" s="34">
        <v>0</v>
      </c>
      <c r="S21" s="34">
        <v>0</v>
      </c>
      <c r="T21" s="34">
        <v>1</v>
      </c>
      <c r="U21" s="34">
        <v>0</v>
      </c>
      <c r="V21" s="34">
        <v>0</v>
      </c>
      <c r="W21" s="34">
        <v>0</v>
      </c>
      <c r="X21" s="34">
        <v>1</v>
      </c>
      <c r="Y21" s="34">
        <v>0</v>
      </c>
      <c r="Z21" s="34">
        <v>1</v>
      </c>
      <c r="AA21" s="34">
        <v>1</v>
      </c>
      <c r="AB21" s="34">
        <v>0</v>
      </c>
      <c r="AC21" s="34">
        <v>0</v>
      </c>
      <c r="AD21" s="34">
        <v>0</v>
      </c>
      <c r="AE21" s="34">
        <v>0</v>
      </c>
      <c r="AF21" s="34">
        <v>0</v>
      </c>
      <c r="AG21" s="34">
        <v>0</v>
      </c>
      <c r="AH21" s="34">
        <v>0</v>
      </c>
      <c r="AI21" s="34">
        <v>0</v>
      </c>
      <c r="AJ21" s="34">
        <v>0</v>
      </c>
      <c r="AK21" s="34">
        <v>0</v>
      </c>
      <c r="AL21" s="34">
        <v>0</v>
      </c>
      <c r="AM21" s="34">
        <v>0</v>
      </c>
      <c r="AN21" s="34">
        <v>0</v>
      </c>
      <c r="AO21" s="34">
        <v>0</v>
      </c>
      <c r="AP21" s="34">
        <v>0</v>
      </c>
      <c r="AQ21" s="34">
        <v>0</v>
      </c>
      <c r="AR21" s="34">
        <v>0</v>
      </c>
      <c r="AS21" s="34">
        <v>0</v>
      </c>
      <c r="AT21" s="34">
        <v>0</v>
      </c>
      <c r="AU21" s="34">
        <v>0</v>
      </c>
      <c r="AV21" s="34">
        <v>0</v>
      </c>
      <c r="AW21" s="34">
        <v>0</v>
      </c>
      <c r="AX21" s="34">
        <v>0</v>
      </c>
      <c r="AY21" s="34">
        <v>0</v>
      </c>
      <c r="AZ21" s="34">
        <v>0</v>
      </c>
      <c r="BA21" s="34">
        <v>0</v>
      </c>
      <c r="BB21" s="34">
        <v>0</v>
      </c>
      <c r="BC21" s="34">
        <v>0</v>
      </c>
      <c r="BD21" s="34">
        <v>0</v>
      </c>
      <c r="BE21" s="21"/>
    </row>
    <row r="22" spans="1:57" x14ac:dyDescent="0.35">
      <c r="A22" s="33" t="s">
        <v>19</v>
      </c>
      <c r="B22" s="34">
        <v>89</v>
      </c>
      <c r="C22" s="35">
        <v>147.22180867781583</v>
      </c>
      <c r="D22" s="34">
        <v>1</v>
      </c>
      <c r="E22" s="34">
        <v>1</v>
      </c>
      <c r="F22" s="34">
        <v>1</v>
      </c>
      <c r="G22" s="34">
        <v>2</v>
      </c>
      <c r="H22" s="34">
        <v>0</v>
      </c>
      <c r="I22" s="34">
        <v>1</v>
      </c>
      <c r="J22" s="34">
        <v>1</v>
      </c>
      <c r="K22" s="34">
        <v>1</v>
      </c>
      <c r="L22" s="34">
        <v>0</v>
      </c>
      <c r="M22" s="34">
        <v>0</v>
      </c>
      <c r="N22" s="34">
        <v>1</v>
      </c>
      <c r="O22" s="34">
        <v>1</v>
      </c>
      <c r="P22" s="34">
        <v>1</v>
      </c>
      <c r="Q22" s="34">
        <v>0</v>
      </c>
      <c r="R22" s="34">
        <v>0</v>
      </c>
      <c r="S22" s="34">
        <v>0</v>
      </c>
      <c r="T22" s="34">
        <v>0</v>
      </c>
      <c r="U22" s="34">
        <v>1</v>
      </c>
      <c r="V22" s="34">
        <v>0</v>
      </c>
      <c r="W22" s="34">
        <v>0</v>
      </c>
      <c r="X22" s="34">
        <v>0</v>
      </c>
      <c r="Y22" s="34">
        <v>1</v>
      </c>
      <c r="Z22" s="34">
        <v>1</v>
      </c>
      <c r="AA22" s="34">
        <v>0</v>
      </c>
      <c r="AB22" s="34">
        <v>0</v>
      </c>
      <c r="AC22" s="34">
        <v>3</v>
      </c>
      <c r="AD22" s="34">
        <v>3</v>
      </c>
      <c r="AE22" s="34">
        <v>2</v>
      </c>
      <c r="AF22" s="34">
        <v>4</v>
      </c>
      <c r="AG22" s="34">
        <v>5</v>
      </c>
      <c r="AH22" s="34">
        <v>7</v>
      </c>
      <c r="AI22" s="34">
        <v>10</v>
      </c>
      <c r="AJ22" s="34">
        <v>1</v>
      </c>
      <c r="AK22" s="34">
        <v>1</v>
      </c>
      <c r="AL22" s="34">
        <v>4</v>
      </c>
      <c r="AM22" s="34">
        <v>3</v>
      </c>
      <c r="AN22" s="34">
        <v>1</v>
      </c>
      <c r="AO22" s="34">
        <v>3</v>
      </c>
      <c r="AP22" s="34">
        <v>2</v>
      </c>
      <c r="AQ22" s="34">
        <v>3</v>
      </c>
      <c r="AR22" s="34">
        <v>3</v>
      </c>
      <c r="AS22" s="34">
        <v>2</v>
      </c>
      <c r="AT22" s="34">
        <v>5</v>
      </c>
      <c r="AU22" s="34">
        <v>0</v>
      </c>
      <c r="AV22" s="34">
        <v>4</v>
      </c>
      <c r="AW22" s="34">
        <v>1</v>
      </c>
      <c r="AX22" s="34">
        <v>2</v>
      </c>
      <c r="AY22" s="34">
        <v>2</v>
      </c>
      <c r="AZ22" s="34">
        <v>1</v>
      </c>
      <c r="BA22" s="34">
        <v>0</v>
      </c>
      <c r="BB22" s="34">
        <v>3</v>
      </c>
      <c r="BC22" s="34">
        <v>0</v>
      </c>
      <c r="BD22" s="34">
        <v>0</v>
      </c>
      <c r="BE22" s="21"/>
    </row>
    <row r="23" spans="1:57" x14ac:dyDescent="0.35">
      <c r="A23" s="33" t="s">
        <v>20</v>
      </c>
      <c r="B23" s="34">
        <v>39</v>
      </c>
      <c r="C23" s="35">
        <v>41.248889452976265</v>
      </c>
      <c r="D23" s="34">
        <v>4</v>
      </c>
      <c r="E23" s="34">
        <v>4</v>
      </c>
      <c r="F23" s="34">
        <v>0</v>
      </c>
      <c r="G23" s="34">
        <v>0</v>
      </c>
      <c r="H23" s="34">
        <v>1</v>
      </c>
      <c r="I23" s="34">
        <v>1</v>
      </c>
      <c r="J23" s="34">
        <v>0</v>
      </c>
      <c r="K23" s="34">
        <v>2</v>
      </c>
      <c r="L23" s="34">
        <v>5</v>
      </c>
      <c r="M23" s="34">
        <v>2</v>
      </c>
      <c r="N23" s="34">
        <v>0</v>
      </c>
      <c r="O23" s="34">
        <v>1</v>
      </c>
      <c r="P23" s="34">
        <v>1</v>
      </c>
      <c r="Q23" s="34">
        <v>0</v>
      </c>
      <c r="R23" s="34">
        <v>0</v>
      </c>
      <c r="S23" s="34">
        <v>0</v>
      </c>
      <c r="T23" s="34">
        <v>1</v>
      </c>
      <c r="U23" s="34">
        <v>0</v>
      </c>
      <c r="V23" s="34">
        <v>7</v>
      </c>
      <c r="W23" s="34">
        <v>8</v>
      </c>
      <c r="X23" s="34">
        <v>2</v>
      </c>
      <c r="Y23" s="34">
        <v>0</v>
      </c>
      <c r="Z23" s="34">
        <v>0</v>
      </c>
      <c r="AA23" s="34">
        <v>0</v>
      </c>
      <c r="AB23" s="34">
        <v>0</v>
      </c>
      <c r="AC23" s="34">
        <v>0</v>
      </c>
      <c r="AD23" s="34">
        <v>0</v>
      </c>
      <c r="AE23" s="34">
        <v>0</v>
      </c>
      <c r="AF23" s="34">
        <v>0</v>
      </c>
      <c r="AG23" s="34">
        <v>0</v>
      </c>
      <c r="AH23" s="34">
        <v>0</v>
      </c>
      <c r="AI23" s="34">
        <v>0</v>
      </c>
      <c r="AJ23" s="34">
        <v>0</v>
      </c>
      <c r="AK23" s="34">
        <v>0</v>
      </c>
      <c r="AL23" s="34">
        <v>0</v>
      </c>
      <c r="AM23" s="34">
        <v>0</v>
      </c>
      <c r="AN23" s="34">
        <v>0</v>
      </c>
      <c r="AO23" s="34">
        <v>0</v>
      </c>
      <c r="AP23" s="34">
        <v>0</v>
      </c>
      <c r="AQ23" s="34">
        <v>0</v>
      </c>
      <c r="AR23" s="34">
        <v>0</v>
      </c>
      <c r="AS23" s="34">
        <v>0</v>
      </c>
      <c r="AT23" s="34">
        <v>0</v>
      </c>
      <c r="AU23" s="34">
        <v>0</v>
      </c>
      <c r="AV23" s="34">
        <v>0</v>
      </c>
      <c r="AW23" s="34">
        <v>0</v>
      </c>
      <c r="AX23" s="34">
        <v>0</v>
      </c>
      <c r="AY23" s="34">
        <v>0</v>
      </c>
      <c r="AZ23" s="34">
        <v>0</v>
      </c>
      <c r="BA23" s="34">
        <v>0</v>
      </c>
      <c r="BB23" s="34">
        <v>0</v>
      </c>
      <c r="BC23" s="34">
        <v>0</v>
      </c>
      <c r="BD23" s="34">
        <v>0</v>
      </c>
      <c r="BE23" s="21"/>
    </row>
    <row r="24" spans="1:57" x14ac:dyDescent="0.35">
      <c r="A24" s="33" t="s">
        <v>21</v>
      </c>
      <c r="B24" s="34">
        <v>4</v>
      </c>
      <c r="C24" s="35">
        <v>5.5816809232100253</v>
      </c>
      <c r="D24" s="34">
        <v>0</v>
      </c>
      <c r="E24" s="34">
        <v>0</v>
      </c>
      <c r="F24" s="34">
        <v>0</v>
      </c>
      <c r="G24" s="34">
        <v>0</v>
      </c>
      <c r="H24" s="34">
        <v>0</v>
      </c>
      <c r="I24" s="34">
        <v>0</v>
      </c>
      <c r="J24" s="34">
        <v>0</v>
      </c>
      <c r="K24" s="34">
        <v>0</v>
      </c>
      <c r="L24" s="34">
        <v>0</v>
      </c>
      <c r="M24" s="34">
        <v>0</v>
      </c>
      <c r="N24" s="34">
        <v>0</v>
      </c>
      <c r="O24" s="34">
        <v>0</v>
      </c>
      <c r="P24" s="34">
        <v>0</v>
      </c>
      <c r="Q24" s="34">
        <v>0</v>
      </c>
      <c r="R24" s="34">
        <v>0</v>
      </c>
      <c r="S24" s="34">
        <v>0</v>
      </c>
      <c r="T24" s="34">
        <v>0</v>
      </c>
      <c r="U24" s="34">
        <v>0</v>
      </c>
      <c r="V24" s="34">
        <v>0</v>
      </c>
      <c r="W24" s="34">
        <v>0</v>
      </c>
      <c r="X24" s="34">
        <v>0</v>
      </c>
      <c r="Y24" s="34">
        <v>0</v>
      </c>
      <c r="Z24" s="34">
        <v>0</v>
      </c>
      <c r="AA24" s="34">
        <v>0</v>
      </c>
      <c r="AB24" s="34">
        <v>1</v>
      </c>
      <c r="AC24" s="34">
        <v>0</v>
      </c>
      <c r="AD24" s="34">
        <v>1</v>
      </c>
      <c r="AE24" s="34">
        <v>1</v>
      </c>
      <c r="AF24" s="34">
        <v>0</v>
      </c>
      <c r="AG24" s="34">
        <v>0</v>
      </c>
      <c r="AH24" s="34">
        <v>0</v>
      </c>
      <c r="AI24" s="34">
        <v>0</v>
      </c>
      <c r="AJ24" s="34">
        <v>0</v>
      </c>
      <c r="AK24" s="34">
        <v>0</v>
      </c>
      <c r="AL24" s="34">
        <v>0</v>
      </c>
      <c r="AM24" s="34">
        <v>0</v>
      </c>
      <c r="AN24" s="34">
        <v>0</v>
      </c>
      <c r="AO24" s="34">
        <v>0</v>
      </c>
      <c r="AP24" s="34">
        <v>0</v>
      </c>
      <c r="AQ24" s="34">
        <v>0</v>
      </c>
      <c r="AR24" s="34">
        <v>0</v>
      </c>
      <c r="AS24" s="34">
        <v>1</v>
      </c>
      <c r="AT24" s="34">
        <v>0</v>
      </c>
      <c r="AU24" s="34">
        <v>0</v>
      </c>
      <c r="AV24" s="34">
        <v>0</v>
      </c>
      <c r="AW24" s="34">
        <v>0</v>
      </c>
      <c r="AX24" s="34">
        <v>0</v>
      </c>
      <c r="AY24" s="34">
        <v>0</v>
      </c>
      <c r="AZ24" s="34">
        <v>0</v>
      </c>
      <c r="BA24" s="34">
        <v>0</v>
      </c>
      <c r="BB24" s="34">
        <v>0</v>
      </c>
      <c r="BC24" s="34">
        <v>0</v>
      </c>
      <c r="BD24" s="34">
        <v>0</v>
      </c>
      <c r="BE24" s="21"/>
    </row>
    <row r="25" spans="1:57" x14ac:dyDescent="0.35">
      <c r="A25" s="33" t="s">
        <v>22</v>
      </c>
      <c r="B25" s="34">
        <v>9</v>
      </c>
      <c r="C25" s="35">
        <v>40.953767746632693</v>
      </c>
      <c r="D25" s="34">
        <v>0</v>
      </c>
      <c r="E25" s="34">
        <v>0</v>
      </c>
      <c r="F25" s="34">
        <v>0</v>
      </c>
      <c r="G25" s="34">
        <v>0</v>
      </c>
      <c r="H25" s="34">
        <v>0</v>
      </c>
      <c r="I25" s="34">
        <v>0</v>
      </c>
      <c r="J25" s="34">
        <v>0</v>
      </c>
      <c r="K25" s="34">
        <v>0</v>
      </c>
      <c r="L25" s="34">
        <v>0</v>
      </c>
      <c r="M25" s="34">
        <v>0</v>
      </c>
      <c r="N25" s="34">
        <v>0</v>
      </c>
      <c r="O25" s="34">
        <v>0</v>
      </c>
      <c r="P25" s="34">
        <v>0</v>
      </c>
      <c r="Q25" s="34">
        <v>0</v>
      </c>
      <c r="R25" s="34">
        <v>0</v>
      </c>
      <c r="S25" s="34">
        <v>0</v>
      </c>
      <c r="T25" s="34">
        <v>0</v>
      </c>
      <c r="U25" s="34">
        <v>0</v>
      </c>
      <c r="V25" s="34">
        <v>0</v>
      </c>
      <c r="W25" s="34">
        <v>0</v>
      </c>
      <c r="X25" s="34">
        <v>0</v>
      </c>
      <c r="Y25" s="34">
        <v>0</v>
      </c>
      <c r="Z25" s="34">
        <v>0</v>
      </c>
      <c r="AA25" s="34">
        <v>0</v>
      </c>
      <c r="AB25" s="34">
        <v>0</v>
      </c>
      <c r="AC25" s="34">
        <v>0</v>
      </c>
      <c r="AD25" s="34">
        <v>2</v>
      </c>
      <c r="AE25" s="34">
        <v>1</v>
      </c>
      <c r="AF25" s="34">
        <v>0</v>
      </c>
      <c r="AG25" s="34">
        <v>0</v>
      </c>
      <c r="AH25" s="34">
        <v>0</v>
      </c>
      <c r="AI25" s="34">
        <v>0</v>
      </c>
      <c r="AJ25" s="34">
        <v>0</v>
      </c>
      <c r="AK25" s="34">
        <v>1</v>
      </c>
      <c r="AL25" s="34">
        <v>0</v>
      </c>
      <c r="AM25" s="34">
        <v>0</v>
      </c>
      <c r="AN25" s="34">
        <v>2</v>
      </c>
      <c r="AO25" s="34">
        <v>0</v>
      </c>
      <c r="AP25" s="34">
        <v>0</v>
      </c>
      <c r="AQ25" s="34">
        <v>0</v>
      </c>
      <c r="AR25" s="34">
        <v>0</v>
      </c>
      <c r="AS25" s="34">
        <v>0</v>
      </c>
      <c r="AT25" s="34">
        <v>1</v>
      </c>
      <c r="AU25" s="34">
        <v>0</v>
      </c>
      <c r="AV25" s="34">
        <v>1</v>
      </c>
      <c r="AW25" s="34">
        <v>0</v>
      </c>
      <c r="AX25" s="34">
        <v>0</v>
      </c>
      <c r="AY25" s="34">
        <v>0</v>
      </c>
      <c r="AZ25" s="34">
        <v>1</v>
      </c>
      <c r="BA25" s="34">
        <v>0</v>
      </c>
      <c r="BB25" s="34">
        <v>0</v>
      </c>
      <c r="BC25" s="34">
        <v>0</v>
      </c>
      <c r="BD25" s="34">
        <v>0</v>
      </c>
      <c r="BE25" s="21"/>
    </row>
    <row r="26" spans="1:57" x14ac:dyDescent="0.35">
      <c r="A26" s="33" t="s">
        <v>23</v>
      </c>
      <c r="B26" s="34">
        <v>21</v>
      </c>
      <c r="C26" s="35">
        <v>24.742851083383407</v>
      </c>
      <c r="D26" s="34">
        <v>0</v>
      </c>
      <c r="E26" s="34">
        <v>0</v>
      </c>
      <c r="F26" s="34">
        <v>2</v>
      </c>
      <c r="G26" s="34">
        <v>1</v>
      </c>
      <c r="H26" s="34">
        <v>2</v>
      </c>
      <c r="I26" s="34">
        <v>1</v>
      </c>
      <c r="J26" s="34">
        <v>0</v>
      </c>
      <c r="K26" s="34">
        <v>1</v>
      </c>
      <c r="L26" s="34">
        <v>0</v>
      </c>
      <c r="M26" s="34">
        <v>2</v>
      </c>
      <c r="N26" s="34">
        <v>1</v>
      </c>
      <c r="O26" s="34">
        <v>0</v>
      </c>
      <c r="P26" s="34">
        <v>0</v>
      </c>
      <c r="Q26" s="34">
        <v>0</v>
      </c>
      <c r="R26" s="34">
        <v>0</v>
      </c>
      <c r="S26" s="34">
        <v>0</v>
      </c>
      <c r="T26" s="34">
        <v>0</v>
      </c>
      <c r="U26" s="34">
        <v>0</v>
      </c>
      <c r="V26" s="34">
        <v>0</v>
      </c>
      <c r="W26" s="34">
        <v>0</v>
      </c>
      <c r="X26" s="34">
        <v>0</v>
      </c>
      <c r="Y26" s="34">
        <v>2</v>
      </c>
      <c r="Z26" s="34">
        <v>0</v>
      </c>
      <c r="AA26" s="34">
        <v>0</v>
      </c>
      <c r="AB26" s="34">
        <v>0</v>
      </c>
      <c r="AC26" s="34">
        <v>0</v>
      </c>
      <c r="AD26" s="34">
        <v>0</v>
      </c>
      <c r="AE26" s="34">
        <v>0</v>
      </c>
      <c r="AF26" s="34">
        <v>0</v>
      </c>
      <c r="AG26" s="34">
        <v>0</v>
      </c>
      <c r="AH26" s="34">
        <v>0</v>
      </c>
      <c r="AI26" s="34">
        <v>0</v>
      </c>
      <c r="AJ26" s="34">
        <v>0</v>
      </c>
      <c r="AK26" s="34">
        <v>0</v>
      </c>
      <c r="AL26" s="34">
        <v>0</v>
      </c>
      <c r="AM26" s="34">
        <v>0</v>
      </c>
      <c r="AN26" s="34">
        <v>2</v>
      </c>
      <c r="AO26" s="34">
        <v>0</v>
      </c>
      <c r="AP26" s="34">
        <v>0</v>
      </c>
      <c r="AQ26" s="34">
        <v>1</v>
      </c>
      <c r="AR26" s="34">
        <v>1</v>
      </c>
      <c r="AS26" s="34">
        <v>2</v>
      </c>
      <c r="AT26" s="34">
        <v>1</v>
      </c>
      <c r="AU26" s="34">
        <v>1</v>
      </c>
      <c r="AV26" s="34">
        <v>0</v>
      </c>
      <c r="AW26" s="34">
        <v>1</v>
      </c>
      <c r="AX26" s="34">
        <v>0</v>
      </c>
      <c r="AY26" s="34">
        <v>0</v>
      </c>
      <c r="AZ26" s="34">
        <v>0</v>
      </c>
      <c r="BA26" s="34">
        <v>0</v>
      </c>
      <c r="BB26" s="34">
        <v>0</v>
      </c>
      <c r="BC26" s="34">
        <v>0</v>
      </c>
      <c r="BD26" s="34">
        <v>0</v>
      </c>
      <c r="BE26" s="21"/>
    </row>
    <row r="27" spans="1:57" x14ac:dyDescent="0.35">
      <c r="A27" s="33" t="s">
        <v>24</v>
      </c>
      <c r="B27" s="34">
        <v>2</v>
      </c>
      <c r="C27" s="35">
        <v>3.1913705340758591</v>
      </c>
      <c r="D27" s="34">
        <v>0</v>
      </c>
      <c r="E27" s="34">
        <v>1</v>
      </c>
      <c r="F27" s="34">
        <v>0</v>
      </c>
      <c r="G27" s="34">
        <v>0</v>
      </c>
      <c r="H27" s="34">
        <v>0</v>
      </c>
      <c r="I27" s="34">
        <v>0</v>
      </c>
      <c r="J27" s="34">
        <v>0</v>
      </c>
      <c r="K27" s="34">
        <v>0</v>
      </c>
      <c r="L27" s="34">
        <v>0</v>
      </c>
      <c r="M27" s="34">
        <v>0</v>
      </c>
      <c r="N27" s="34">
        <v>0</v>
      </c>
      <c r="O27" s="34">
        <v>0</v>
      </c>
      <c r="P27" s="34">
        <v>0</v>
      </c>
      <c r="Q27" s="34">
        <v>0</v>
      </c>
      <c r="R27" s="34">
        <v>0</v>
      </c>
      <c r="S27" s="34">
        <v>0</v>
      </c>
      <c r="T27" s="34">
        <v>0</v>
      </c>
      <c r="U27" s="34">
        <v>0</v>
      </c>
      <c r="V27" s="34">
        <v>0</v>
      </c>
      <c r="W27" s="34">
        <v>0</v>
      </c>
      <c r="X27" s="34">
        <v>0</v>
      </c>
      <c r="Y27" s="34">
        <v>0</v>
      </c>
      <c r="Z27" s="34">
        <v>0</v>
      </c>
      <c r="AA27" s="34">
        <v>0</v>
      </c>
      <c r="AB27" s="34">
        <v>0</v>
      </c>
      <c r="AC27" s="34">
        <v>0</v>
      </c>
      <c r="AD27" s="34">
        <v>0</v>
      </c>
      <c r="AE27" s="34">
        <v>0</v>
      </c>
      <c r="AF27" s="34">
        <v>0</v>
      </c>
      <c r="AG27" s="34">
        <v>0</v>
      </c>
      <c r="AH27" s="34">
        <v>0</v>
      </c>
      <c r="AI27" s="34">
        <v>0</v>
      </c>
      <c r="AJ27" s="34">
        <v>0</v>
      </c>
      <c r="AK27" s="34">
        <v>0</v>
      </c>
      <c r="AL27" s="34">
        <v>1</v>
      </c>
      <c r="AM27" s="34">
        <v>0</v>
      </c>
      <c r="AN27" s="34">
        <v>0</v>
      </c>
      <c r="AO27" s="34">
        <v>0</v>
      </c>
      <c r="AP27" s="34">
        <v>0</v>
      </c>
      <c r="AQ27" s="34">
        <v>0</v>
      </c>
      <c r="AR27" s="34">
        <v>0</v>
      </c>
      <c r="AS27" s="34">
        <v>0</v>
      </c>
      <c r="AT27" s="34">
        <v>0</v>
      </c>
      <c r="AU27" s="34">
        <v>0</v>
      </c>
      <c r="AV27" s="34">
        <v>0</v>
      </c>
      <c r="AW27" s="34">
        <v>0</v>
      </c>
      <c r="AX27" s="34">
        <v>0</v>
      </c>
      <c r="AY27" s="34">
        <v>0</v>
      </c>
      <c r="AZ27" s="34">
        <v>0</v>
      </c>
      <c r="BA27" s="34">
        <v>0</v>
      </c>
      <c r="BB27" s="34">
        <v>0</v>
      </c>
      <c r="BC27" s="34">
        <v>0</v>
      </c>
      <c r="BD27" s="34">
        <v>0</v>
      </c>
      <c r="BE27" s="21"/>
    </row>
    <row r="28" spans="1:57" x14ac:dyDescent="0.35">
      <c r="A28" s="33" t="s">
        <v>25</v>
      </c>
      <c r="B28" s="34">
        <v>4</v>
      </c>
      <c r="C28" s="35">
        <v>6.3966225832760308</v>
      </c>
      <c r="D28" s="34">
        <v>0</v>
      </c>
      <c r="E28" s="34">
        <v>0</v>
      </c>
      <c r="F28" s="34">
        <v>1</v>
      </c>
      <c r="G28" s="34">
        <v>0</v>
      </c>
      <c r="H28" s="34">
        <v>0</v>
      </c>
      <c r="I28" s="34">
        <v>0</v>
      </c>
      <c r="J28" s="34">
        <v>2</v>
      </c>
      <c r="K28" s="34">
        <v>0</v>
      </c>
      <c r="L28" s="34">
        <v>0</v>
      </c>
      <c r="M28" s="34">
        <v>0</v>
      </c>
      <c r="N28" s="34">
        <v>0</v>
      </c>
      <c r="O28" s="34">
        <v>0</v>
      </c>
      <c r="P28" s="34">
        <v>0</v>
      </c>
      <c r="Q28" s="34">
        <v>0</v>
      </c>
      <c r="R28" s="34">
        <v>0</v>
      </c>
      <c r="S28" s="34">
        <v>0</v>
      </c>
      <c r="T28" s="34">
        <v>0</v>
      </c>
      <c r="U28" s="34">
        <v>0</v>
      </c>
      <c r="V28" s="34">
        <v>0</v>
      </c>
      <c r="W28" s="34">
        <v>0</v>
      </c>
      <c r="X28" s="34">
        <v>1</v>
      </c>
      <c r="Y28" s="34">
        <v>0</v>
      </c>
      <c r="Z28" s="34">
        <v>0</v>
      </c>
      <c r="AA28" s="34">
        <v>0</v>
      </c>
      <c r="AB28" s="34">
        <v>0</v>
      </c>
      <c r="AC28" s="34">
        <v>0</v>
      </c>
      <c r="AD28" s="34">
        <v>0</v>
      </c>
      <c r="AE28" s="34">
        <v>0</v>
      </c>
      <c r="AF28" s="34">
        <v>0</v>
      </c>
      <c r="AG28" s="34">
        <v>0</v>
      </c>
      <c r="AH28" s="34">
        <v>0</v>
      </c>
      <c r="AI28" s="34">
        <v>0</v>
      </c>
      <c r="AJ28" s="34">
        <v>0</v>
      </c>
      <c r="AK28" s="34">
        <v>0</v>
      </c>
      <c r="AL28" s="34">
        <v>0</v>
      </c>
      <c r="AM28" s="34">
        <v>0</v>
      </c>
      <c r="AN28" s="34">
        <v>0</v>
      </c>
      <c r="AO28" s="34">
        <v>0</v>
      </c>
      <c r="AP28" s="34">
        <v>0</v>
      </c>
      <c r="AQ28" s="34">
        <v>0</v>
      </c>
      <c r="AR28" s="34">
        <v>0</v>
      </c>
      <c r="AS28" s="34">
        <v>0</v>
      </c>
      <c r="AT28" s="34">
        <v>0</v>
      </c>
      <c r="AU28" s="34">
        <v>0</v>
      </c>
      <c r="AV28" s="34">
        <v>0</v>
      </c>
      <c r="AW28" s="34">
        <v>0</v>
      </c>
      <c r="AX28" s="34">
        <v>0</v>
      </c>
      <c r="AY28" s="34">
        <v>0</v>
      </c>
      <c r="AZ28" s="34">
        <v>0</v>
      </c>
      <c r="BA28" s="34">
        <v>0</v>
      </c>
      <c r="BB28" s="34">
        <v>0</v>
      </c>
      <c r="BC28" s="34">
        <v>0</v>
      </c>
      <c r="BD28" s="34">
        <v>0</v>
      </c>
      <c r="BE28" s="21"/>
    </row>
    <row r="29" spans="1:57" x14ac:dyDescent="0.35">
      <c r="A29" s="33" t="s">
        <v>26</v>
      </c>
      <c r="B29" s="34">
        <v>1</v>
      </c>
      <c r="C29" s="35">
        <v>14.553922282055012</v>
      </c>
      <c r="D29" s="34">
        <v>0</v>
      </c>
      <c r="E29" s="34">
        <v>0</v>
      </c>
      <c r="F29" s="34">
        <v>0</v>
      </c>
      <c r="G29" s="34">
        <v>0</v>
      </c>
      <c r="H29" s="34">
        <v>0</v>
      </c>
      <c r="I29" s="34">
        <v>0</v>
      </c>
      <c r="J29" s="34">
        <v>0</v>
      </c>
      <c r="K29" s="34">
        <v>0</v>
      </c>
      <c r="L29" s="34">
        <v>0</v>
      </c>
      <c r="M29" s="34">
        <v>0</v>
      </c>
      <c r="N29" s="34">
        <v>0</v>
      </c>
      <c r="O29" s="34">
        <v>0</v>
      </c>
      <c r="P29" s="34">
        <v>0</v>
      </c>
      <c r="Q29" s="34">
        <v>0</v>
      </c>
      <c r="R29" s="34">
        <v>0</v>
      </c>
      <c r="S29" s="34">
        <v>0</v>
      </c>
      <c r="T29" s="34">
        <v>0</v>
      </c>
      <c r="U29" s="34">
        <v>0</v>
      </c>
      <c r="V29" s="34">
        <v>0</v>
      </c>
      <c r="W29" s="34">
        <v>0</v>
      </c>
      <c r="X29" s="34">
        <v>0</v>
      </c>
      <c r="Y29" s="34">
        <v>0</v>
      </c>
      <c r="Z29" s="34">
        <v>1</v>
      </c>
      <c r="AA29" s="34">
        <v>0</v>
      </c>
      <c r="AB29" s="34">
        <v>0</v>
      </c>
      <c r="AC29" s="34">
        <v>0</v>
      </c>
      <c r="AD29" s="34">
        <v>0</v>
      </c>
      <c r="AE29" s="34">
        <v>0</v>
      </c>
      <c r="AF29" s="34">
        <v>0</v>
      </c>
      <c r="AG29" s="34">
        <v>0</v>
      </c>
      <c r="AH29" s="34">
        <v>0</v>
      </c>
      <c r="AI29" s="34">
        <v>0</v>
      </c>
      <c r="AJ29" s="34">
        <v>0</v>
      </c>
      <c r="AK29" s="34">
        <v>0</v>
      </c>
      <c r="AL29" s="34">
        <v>0</v>
      </c>
      <c r="AM29" s="34">
        <v>0</v>
      </c>
      <c r="AN29" s="34">
        <v>0</v>
      </c>
      <c r="AO29" s="34">
        <v>0</v>
      </c>
      <c r="AP29" s="34">
        <v>0</v>
      </c>
      <c r="AQ29" s="34">
        <v>0</v>
      </c>
      <c r="AR29" s="34">
        <v>0</v>
      </c>
      <c r="AS29" s="34">
        <v>0</v>
      </c>
      <c r="AT29" s="34">
        <v>0</v>
      </c>
      <c r="AU29" s="34">
        <v>0</v>
      </c>
      <c r="AV29" s="34">
        <v>0</v>
      </c>
      <c r="AW29" s="34">
        <v>0</v>
      </c>
      <c r="AX29" s="34">
        <v>0</v>
      </c>
      <c r="AY29" s="34">
        <v>0</v>
      </c>
      <c r="AZ29" s="34">
        <v>0</v>
      </c>
      <c r="BA29" s="34">
        <v>0</v>
      </c>
      <c r="BB29" s="34">
        <v>0</v>
      </c>
      <c r="BC29" s="34">
        <v>0</v>
      </c>
      <c r="BD29" s="34">
        <v>0</v>
      </c>
      <c r="BE29" s="21"/>
    </row>
    <row r="30" spans="1:57" x14ac:dyDescent="0.35">
      <c r="A30" s="33" t="s">
        <v>27</v>
      </c>
      <c r="B30" s="34">
        <v>1</v>
      </c>
      <c r="C30" s="35">
        <v>12.581781580271766</v>
      </c>
      <c r="D30" s="34">
        <v>0</v>
      </c>
      <c r="E30" s="34">
        <v>0</v>
      </c>
      <c r="F30" s="34">
        <v>0</v>
      </c>
      <c r="G30" s="34">
        <v>0</v>
      </c>
      <c r="H30" s="34">
        <v>0</v>
      </c>
      <c r="I30" s="34">
        <v>0</v>
      </c>
      <c r="J30" s="34">
        <v>0</v>
      </c>
      <c r="K30" s="34">
        <v>0</v>
      </c>
      <c r="L30" s="34">
        <v>0</v>
      </c>
      <c r="M30" s="34">
        <v>0</v>
      </c>
      <c r="N30" s="34">
        <v>0</v>
      </c>
      <c r="O30" s="34">
        <v>0</v>
      </c>
      <c r="P30" s="34">
        <v>0</v>
      </c>
      <c r="Q30" s="34">
        <v>0</v>
      </c>
      <c r="R30" s="34">
        <v>0</v>
      </c>
      <c r="S30" s="34">
        <v>0</v>
      </c>
      <c r="T30" s="34">
        <v>0</v>
      </c>
      <c r="U30" s="34">
        <v>0</v>
      </c>
      <c r="V30" s="34">
        <v>0</v>
      </c>
      <c r="W30" s="34">
        <v>0</v>
      </c>
      <c r="X30" s="34">
        <v>0</v>
      </c>
      <c r="Y30" s="34">
        <v>0</v>
      </c>
      <c r="Z30" s="34">
        <v>0</v>
      </c>
      <c r="AA30" s="34">
        <v>0</v>
      </c>
      <c r="AB30" s="34">
        <v>0</v>
      </c>
      <c r="AC30" s="34">
        <v>0</v>
      </c>
      <c r="AD30" s="34">
        <v>0</v>
      </c>
      <c r="AE30" s="34">
        <v>0</v>
      </c>
      <c r="AF30" s="34">
        <v>1</v>
      </c>
      <c r="AG30" s="34">
        <v>0</v>
      </c>
      <c r="AH30" s="34">
        <v>0</v>
      </c>
      <c r="AI30" s="34">
        <v>0</v>
      </c>
      <c r="AJ30" s="34">
        <v>0</v>
      </c>
      <c r="AK30" s="34">
        <v>0</v>
      </c>
      <c r="AL30" s="34">
        <v>0</v>
      </c>
      <c r="AM30" s="34">
        <v>0</v>
      </c>
      <c r="AN30" s="34">
        <v>0</v>
      </c>
      <c r="AO30" s="34">
        <v>0</v>
      </c>
      <c r="AP30" s="34">
        <v>0</v>
      </c>
      <c r="AQ30" s="34">
        <v>0</v>
      </c>
      <c r="AR30" s="34">
        <v>0</v>
      </c>
      <c r="AS30" s="34">
        <v>0</v>
      </c>
      <c r="AT30" s="34">
        <v>0</v>
      </c>
      <c r="AU30" s="34">
        <v>0</v>
      </c>
      <c r="AV30" s="34">
        <v>0</v>
      </c>
      <c r="AW30" s="34">
        <v>0</v>
      </c>
      <c r="AX30" s="34">
        <v>0</v>
      </c>
      <c r="AY30" s="34">
        <v>0</v>
      </c>
      <c r="AZ30" s="34">
        <v>0</v>
      </c>
      <c r="BA30" s="34">
        <v>0</v>
      </c>
      <c r="BB30" s="34">
        <v>0</v>
      </c>
      <c r="BC30" s="34">
        <v>0</v>
      </c>
      <c r="BD30" s="34">
        <v>0</v>
      </c>
      <c r="BE30" s="21"/>
    </row>
    <row r="31" spans="1:57" x14ac:dyDescent="0.35">
      <c r="A31" s="33" t="s">
        <v>28</v>
      </c>
      <c r="B31" s="34">
        <v>3</v>
      </c>
      <c r="C31" s="35">
        <v>3.7699335235055353</v>
      </c>
      <c r="D31" s="34">
        <v>0</v>
      </c>
      <c r="E31" s="34">
        <v>0</v>
      </c>
      <c r="F31" s="34">
        <v>0</v>
      </c>
      <c r="G31" s="34">
        <v>0</v>
      </c>
      <c r="H31" s="34">
        <v>1</v>
      </c>
      <c r="I31" s="34">
        <v>0</v>
      </c>
      <c r="J31" s="34">
        <v>0</v>
      </c>
      <c r="K31" s="34">
        <v>0</v>
      </c>
      <c r="L31" s="34">
        <v>0</v>
      </c>
      <c r="M31" s="34">
        <v>0</v>
      </c>
      <c r="N31" s="34">
        <v>0</v>
      </c>
      <c r="O31" s="34">
        <v>0</v>
      </c>
      <c r="P31" s="34">
        <v>0</v>
      </c>
      <c r="Q31" s="34">
        <v>0</v>
      </c>
      <c r="R31" s="34">
        <v>0</v>
      </c>
      <c r="S31" s="34">
        <v>0</v>
      </c>
      <c r="T31" s="34">
        <v>0</v>
      </c>
      <c r="U31" s="34">
        <v>0</v>
      </c>
      <c r="V31" s="34">
        <v>1</v>
      </c>
      <c r="W31" s="34">
        <v>1</v>
      </c>
      <c r="X31" s="34">
        <v>0</v>
      </c>
      <c r="Y31" s="34">
        <v>0</v>
      </c>
      <c r="Z31" s="34">
        <v>0</v>
      </c>
      <c r="AA31" s="34">
        <v>0</v>
      </c>
      <c r="AB31" s="34">
        <v>0</v>
      </c>
      <c r="AC31" s="34">
        <v>0</v>
      </c>
      <c r="AD31" s="34">
        <v>0</v>
      </c>
      <c r="AE31" s="34">
        <v>0</v>
      </c>
      <c r="AF31" s="34">
        <v>0</v>
      </c>
      <c r="AG31" s="34">
        <v>0</v>
      </c>
      <c r="AH31" s="34">
        <v>0</v>
      </c>
      <c r="AI31" s="34">
        <v>0</v>
      </c>
      <c r="AJ31" s="34">
        <v>0</v>
      </c>
      <c r="AK31" s="34">
        <v>0</v>
      </c>
      <c r="AL31" s="34">
        <v>0</v>
      </c>
      <c r="AM31" s="34">
        <v>0</v>
      </c>
      <c r="AN31" s="34">
        <v>0</v>
      </c>
      <c r="AO31" s="34">
        <v>0</v>
      </c>
      <c r="AP31" s="34">
        <v>0</v>
      </c>
      <c r="AQ31" s="34">
        <v>0</v>
      </c>
      <c r="AR31" s="34">
        <v>0</v>
      </c>
      <c r="AS31" s="34">
        <v>0</v>
      </c>
      <c r="AT31" s="34">
        <v>0</v>
      </c>
      <c r="AU31" s="34">
        <v>0</v>
      </c>
      <c r="AV31" s="34">
        <v>0</v>
      </c>
      <c r="AW31" s="34">
        <v>0</v>
      </c>
      <c r="AX31" s="34">
        <v>0</v>
      </c>
      <c r="AY31" s="34">
        <v>0</v>
      </c>
      <c r="AZ31" s="34">
        <v>0</v>
      </c>
      <c r="BA31" s="34">
        <v>0</v>
      </c>
      <c r="BB31" s="34">
        <v>0</v>
      </c>
      <c r="BC31" s="34">
        <v>0</v>
      </c>
      <c r="BD31" s="34">
        <v>0</v>
      </c>
      <c r="BE31" s="21"/>
    </row>
    <row r="32" spans="1:57" x14ac:dyDescent="0.35">
      <c r="A32" s="33" t="s">
        <v>29</v>
      </c>
      <c r="B32" s="34">
        <v>1311</v>
      </c>
      <c r="C32" s="35">
        <v>916.03373463669584</v>
      </c>
      <c r="D32" s="34">
        <v>4</v>
      </c>
      <c r="E32" s="34">
        <v>0</v>
      </c>
      <c r="F32" s="34">
        <v>0</v>
      </c>
      <c r="G32" s="34">
        <v>0</v>
      </c>
      <c r="H32" s="34">
        <v>1</v>
      </c>
      <c r="I32" s="34">
        <v>1</v>
      </c>
      <c r="J32" s="34">
        <v>0</v>
      </c>
      <c r="K32" s="34">
        <v>1</v>
      </c>
      <c r="L32" s="34">
        <v>3</v>
      </c>
      <c r="M32" s="34">
        <v>3</v>
      </c>
      <c r="N32" s="34">
        <v>2</v>
      </c>
      <c r="O32" s="34">
        <v>2</v>
      </c>
      <c r="P32" s="34">
        <v>3</v>
      </c>
      <c r="Q32" s="34">
        <v>8</v>
      </c>
      <c r="R32" s="34">
        <v>15</v>
      </c>
      <c r="S32" s="34">
        <v>26</v>
      </c>
      <c r="T32" s="34">
        <v>13</v>
      </c>
      <c r="U32" s="34">
        <v>15</v>
      </c>
      <c r="V32" s="34">
        <v>37</v>
      </c>
      <c r="W32" s="34">
        <v>35</v>
      </c>
      <c r="X32" s="34">
        <v>45</v>
      </c>
      <c r="Y32" s="34">
        <v>43</v>
      </c>
      <c r="Z32" s="34">
        <v>82</v>
      </c>
      <c r="AA32" s="34">
        <v>62</v>
      </c>
      <c r="AB32" s="34">
        <v>81</v>
      </c>
      <c r="AC32" s="34">
        <v>80</v>
      </c>
      <c r="AD32" s="34">
        <v>88</v>
      </c>
      <c r="AE32" s="34">
        <v>77</v>
      </c>
      <c r="AF32" s="34">
        <v>70</v>
      </c>
      <c r="AG32" s="34">
        <v>79</v>
      </c>
      <c r="AH32" s="34">
        <v>64</v>
      </c>
      <c r="AI32" s="34">
        <v>67</v>
      </c>
      <c r="AJ32" s="34">
        <v>42</v>
      </c>
      <c r="AK32" s="34">
        <v>38</v>
      </c>
      <c r="AL32" s="34">
        <v>30</v>
      </c>
      <c r="AM32" s="34">
        <v>35</v>
      </c>
      <c r="AN32" s="34">
        <v>12</v>
      </c>
      <c r="AO32" s="34">
        <v>27</v>
      </c>
      <c r="AP32" s="34">
        <v>23</v>
      </c>
      <c r="AQ32" s="34">
        <v>12</v>
      </c>
      <c r="AR32" s="34">
        <v>11</v>
      </c>
      <c r="AS32" s="34">
        <v>11</v>
      </c>
      <c r="AT32" s="34">
        <v>6</v>
      </c>
      <c r="AU32" s="34">
        <v>9</v>
      </c>
      <c r="AV32" s="34">
        <v>23</v>
      </c>
      <c r="AW32" s="34">
        <v>6</v>
      </c>
      <c r="AX32" s="34">
        <v>8</v>
      </c>
      <c r="AY32" s="34">
        <v>9</v>
      </c>
      <c r="AZ32" s="34">
        <v>1</v>
      </c>
      <c r="BA32" s="34">
        <v>0</v>
      </c>
      <c r="BB32" s="34">
        <v>1</v>
      </c>
      <c r="BC32" s="34">
        <v>0</v>
      </c>
      <c r="BD32" s="34">
        <v>0</v>
      </c>
      <c r="BE32" s="21"/>
    </row>
    <row r="33" spans="1:57" x14ac:dyDescent="0.35">
      <c r="A33" s="33" t="s">
        <v>30</v>
      </c>
      <c r="B33" s="34">
        <v>4</v>
      </c>
      <c r="C33" s="35">
        <v>29.050766213958894</v>
      </c>
      <c r="D33" s="34">
        <v>0</v>
      </c>
      <c r="E33" s="34">
        <v>0</v>
      </c>
      <c r="F33" s="34">
        <v>0</v>
      </c>
      <c r="G33" s="34">
        <v>0</v>
      </c>
      <c r="H33" s="34">
        <v>0</v>
      </c>
      <c r="I33" s="34">
        <v>0</v>
      </c>
      <c r="J33" s="34">
        <v>0</v>
      </c>
      <c r="K33" s="34">
        <v>0</v>
      </c>
      <c r="L33" s="34">
        <v>0</v>
      </c>
      <c r="M33" s="34">
        <v>0</v>
      </c>
      <c r="N33" s="34">
        <v>0</v>
      </c>
      <c r="O33" s="34">
        <v>0</v>
      </c>
      <c r="P33" s="34">
        <v>0</v>
      </c>
      <c r="Q33" s="34">
        <v>0</v>
      </c>
      <c r="R33" s="34">
        <v>0</v>
      </c>
      <c r="S33" s="34">
        <v>0</v>
      </c>
      <c r="T33" s="34">
        <v>0</v>
      </c>
      <c r="U33" s="34">
        <v>1</v>
      </c>
      <c r="V33" s="34">
        <v>1</v>
      </c>
      <c r="W33" s="34">
        <v>0</v>
      </c>
      <c r="X33" s="34">
        <v>0</v>
      </c>
      <c r="Y33" s="34">
        <v>0</v>
      </c>
      <c r="Z33" s="34">
        <v>1</v>
      </c>
      <c r="AA33" s="34">
        <v>0</v>
      </c>
      <c r="AB33" s="34">
        <v>0</v>
      </c>
      <c r="AC33" s="34">
        <v>0</v>
      </c>
      <c r="AD33" s="34">
        <v>0</v>
      </c>
      <c r="AE33" s="34">
        <v>0</v>
      </c>
      <c r="AF33" s="34">
        <v>0</v>
      </c>
      <c r="AG33" s="34">
        <v>0</v>
      </c>
      <c r="AH33" s="34">
        <v>0</v>
      </c>
      <c r="AI33" s="34">
        <v>0</v>
      </c>
      <c r="AJ33" s="34">
        <v>0</v>
      </c>
      <c r="AK33" s="34">
        <v>0</v>
      </c>
      <c r="AL33" s="34">
        <v>0</v>
      </c>
      <c r="AM33" s="34">
        <v>0</v>
      </c>
      <c r="AN33" s="34">
        <v>0</v>
      </c>
      <c r="AO33" s="34">
        <v>0</v>
      </c>
      <c r="AP33" s="34">
        <v>0</v>
      </c>
      <c r="AQ33" s="34">
        <v>0</v>
      </c>
      <c r="AR33" s="34">
        <v>0</v>
      </c>
      <c r="AS33" s="34">
        <v>1</v>
      </c>
      <c r="AT33" s="34">
        <v>0</v>
      </c>
      <c r="AU33" s="34">
        <v>0</v>
      </c>
      <c r="AV33" s="34">
        <v>0</v>
      </c>
      <c r="AW33" s="34">
        <v>0</v>
      </c>
      <c r="AX33" s="34">
        <v>0</v>
      </c>
      <c r="AY33" s="34">
        <v>0</v>
      </c>
      <c r="AZ33" s="34">
        <v>0</v>
      </c>
      <c r="BA33" s="34">
        <v>0</v>
      </c>
      <c r="BB33" s="34">
        <v>0</v>
      </c>
      <c r="BC33" s="34">
        <v>0</v>
      </c>
      <c r="BD33" s="34">
        <v>0</v>
      </c>
      <c r="BE33" s="21"/>
    </row>
    <row r="34" spans="1:57" x14ac:dyDescent="0.35">
      <c r="A34" s="33"/>
      <c r="B34" s="31"/>
      <c r="C34" s="32"/>
      <c r="D34" s="21"/>
      <c r="E34" s="21"/>
      <c r="F34" s="21"/>
      <c r="G34" s="21"/>
      <c r="H34" s="21"/>
      <c r="I34" s="21"/>
      <c r="J34" s="21"/>
      <c r="K34" s="21"/>
      <c r="L34" s="21"/>
      <c r="M34" s="21"/>
      <c r="N34" s="21"/>
      <c r="O34" s="21"/>
      <c r="P34" s="21"/>
      <c r="Q34" s="21"/>
      <c r="R34" s="21"/>
      <c r="S34" s="21"/>
      <c r="T34" s="21"/>
      <c r="U34" s="21"/>
      <c r="V34" s="21"/>
      <c r="W34" s="21"/>
      <c r="X34" s="21"/>
      <c r="Y34" s="21"/>
      <c r="Z34" s="21"/>
      <c r="AA34" s="21"/>
      <c r="AB34" s="21"/>
      <c r="AC34" s="21"/>
      <c r="AD34" s="21"/>
      <c r="AE34" s="21"/>
      <c r="AF34" s="21"/>
      <c r="AG34" s="21"/>
      <c r="AH34" s="21"/>
      <c r="AI34" s="21"/>
      <c r="AJ34" s="21"/>
      <c r="AK34" s="21"/>
      <c r="AL34" s="21"/>
      <c r="AM34" s="21"/>
      <c r="AN34" s="21"/>
      <c r="AO34" s="21"/>
      <c r="AP34" s="21"/>
      <c r="AQ34" s="21"/>
      <c r="AR34" s="21"/>
      <c r="AS34" s="21"/>
      <c r="AT34" s="21"/>
      <c r="AU34" s="21"/>
      <c r="AV34" s="21"/>
      <c r="AW34" s="21"/>
      <c r="AX34" s="21"/>
      <c r="AY34" s="21"/>
      <c r="AZ34" s="21"/>
      <c r="BA34" s="21"/>
      <c r="BB34" s="21"/>
      <c r="BC34" s="21"/>
      <c r="BD34" s="21"/>
      <c r="BE34" s="21"/>
    </row>
    <row r="35" spans="1:57" x14ac:dyDescent="0.35">
      <c r="A35" s="20" t="s">
        <v>31</v>
      </c>
      <c r="B35" s="29">
        <v>1204</v>
      </c>
      <c r="C35" s="30">
        <v>116.94225150742837</v>
      </c>
      <c r="D35" s="29">
        <v>43</v>
      </c>
      <c r="E35" s="29">
        <v>35</v>
      </c>
      <c r="F35" s="29">
        <v>47</v>
      </c>
      <c r="G35" s="29">
        <v>43</v>
      </c>
      <c r="H35" s="29">
        <v>55</v>
      </c>
      <c r="I35" s="29">
        <v>47</v>
      </c>
      <c r="J35" s="29">
        <v>36</v>
      </c>
      <c r="K35" s="29">
        <v>28</v>
      </c>
      <c r="L35" s="29">
        <v>34</v>
      </c>
      <c r="M35" s="29">
        <v>20</v>
      </c>
      <c r="N35" s="29">
        <v>14</v>
      </c>
      <c r="O35" s="29">
        <v>6</v>
      </c>
      <c r="P35" s="29">
        <v>10</v>
      </c>
      <c r="Q35" s="29">
        <v>16</v>
      </c>
      <c r="R35" s="29">
        <v>15</v>
      </c>
      <c r="S35" s="29">
        <v>20</v>
      </c>
      <c r="T35" s="29">
        <v>13</v>
      </c>
      <c r="U35" s="29">
        <v>8</v>
      </c>
      <c r="V35" s="29">
        <v>27</v>
      </c>
      <c r="W35" s="29">
        <v>17</v>
      </c>
      <c r="X35" s="29">
        <v>18</v>
      </c>
      <c r="Y35" s="29">
        <v>16</v>
      </c>
      <c r="Z35" s="29">
        <v>16</v>
      </c>
      <c r="AA35" s="29">
        <v>19</v>
      </c>
      <c r="AB35" s="29">
        <v>25</v>
      </c>
      <c r="AC35" s="29">
        <v>42</v>
      </c>
      <c r="AD35" s="29">
        <v>34</v>
      </c>
      <c r="AE35" s="29">
        <v>37</v>
      </c>
      <c r="AF35" s="29">
        <v>45</v>
      </c>
      <c r="AG35" s="29">
        <v>44</v>
      </c>
      <c r="AH35" s="29">
        <v>30</v>
      </c>
      <c r="AI35" s="29">
        <v>28</v>
      </c>
      <c r="AJ35" s="29">
        <v>26</v>
      </c>
      <c r="AK35" s="29">
        <v>21</v>
      </c>
      <c r="AL35" s="29">
        <v>13</v>
      </c>
      <c r="AM35" s="29">
        <v>12</v>
      </c>
      <c r="AN35" s="29">
        <v>16</v>
      </c>
      <c r="AO35" s="29">
        <v>18</v>
      </c>
      <c r="AP35" s="29">
        <v>13</v>
      </c>
      <c r="AQ35" s="29">
        <v>10</v>
      </c>
      <c r="AR35" s="29">
        <v>8</v>
      </c>
      <c r="AS35" s="29">
        <v>15</v>
      </c>
      <c r="AT35" s="29">
        <v>9</v>
      </c>
      <c r="AU35" s="29">
        <v>9</v>
      </c>
      <c r="AV35" s="29">
        <v>15</v>
      </c>
      <c r="AW35" s="29">
        <v>22</v>
      </c>
      <c r="AX35" s="29">
        <v>23</v>
      </c>
      <c r="AY35" s="29">
        <v>11</v>
      </c>
      <c r="AZ35" s="29">
        <v>22</v>
      </c>
      <c r="BA35" s="29">
        <v>9</v>
      </c>
      <c r="BB35" s="29">
        <v>15</v>
      </c>
      <c r="BC35" s="29">
        <v>16</v>
      </c>
      <c r="BD35" s="29">
        <v>13</v>
      </c>
      <c r="BE35" s="21"/>
    </row>
    <row r="36" spans="1:57" x14ac:dyDescent="0.35">
      <c r="A36" s="33" t="s">
        <v>32</v>
      </c>
      <c r="B36" s="34">
        <v>367</v>
      </c>
      <c r="C36" s="35">
        <v>116.80123739294547</v>
      </c>
      <c r="D36" s="34">
        <v>29</v>
      </c>
      <c r="E36" s="34">
        <v>17</v>
      </c>
      <c r="F36" s="34">
        <v>30</v>
      </c>
      <c r="G36" s="34">
        <v>31</v>
      </c>
      <c r="H36" s="34">
        <v>38</v>
      </c>
      <c r="I36" s="34">
        <v>31</v>
      </c>
      <c r="J36" s="34">
        <v>20</v>
      </c>
      <c r="K36" s="34">
        <v>20</v>
      </c>
      <c r="L36" s="34">
        <v>22</v>
      </c>
      <c r="M36" s="34">
        <v>10</v>
      </c>
      <c r="N36" s="34">
        <v>4</v>
      </c>
      <c r="O36" s="34">
        <v>2</v>
      </c>
      <c r="P36" s="34">
        <v>2</v>
      </c>
      <c r="Q36" s="34">
        <v>2</v>
      </c>
      <c r="R36" s="34">
        <v>4</v>
      </c>
      <c r="S36" s="34">
        <v>11</v>
      </c>
      <c r="T36" s="34">
        <v>3</v>
      </c>
      <c r="U36" s="34">
        <v>1</v>
      </c>
      <c r="V36" s="34">
        <v>0</v>
      </c>
      <c r="W36" s="34">
        <v>4</v>
      </c>
      <c r="X36" s="34">
        <v>2</v>
      </c>
      <c r="Y36" s="34">
        <v>4</v>
      </c>
      <c r="Z36" s="34">
        <v>8</v>
      </c>
      <c r="AA36" s="34">
        <v>6</v>
      </c>
      <c r="AB36" s="34">
        <v>5</v>
      </c>
      <c r="AC36" s="34">
        <v>11</v>
      </c>
      <c r="AD36" s="34">
        <v>2</v>
      </c>
      <c r="AE36" s="34">
        <v>4</v>
      </c>
      <c r="AF36" s="34">
        <v>1</v>
      </c>
      <c r="AG36" s="34">
        <v>5</v>
      </c>
      <c r="AH36" s="34">
        <v>9</v>
      </c>
      <c r="AI36" s="34">
        <v>6</v>
      </c>
      <c r="AJ36" s="34">
        <v>2</v>
      </c>
      <c r="AK36" s="34">
        <v>1</v>
      </c>
      <c r="AL36" s="34">
        <v>2</v>
      </c>
      <c r="AM36" s="34">
        <v>1</v>
      </c>
      <c r="AN36" s="34">
        <v>3</v>
      </c>
      <c r="AO36" s="34">
        <v>1</v>
      </c>
      <c r="AP36" s="34">
        <v>3</v>
      </c>
      <c r="AQ36" s="34">
        <v>1</v>
      </c>
      <c r="AR36" s="34">
        <v>3</v>
      </c>
      <c r="AS36" s="34">
        <v>2</v>
      </c>
      <c r="AT36" s="34">
        <v>0</v>
      </c>
      <c r="AU36" s="34">
        <v>1</v>
      </c>
      <c r="AV36" s="34">
        <v>0</v>
      </c>
      <c r="AW36" s="34">
        <v>1</v>
      </c>
      <c r="AX36" s="34">
        <v>1</v>
      </c>
      <c r="AY36" s="34">
        <v>0</v>
      </c>
      <c r="AZ36" s="34">
        <v>0</v>
      </c>
      <c r="BA36" s="34">
        <v>0</v>
      </c>
      <c r="BB36" s="34">
        <v>1</v>
      </c>
      <c r="BC36" s="34">
        <v>0</v>
      </c>
      <c r="BD36" s="34">
        <v>0</v>
      </c>
      <c r="BE36" s="21"/>
    </row>
    <row r="37" spans="1:57" x14ac:dyDescent="0.35">
      <c r="A37" s="33" t="s">
        <v>33</v>
      </c>
      <c r="B37" s="34">
        <v>4</v>
      </c>
      <c r="C37" s="35">
        <v>4.2611215271859555</v>
      </c>
      <c r="D37" s="34">
        <v>1</v>
      </c>
      <c r="E37" s="34">
        <v>1</v>
      </c>
      <c r="F37" s="34">
        <v>0</v>
      </c>
      <c r="G37" s="34">
        <v>1</v>
      </c>
      <c r="H37" s="34">
        <v>0</v>
      </c>
      <c r="I37" s="34">
        <v>0</v>
      </c>
      <c r="J37" s="34">
        <v>0</v>
      </c>
      <c r="K37" s="34">
        <v>0</v>
      </c>
      <c r="L37" s="34">
        <v>0</v>
      </c>
      <c r="M37" s="34">
        <v>0</v>
      </c>
      <c r="N37" s="34">
        <v>0</v>
      </c>
      <c r="O37" s="34">
        <v>0</v>
      </c>
      <c r="P37" s="34">
        <v>0</v>
      </c>
      <c r="Q37" s="34">
        <v>0</v>
      </c>
      <c r="R37" s="34">
        <v>0</v>
      </c>
      <c r="S37" s="34">
        <v>0</v>
      </c>
      <c r="T37" s="34">
        <v>0</v>
      </c>
      <c r="U37" s="34">
        <v>0</v>
      </c>
      <c r="V37" s="34">
        <v>0</v>
      </c>
      <c r="W37" s="34">
        <v>0</v>
      </c>
      <c r="X37" s="34">
        <v>0</v>
      </c>
      <c r="Y37" s="34">
        <v>0</v>
      </c>
      <c r="Z37" s="34">
        <v>0</v>
      </c>
      <c r="AA37" s="34">
        <v>0</v>
      </c>
      <c r="AB37" s="34">
        <v>0</v>
      </c>
      <c r="AC37" s="34">
        <v>1</v>
      </c>
      <c r="AD37" s="34">
        <v>0</v>
      </c>
      <c r="AE37" s="34">
        <v>0</v>
      </c>
      <c r="AF37" s="34">
        <v>0</v>
      </c>
      <c r="AG37" s="34">
        <v>0</v>
      </c>
      <c r="AH37" s="34">
        <v>0</v>
      </c>
      <c r="AI37" s="34">
        <v>0</v>
      </c>
      <c r="AJ37" s="34">
        <v>0</v>
      </c>
      <c r="AK37" s="34">
        <v>0</v>
      </c>
      <c r="AL37" s="34">
        <v>0</v>
      </c>
      <c r="AM37" s="34">
        <v>0</v>
      </c>
      <c r="AN37" s="34">
        <v>0</v>
      </c>
      <c r="AO37" s="34">
        <v>0</v>
      </c>
      <c r="AP37" s="34">
        <v>0</v>
      </c>
      <c r="AQ37" s="34">
        <v>0</v>
      </c>
      <c r="AR37" s="34">
        <v>0</v>
      </c>
      <c r="AS37" s="34">
        <v>0</v>
      </c>
      <c r="AT37" s="34">
        <v>0</v>
      </c>
      <c r="AU37" s="34">
        <v>0</v>
      </c>
      <c r="AV37" s="34">
        <v>0</v>
      </c>
      <c r="AW37" s="34">
        <v>0</v>
      </c>
      <c r="AX37" s="34">
        <v>0</v>
      </c>
      <c r="AY37" s="34">
        <v>0</v>
      </c>
      <c r="AZ37" s="34">
        <v>0</v>
      </c>
      <c r="BA37" s="34">
        <v>0</v>
      </c>
      <c r="BB37" s="34">
        <v>0</v>
      </c>
      <c r="BC37" s="34">
        <v>0</v>
      </c>
      <c r="BD37" s="34">
        <v>0</v>
      </c>
      <c r="BE37" s="21"/>
    </row>
    <row r="38" spans="1:57" x14ac:dyDescent="0.35">
      <c r="A38" s="33" t="s">
        <v>34</v>
      </c>
      <c r="B38" s="34">
        <v>26</v>
      </c>
      <c r="C38" s="35">
        <v>27.705258671213169</v>
      </c>
      <c r="D38" s="34">
        <v>2</v>
      </c>
      <c r="E38" s="34">
        <v>3</v>
      </c>
      <c r="F38" s="34">
        <v>4</v>
      </c>
      <c r="G38" s="34">
        <v>5</v>
      </c>
      <c r="H38" s="34">
        <v>3</v>
      </c>
      <c r="I38" s="34">
        <v>5</v>
      </c>
      <c r="J38" s="34">
        <v>3</v>
      </c>
      <c r="K38" s="34">
        <v>1</v>
      </c>
      <c r="L38" s="34">
        <v>0</v>
      </c>
      <c r="M38" s="34">
        <v>0</v>
      </c>
      <c r="N38" s="34">
        <v>0</v>
      </c>
      <c r="O38" s="34">
        <v>0</v>
      </c>
      <c r="P38" s="34">
        <v>0</v>
      </c>
      <c r="Q38" s="34">
        <v>0</v>
      </c>
      <c r="R38" s="34">
        <v>0</v>
      </c>
      <c r="S38" s="34">
        <v>0</v>
      </c>
      <c r="T38" s="34">
        <v>0</v>
      </c>
      <c r="U38" s="34">
        <v>0</v>
      </c>
      <c r="V38" s="34">
        <v>0</v>
      </c>
      <c r="W38" s="34">
        <v>0</v>
      </c>
      <c r="X38" s="34">
        <v>0</v>
      </c>
      <c r="Y38" s="34">
        <v>0</v>
      </c>
      <c r="Z38" s="34">
        <v>0</v>
      </c>
      <c r="AA38" s="34">
        <v>0</v>
      </c>
      <c r="AB38" s="34">
        <v>0</v>
      </c>
      <c r="AC38" s="34">
        <v>0</v>
      </c>
      <c r="AD38" s="34">
        <v>0</v>
      </c>
      <c r="AE38" s="34">
        <v>0</v>
      </c>
      <c r="AF38" s="34">
        <v>0</v>
      </c>
      <c r="AG38" s="34">
        <v>0</v>
      </c>
      <c r="AH38" s="34">
        <v>0</v>
      </c>
      <c r="AI38" s="34">
        <v>0</v>
      </c>
      <c r="AJ38" s="34">
        <v>0</v>
      </c>
      <c r="AK38" s="34">
        <v>0</v>
      </c>
      <c r="AL38" s="34">
        <v>0</v>
      </c>
      <c r="AM38" s="34">
        <v>0</v>
      </c>
      <c r="AN38" s="34">
        <v>0</v>
      </c>
      <c r="AO38" s="34">
        <v>0</v>
      </c>
      <c r="AP38" s="34">
        <v>0</v>
      </c>
      <c r="AQ38" s="34">
        <v>0</v>
      </c>
      <c r="AR38" s="34">
        <v>0</v>
      </c>
      <c r="AS38" s="34">
        <v>0</v>
      </c>
      <c r="AT38" s="34">
        <v>0</v>
      </c>
      <c r="AU38" s="34">
        <v>0</v>
      </c>
      <c r="AV38" s="34">
        <v>0</v>
      </c>
      <c r="AW38" s="34">
        <v>0</v>
      </c>
      <c r="AX38" s="34">
        <v>0</v>
      </c>
      <c r="AY38" s="34">
        <v>0</v>
      </c>
      <c r="AZ38" s="34">
        <v>0</v>
      </c>
      <c r="BA38" s="34">
        <v>0</v>
      </c>
      <c r="BB38" s="34">
        <v>0</v>
      </c>
      <c r="BC38" s="34">
        <v>0</v>
      </c>
      <c r="BD38" s="34">
        <v>0</v>
      </c>
      <c r="BE38" s="21"/>
    </row>
    <row r="39" spans="1:57" x14ac:dyDescent="0.35">
      <c r="A39" s="33" t="s">
        <v>35</v>
      </c>
      <c r="B39" s="34">
        <v>10</v>
      </c>
      <c r="C39" s="35">
        <v>140.03640946646129</v>
      </c>
      <c r="D39" s="34">
        <v>0</v>
      </c>
      <c r="E39" s="34">
        <v>0</v>
      </c>
      <c r="F39" s="34">
        <v>0</v>
      </c>
      <c r="G39" s="34">
        <v>0</v>
      </c>
      <c r="H39" s="34">
        <v>0</v>
      </c>
      <c r="I39" s="34">
        <v>0</v>
      </c>
      <c r="J39" s="34">
        <v>0</v>
      </c>
      <c r="K39" s="34">
        <v>0</v>
      </c>
      <c r="L39" s="34">
        <v>0</v>
      </c>
      <c r="M39" s="34">
        <v>0</v>
      </c>
      <c r="N39" s="34">
        <v>0</v>
      </c>
      <c r="O39" s="34">
        <v>0</v>
      </c>
      <c r="P39" s="34">
        <v>0</v>
      </c>
      <c r="Q39" s="34">
        <v>0</v>
      </c>
      <c r="R39" s="34">
        <v>0</v>
      </c>
      <c r="S39" s="34">
        <v>0</v>
      </c>
      <c r="T39" s="34">
        <v>0</v>
      </c>
      <c r="U39" s="34">
        <v>0</v>
      </c>
      <c r="V39" s="34">
        <v>1</v>
      </c>
      <c r="W39" s="34">
        <v>0</v>
      </c>
      <c r="X39" s="34">
        <v>0</v>
      </c>
      <c r="Y39" s="34">
        <v>0</v>
      </c>
      <c r="Z39" s="34">
        <v>0</v>
      </c>
      <c r="AA39" s="34">
        <v>0</v>
      </c>
      <c r="AB39" s="34">
        <v>0</v>
      </c>
      <c r="AC39" s="34">
        <v>0</v>
      </c>
      <c r="AD39" s="34">
        <v>1</v>
      </c>
      <c r="AE39" s="34">
        <v>0</v>
      </c>
      <c r="AF39" s="34">
        <v>0</v>
      </c>
      <c r="AG39" s="34">
        <v>0</v>
      </c>
      <c r="AH39" s="34">
        <v>1</v>
      </c>
      <c r="AI39" s="34">
        <v>0</v>
      </c>
      <c r="AJ39" s="34">
        <v>0</v>
      </c>
      <c r="AK39" s="34">
        <v>1</v>
      </c>
      <c r="AL39" s="34">
        <v>0</v>
      </c>
      <c r="AM39" s="34">
        <v>0</v>
      </c>
      <c r="AN39" s="34">
        <v>0</v>
      </c>
      <c r="AO39" s="34">
        <v>1</v>
      </c>
      <c r="AP39" s="34">
        <v>1</v>
      </c>
      <c r="AQ39" s="34">
        <v>0</v>
      </c>
      <c r="AR39" s="34">
        <v>0</v>
      </c>
      <c r="AS39" s="34">
        <v>0</v>
      </c>
      <c r="AT39" s="34">
        <v>2</v>
      </c>
      <c r="AU39" s="34">
        <v>0</v>
      </c>
      <c r="AV39" s="34">
        <v>1</v>
      </c>
      <c r="AW39" s="34">
        <v>0</v>
      </c>
      <c r="AX39" s="34">
        <v>0</v>
      </c>
      <c r="AY39" s="34">
        <v>1</v>
      </c>
      <c r="AZ39" s="34">
        <v>0</v>
      </c>
      <c r="BA39" s="34">
        <v>0</v>
      </c>
      <c r="BB39" s="34">
        <v>0</v>
      </c>
      <c r="BC39" s="34">
        <v>0</v>
      </c>
      <c r="BD39" s="34">
        <v>0</v>
      </c>
      <c r="BE39" s="21"/>
    </row>
    <row r="40" spans="1:57" x14ac:dyDescent="0.35">
      <c r="A40" s="33" t="s">
        <v>36</v>
      </c>
      <c r="B40" s="34">
        <v>62</v>
      </c>
      <c r="C40" s="35">
        <v>211.31561008861624</v>
      </c>
      <c r="D40" s="34">
        <v>1</v>
      </c>
      <c r="E40" s="34">
        <v>1</v>
      </c>
      <c r="F40" s="34">
        <v>4</v>
      </c>
      <c r="G40" s="34">
        <v>2</v>
      </c>
      <c r="H40" s="34">
        <v>3</v>
      </c>
      <c r="I40" s="34">
        <v>3</v>
      </c>
      <c r="J40" s="34">
        <v>3</v>
      </c>
      <c r="K40" s="34">
        <v>2</v>
      </c>
      <c r="L40" s="34">
        <v>0</v>
      </c>
      <c r="M40" s="34">
        <v>0</v>
      </c>
      <c r="N40" s="34">
        <v>0</v>
      </c>
      <c r="O40" s="34">
        <v>1</v>
      </c>
      <c r="P40" s="34">
        <v>0</v>
      </c>
      <c r="Q40" s="34">
        <v>0</v>
      </c>
      <c r="R40" s="34">
        <v>0</v>
      </c>
      <c r="S40" s="34">
        <v>0</v>
      </c>
      <c r="T40" s="34">
        <v>0</v>
      </c>
      <c r="U40" s="34">
        <v>0</v>
      </c>
      <c r="V40" s="34">
        <v>0</v>
      </c>
      <c r="W40" s="34">
        <v>0</v>
      </c>
      <c r="X40" s="34">
        <v>1</v>
      </c>
      <c r="Y40" s="34">
        <v>0</v>
      </c>
      <c r="Z40" s="34">
        <v>0</v>
      </c>
      <c r="AA40" s="34">
        <v>1</v>
      </c>
      <c r="AB40" s="34">
        <v>0</v>
      </c>
      <c r="AC40" s="34">
        <v>0</v>
      </c>
      <c r="AD40" s="34">
        <v>2</v>
      </c>
      <c r="AE40" s="34">
        <v>0</v>
      </c>
      <c r="AF40" s="34">
        <v>0</v>
      </c>
      <c r="AG40" s="34">
        <v>2</v>
      </c>
      <c r="AH40" s="34">
        <v>1</v>
      </c>
      <c r="AI40" s="34">
        <v>3</v>
      </c>
      <c r="AJ40" s="34">
        <v>1</v>
      </c>
      <c r="AK40" s="34">
        <v>0</v>
      </c>
      <c r="AL40" s="34">
        <v>3</v>
      </c>
      <c r="AM40" s="34">
        <v>0</v>
      </c>
      <c r="AN40" s="34">
        <v>3</v>
      </c>
      <c r="AO40" s="34">
        <v>2</v>
      </c>
      <c r="AP40" s="34">
        <v>1</v>
      </c>
      <c r="AQ40" s="34">
        <v>4</v>
      </c>
      <c r="AR40" s="34">
        <v>0</v>
      </c>
      <c r="AS40" s="34">
        <v>7</v>
      </c>
      <c r="AT40" s="34">
        <v>3</v>
      </c>
      <c r="AU40" s="34">
        <v>1</v>
      </c>
      <c r="AV40" s="34">
        <v>0</v>
      </c>
      <c r="AW40" s="34">
        <v>1</v>
      </c>
      <c r="AX40" s="34">
        <v>1</v>
      </c>
      <c r="AY40" s="34">
        <v>1</v>
      </c>
      <c r="AZ40" s="34">
        <v>2</v>
      </c>
      <c r="BA40" s="34">
        <v>1</v>
      </c>
      <c r="BB40" s="34">
        <v>0</v>
      </c>
      <c r="BC40" s="34">
        <v>1</v>
      </c>
      <c r="BD40" s="34">
        <v>0</v>
      </c>
      <c r="BE40" s="21"/>
    </row>
    <row r="41" spans="1:57" x14ac:dyDescent="0.35">
      <c r="A41" s="33" t="s">
        <v>37</v>
      </c>
      <c r="B41" s="34">
        <v>16</v>
      </c>
      <c r="C41" s="35">
        <v>32.784869782595329</v>
      </c>
      <c r="D41" s="34">
        <v>0</v>
      </c>
      <c r="E41" s="34">
        <v>0</v>
      </c>
      <c r="F41" s="34">
        <v>0</v>
      </c>
      <c r="G41" s="34">
        <v>0</v>
      </c>
      <c r="H41" s="34">
        <v>0</v>
      </c>
      <c r="I41" s="34">
        <v>0</v>
      </c>
      <c r="J41" s="34">
        <v>0</v>
      </c>
      <c r="K41" s="34">
        <v>0</v>
      </c>
      <c r="L41" s="34">
        <v>0</v>
      </c>
      <c r="M41" s="34">
        <v>0</v>
      </c>
      <c r="N41" s="34">
        <v>0</v>
      </c>
      <c r="O41" s="34">
        <v>0</v>
      </c>
      <c r="P41" s="34">
        <v>0</v>
      </c>
      <c r="Q41" s="34">
        <v>0</v>
      </c>
      <c r="R41" s="34">
        <v>0</v>
      </c>
      <c r="S41" s="34">
        <v>2</v>
      </c>
      <c r="T41" s="34">
        <v>0</v>
      </c>
      <c r="U41" s="34">
        <v>0</v>
      </c>
      <c r="V41" s="34">
        <v>0</v>
      </c>
      <c r="W41" s="34">
        <v>0</v>
      </c>
      <c r="X41" s="34">
        <v>0</v>
      </c>
      <c r="Y41" s="34">
        <v>0</v>
      </c>
      <c r="Z41" s="34">
        <v>0</v>
      </c>
      <c r="AA41" s="34">
        <v>0</v>
      </c>
      <c r="AB41" s="34">
        <v>1</v>
      </c>
      <c r="AC41" s="34">
        <v>1</v>
      </c>
      <c r="AD41" s="34">
        <v>1</v>
      </c>
      <c r="AE41" s="34">
        <v>2</v>
      </c>
      <c r="AF41" s="34">
        <v>0</v>
      </c>
      <c r="AG41" s="34">
        <v>1</v>
      </c>
      <c r="AH41" s="34">
        <v>1</v>
      </c>
      <c r="AI41" s="34">
        <v>1</v>
      </c>
      <c r="AJ41" s="34">
        <v>1</v>
      </c>
      <c r="AK41" s="34">
        <v>0</v>
      </c>
      <c r="AL41" s="34">
        <v>0</v>
      </c>
      <c r="AM41" s="34">
        <v>0</v>
      </c>
      <c r="AN41" s="34">
        <v>0</v>
      </c>
      <c r="AO41" s="34">
        <v>0</v>
      </c>
      <c r="AP41" s="34">
        <v>1</v>
      </c>
      <c r="AQ41" s="34">
        <v>0</v>
      </c>
      <c r="AR41" s="34">
        <v>0</v>
      </c>
      <c r="AS41" s="34">
        <v>0</v>
      </c>
      <c r="AT41" s="34">
        <v>0</v>
      </c>
      <c r="AU41" s="34">
        <v>1</v>
      </c>
      <c r="AV41" s="34">
        <v>2</v>
      </c>
      <c r="AW41" s="34">
        <v>0</v>
      </c>
      <c r="AX41" s="34">
        <v>0</v>
      </c>
      <c r="AY41" s="34">
        <v>0</v>
      </c>
      <c r="AZ41" s="34">
        <v>1</v>
      </c>
      <c r="BA41" s="34">
        <v>0</v>
      </c>
      <c r="BB41" s="34">
        <v>0</v>
      </c>
      <c r="BC41" s="34">
        <v>0</v>
      </c>
      <c r="BD41" s="34">
        <v>0</v>
      </c>
      <c r="BE41" s="21"/>
    </row>
    <row r="42" spans="1:57" x14ac:dyDescent="0.35">
      <c r="A42" s="33" t="s">
        <v>38</v>
      </c>
      <c r="B42" s="34">
        <v>2</v>
      </c>
      <c r="C42" s="35">
        <v>4.886630179827991</v>
      </c>
      <c r="D42" s="34">
        <v>0</v>
      </c>
      <c r="E42" s="34">
        <v>0</v>
      </c>
      <c r="F42" s="34">
        <v>0</v>
      </c>
      <c r="G42" s="34">
        <v>0</v>
      </c>
      <c r="H42" s="34">
        <v>0</v>
      </c>
      <c r="I42" s="34">
        <v>0</v>
      </c>
      <c r="J42" s="34">
        <v>0</v>
      </c>
      <c r="K42" s="34">
        <v>0</v>
      </c>
      <c r="L42" s="34">
        <v>0</v>
      </c>
      <c r="M42" s="34">
        <v>0</v>
      </c>
      <c r="N42" s="34">
        <v>0</v>
      </c>
      <c r="O42" s="34">
        <v>0</v>
      </c>
      <c r="P42" s="34">
        <v>0</v>
      </c>
      <c r="Q42" s="34">
        <v>0</v>
      </c>
      <c r="R42" s="34">
        <v>0</v>
      </c>
      <c r="S42" s="34">
        <v>0</v>
      </c>
      <c r="T42" s="34">
        <v>0</v>
      </c>
      <c r="U42" s="34">
        <v>0</v>
      </c>
      <c r="V42" s="34">
        <v>0</v>
      </c>
      <c r="W42" s="34">
        <v>0</v>
      </c>
      <c r="X42" s="34">
        <v>0</v>
      </c>
      <c r="Y42" s="34">
        <v>0</v>
      </c>
      <c r="Z42" s="34">
        <v>0</v>
      </c>
      <c r="AA42" s="34">
        <v>0</v>
      </c>
      <c r="AB42" s="34">
        <v>0</v>
      </c>
      <c r="AC42" s="34">
        <v>0</v>
      </c>
      <c r="AD42" s="34">
        <v>0</v>
      </c>
      <c r="AE42" s="34">
        <v>0</v>
      </c>
      <c r="AF42" s="34">
        <v>0</v>
      </c>
      <c r="AG42" s="34">
        <v>0</v>
      </c>
      <c r="AH42" s="34">
        <v>0</v>
      </c>
      <c r="AI42" s="34">
        <v>1</v>
      </c>
      <c r="AJ42" s="34">
        <v>1</v>
      </c>
      <c r="AK42" s="34">
        <v>0</v>
      </c>
      <c r="AL42" s="34">
        <v>0</v>
      </c>
      <c r="AM42" s="34">
        <v>0</v>
      </c>
      <c r="AN42" s="34">
        <v>0</v>
      </c>
      <c r="AO42" s="34">
        <v>0</v>
      </c>
      <c r="AP42" s="34">
        <v>0</v>
      </c>
      <c r="AQ42" s="34">
        <v>0</v>
      </c>
      <c r="AR42" s="34">
        <v>0</v>
      </c>
      <c r="AS42" s="34">
        <v>0</v>
      </c>
      <c r="AT42" s="34">
        <v>0</v>
      </c>
      <c r="AU42" s="34">
        <v>0</v>
      </c>
      <c r="AV42" s="34">
        <v>0</v>
      </c>
      <c r="AW42" s="34">
        <v>0</v>
      </c>
      <c r="AX42" s="34">
        <v>0</v>
      </c>
      <c r="AY42" s="34">
        <v>0</v>
      </c>
      <c r="AZ42" s="34">
        <v>0</v>
      </c>
      <c r="BA42" s="34">
        <v>0</v>
      </c>
      <c r="BB42" s="34">
        <v>0</v>
      </c>
      <c r="BC42" s="34">
        <v>0</v>
      </c>
      <c r="BD42" s="34">
        <v>0</v>
      </c>
      <c r="BE42" s="21"/>
    </row>
    <row r="43" spans="1:57" x14ac:dyDescent="0.35">
      <c r="A43" s="33" t="s">
        <v>39</v>
      </c>
      <c r="B43" s="34">
        <v>49</v>
      </c>
      <c r="C43" s="35">
        <v>144.09221902017291</v>
      </c>
      <c r="D43" s="34">
        <v>3</v>
      </c>
      <c r="E43" s="34">
        <v>3</v>
      </c>
      <c r="F43" s="34">
        <v>4</v>
      </c>
      <c r="G43" s="34">
        <v>2</v>
      </c>
      <c r="H43" s="34">
        <v>2</v>
      </c>
      <c r="I43" s="34">
        <v>1</v>
      </c>
      <c r="J43" s="34">
        <v>1</v>
      </c>
      <c r="K43" s="34">
        <v>0</v>
      </c>
      <c r="L43" s="34">
        <v>1</v>
      </c>
      <c r="M43" s="34">
        <v>1</v>
      </c>
      <c r="N43" s="34">
        <v>2</v>
      </c>
      <c r="O43" s="34">
        <v>0</v>
      </c>
      <c r="P43" s="34">
        <v>0</v>
      </c>
      <c r="Q43" s="34">
        <v>0</v>
      </c>
      <c r="R43" s="34">
        <v>0</v>
      </c>
      <c r="S43" s="34">
        <v>0</v>
      </c>
      <c r="T43" s="34">
        <v>0</v>
      </c>
      <c r="U43" s="34">
        <v>0</v>
      </c>
      <c r="V43" s="34">
        <v>0</v>
      </c>
      <c r="W43" s="34">
        <v>1</v>
      </c>
      <c r="X43" s="34">
        <v>1</v>
      </c>
      <c r="Y43" s="34">
        <v>0</v>
      </c>
      <c r="Z43" s="34">
        <v>0</v>
      </c>
      <c r="AA43" s="34">
        <v>3</v>
      </c>
      <c r="AB43" s="34">
        <v>2</v>
      </c>
      <c r="AC43" s="34">
        <v>1</v>
      </c>
      <c r="AD43" s="34">
        <v>1</v>
      </c>
      <c r="AE43" s="34">
        <v>1</v>
      </c>
      <c r="AF43" s="34">
        <v>2</v>
      </c>
      <c r="AG43" s="34">
        <v>2</v>
      </c>
      <c r="AH43" s="34">
        <v>3</v>
      </c>
      <c r="AI43" s="34">
        <v>5</v>
      </c>
      <c r="AJ43" s="34">
        <v>1</v>
      </c>
      <c r="AK43" s="34">
        <v>0</v>
      </c>
      <c r="AL43" s="34">
        <v>1</v>
      </c>
      <c r="AM43" s="34">
        <v>0</v>
      </c>
      <c r="AN43" s="34">
        <v>0</v>
      </c>
      <c r="AO43" s="34">
        <v>5</v>
      </c>
      <c r="AP43" s="34">
        <v>0</v>
      </c>
      <c r="AQ43" s="34">
        <v>0</v>
      </c>
      <c r="AR43" s="34">
        <v>0</v>
      </c>
      <c r="AS43" s="34">
        <v>0</v>
      </c>
      <c r="AT43" s="34">
        <v>0</v>
      </c>
      <c r="AU43" s="34">
        <v>0</v>
      </c>
      <c r="AV43" s="34">
        <v>0</v>
      </c>
      <c r="AW43" s="34">
        <v>0</v>
      </c>
      <c r="AX43" s="34">
        <v>0</v>
      </c>
      <c r="AY43" s="34">
        <v>0</v>
      </c>
      <c r="AZ43" s="34">
        <v>0</v>
      </c>
      <c r="BA43" s="34">
        <v>0</v>
      </c>
      <c r="BB43" s="34">
        <v>0</v>
      </c>
      <c r="BC43" s="34">
        <v>0</v>
      </c>
      <c r="BD43" s="34">
        <v>0</v>
      </c>
      <c r="BE43" s="21"/>
    </row>
    <row r="44" spans="1:57" x14ac:dyDescent="0.35">
      <c r="A44" s="33" t="s">
        <v>40</v>
      </c>
      <c r="B44" s="34">
        <v>236</v>
      </c>
      <c r="C44" s="35">
        <v>992.18027411082153</v>
      </c>
      <c r="D44" s="34">
        <v>2</v>
      </c>
      <c r="E44" s="34">
        <v>2</v>
      </c>
      <c r="F44" s="34">
        <v>1</v>
      </c>
      <c r="G44" s="34">
        <v>1</v>
      </c>
      <c r="H44" s="34">
        <v>0</v>
      </c>
      <c r="I44" s="34">
        <v>0</v>
      </c>
      <c r="J44" s="34">
        <v>2</v>
      </c>
      <c r="K44" s="34">
        <v>0</v>
      </c>
      <c r="L44" s="34">
        <v>1</v>
      </c>
      <c r="M44" s="34">
        <v>1</v>
      </c>
      <c r="N44" s="34">
        <v>1</v>
      </c>
      <c r="O44" s="34">
        <v>1</v>
      </c>
      <c r="P44" s="34">
        <v>0</v>
      </c>
      <c r="Q44" s="34">
        <v>2</v>
      </c>
      <c r="R44" s="34">
        <v>3</v>
      </c>
      <c r="S44" s="34">
        <v>1</v>
      </c>
      <c r="T44" s="34">
        <v>3</v>
      </c>
      <c r="U44" s="34">
        <v>5</v>
      </c>
      <c r="V44" s="34">
        <v>18</v>
      </c>
      <c r="W44" s="34">
        <v>7</v>
      </c>
      <c r="X44" s="34">
        <v>9</v>
      </c>
      <c r="Y44" s="34">
        <v>10</v>
      </c>
      <c r="Z44" s="34">
        <v>5</v>
      </c>
      <c r="AA44" s="34">
        <v>7</v>
      </c>
      <c r="AB44" s="34">
        <v>6</v>
      </c>
      <c r="AC44" s="34">
        <v>12</v>
      </c>
      <c r="AD44" s="34">
        <v>19</v>
      </c>
      <c r="AE44" s="34">
        <v>17</v>
      </c>
      <c r="AF44" s="34">
        <v>19</v>
      </c>
      <c r="AG44" s="34">
        <v>10</v>
      </c>
      <c r="AH44" s="34">
        <v>7</v>
      </c>
      <c r="AI44" s="34">
        <v>5</v>
      </c>
      <c r="AJ44" s="34">
        <v>7</v>
      </c>
      <c r="AK44" s="34">
        <v>10</v>
      </c>
      <c r="AL44" s="34">
        <v>1</v>
      </c>
      <c r="AM44" s="34">
        <v>6</v>
      </c>
      <c r="AN44" s="34">
        <v>3</v>
      </c>
      <c r="AO44" s="34">
        <v>4</v>
      </c>
      <c r="AP44" s="34">
        <v>3</v>
      </c>
      <c r="AQ44" s="34">
        <v>1</v>
      </c>
      <c r="AR44" s="34">
        <v>0</v>
      </c>
      <c r="AS44" s="34">
        <v>1</v>
      </c>
      <c r="AT44" s="34">
        <v>1</v>
      </c>
      <c r="AU44" s="34">
        <v>4</v>
      </c>
      <c r="AV44" s="34">
        <v>4</v>
      </c>
      <c r="AW44" s="34">
        <v>5</v>
      </c>
      <c r="AX44" s="34">
        <v>1</v>
      </c>
      <c r="AY44" s="34">
        <v>1</v>
      </c>
      <c r="AZ44" s="34">
        <v>3</v>
      </c>
      <c r="BA44" s="34">
        <v>1</v>
      </c>
      <c r="BB44" s="34">
        <v>0</v>
      </c>
      <c r="BC44" s="34">
        <v>3</v>
      </c>
      <c r="BD44" s="34">
        <v>0</v>
      </c>
      <c r="BE44" s="21"/>
    </row>
    <row r="45" spans="1:57" x14ac:dyDescent="0.35">
      <c r="A45" s="33" t="s">
        <v>41</v>
      </c>
      <c r="B45" s="34">
        <v>423</v>
      </c>
      <c r="C45" s="35">
        <v>211.34043796933315</v>
      </c>
      <c r="D45" s="34">
        <v>5</v>
      </c>
      <c r="E45" s="34">
        <v>7</v>
      </c>
      <c r="F45" s="34">
        <v>4</v>
      </c>
      <c r="G45" s="34">
        <v>1</v>
      </c>
      <c r="H45" s="34">
        <v>9</v>
      </c>
      <c r="I45" s="34">
        <v>7</v>
      </c>
      <c r="J45" s="34">
        <v>7</v>
      </c>
      <c r="K45" s="34">
        <v>5</v>
      </c>
      <c r="L45" s="34">
        <v>10</v>
      </c>
      <c r="M45" s="34">
        <v>8</v>
      </c>
      <c r="N45" s="34">
        <v>7</v>
      </c>
      <c r="O45" s="34">
        <v>2</v>
      </c>
      <c r="P45" s="34">
        <v>8</v>
      </c>
      <c r="Q45" s="34">
        <v>12</v>
      </c>
      <c r="R45" s="34">
        <v>7</v>
      </c>
      <c r="S45" s="34">
        <v>6</v>
      </c>
      <c r="T45" s="34">
        <v>7</v>
      </c>
      <c r="U45" s="34">
        <v>2</v>
      </c>
      <c r="V45" s="34">
        <v>8</v>
      </c>
      <c r="W45" s="34">
        <v>5</v>
      </c>
      <c r="X45" s="34">
        <v>5</v>
      </c>
      <c r="Y45" s="34">
        <v>2</v>
      </c>
      <c r="Z45" s="34">
        <v>3</v>
      </c>
      <c r="AA45" s="34">
        <v>2</v>
      </c>
      <c r="AB45" s="34">
        <v>11</v>
      </c>
      <c r="AC45" s="34">
        <v>16</v>
      </c>
      <c r="AD45" s="34">
        <v>8</v>
      </c>
      <c r="AE45" s="34">
        <v>13</v>
      </c>
      <c r="AF45" s="34">
        <v>23</v>
      </c>
      <c r="AG45" s="34">
        <v>23</v>
      </c>
      <c r="AH45" s="34">
        <v>8</v>
      </c>
      <c r="AI45" s="34">
        <v>7</v>
      </c>
      <c r="AJ45" s="34">
        <v>13</v>
      </c>
      <c r="AK45" s="34">
        <v>9</v>
      </c>
      <c r="AL45" s="34">
        <v>6</v>
      </c>
      <c r="AM45" s="34">
        <v>4</v>
      </c>
      <c r="AN45" s="34">
        <v>7</v>
      </c>
      <c r="AO45" s="34">
        <v>4</v>
      </c>
      <c r="AP45" s="34">
        <v>4</v>
      </c>
      <c r="AQ45" s="34">
        <v>3</v>
      </c>
      <c r="AR45" s="34">
        <v>4</v>
      </c>
      <c r="AS45" s="34">
        <v>4</v>
      </c>
      <c r="AT45" s="34">
        <v>3</v>
      </c>
      <c r="AU45" s="34">
        <v>2</v>
      </c>
      <c r="AV45" s="34">
        <v>8</v>
      </c>
      <c r="AW45" s="34">
        <v>14</v>
      </c>
      <c r="AX45" s="34">
        <v>20</v>
      </c>
      <c r="AY45" s="34">
        <v>8</v>
      </c>
      <c r="AZ45" s="34">
        <v>16</v>
      </c>
      <c r="BA45" s="34">
        <v>7</v>
      </c>
      <c r="BB45" s="34">
        <v>14</v>
      </c>
      <c r="BC45" s="34">
        <v>12</v>
      </c>
      <c r="BD45" s="34">
        <v>13</v>
      </c>
      <c r="BE45" s="21"/>
    </row>
    <row r="46" spans="1:57" x14ac:dyDescent="0.35">
      <c r="A46" s="33" t="s">
        <v>42</v>
      </c>
      <c r="B46" s="34">
        <v>1</v>
      </c>
      <c r="C46" s="35">
        <v>6.9730144341398788</v>
      </c>
      <c r="D46" s="34">
        <v>0</v>
      </c>
      <c r="E46" s="34">
        <v>0</v>
      </c>
      <c r="F46" s="34">
        <v>0</v>
      </c>
      <c r="G46" s="34">
        <v>0</v>
      </c>
      <c r="H46" s="34">
        <v>0</v>
      </c>
      <c r="I46" s="34">
        <v>0</v>
      </c>
      <c r="J46" s="34">
        <v>0</v>
      </c>
      <c r="K46" s="34">
        <v>0</v>
      </c>
      <c r="L46" s="34">
        <v>0</v>
      </c>
      <c r="M46" s="34">
        <v>0</v>
      </c>
      <c r="N46" s="34">
        <v>0</v>
      </c>
      <c r="O46" s="34">
        <v>0</v>
      </c>
      <c r="P46" s="34">
        <v>0</v>
      </c>
      <c r="Q46" s="34">
        <v>0</v>
      </c>
      <c r="R46" s="34">
        <v>0</v>
      </c>
      <c r="S46" s="34">
        <v>0</v>
      </c>
      <c r="T46" s="34">
        <v>0</v>
      </c>
      <c r="U46" s="34">
        <v>0</v>
      </c>
      <c r="V46" s="34">
        <v>0</v>
      </c>
      <c r="W46" s="34">
        <v>0</v>
      </c>
      <c r="X46" s="34">
        <v>0</v>
      </c>
      <c r="Y46" s="34">
        <v>0</v>
      </c>
      <c r="Z46" s="34">
        <v>0</v>
      </c>
      <c r="AA46" s="34">
        <v>0</v>
      </c>
      <c r="AB46" s="34">
        <v>0</v>
      </c>
      <c r="AC46" s="34">
        <v>0</v>
      </c>
      <c r="AD46" s="34">
        <v>0</v>
      </c>
      <c r="AE46" s="34">
        <v>0</v>
      </c>
      <c r="AF46" s="34">
        <v>0</v>
      </c>
      <c r="AG46" s="34">
        <v>0</v>
      </c>
      <c r="AH46" s="34">
        <v>0</v>
      </c>
      <c r="AI46" s="34">
        <v>0</v>
      </c>
      <c r="AJ46" s="34">
        <v>0</v>
      </c>
      <c r="AK46" s="34">
        <v>0</v>
      </c>
      <c r="AL46" s="34">
        <v>0</v>
      </c>
      <c r="AM46" s="34">
        <v>0</v>
      </c>
      <c r="AN46" s="34">
        <v>0</v>
      </c>
      <c r="AO46" s="34">
        <v>0</v>
      </c>
      <c r="AP46" s="34">
        <v>0</v>
      </c>
      <c r="AQ46" s="34">
        <v>0</v>
      </c>
      <c r="AR46" s="34">
        <v>1</v>
      </c>
      <c r="AS46" s="34">
        <v>0</v>
      </c>
      <c r="AT46" s="34">
        <v>0</v>
      </c>
      <c r="AU46" s="34">
        <v>0</v>
      </c>
      <c r="AV46" s="34">
        <v>0</v>
      </c>
      <c r="AW46" s="34">
        <v>0</v>
      </c>
      <c r="AX46" s="34">
        <v>0</v>
      </c>
      <c r="AY46" s="34">
        <v>0</v>
      </c>
      <c r="AZ46" s="34">
        <v>0</v>
      </c>
      <c r="BA46" s="34">
        <v>0</v>
      </c>
      <c r="BB46" s="34">
        <v>0</v>
      </c>
      <c r="BC46" s="34">
        <v>0</v>
      </c>
      <c r="BD46" s="34">
        <v>0</v>
      </c>
      <c r="BE46" s="21"/>
    </row>
    <row r="47" spans="1:57" x14ac:dyDescent="0.35">
      <c r="A47" s="33" t="s">
        <v>43</v>
      </c>
      <c r="B47" s="34">
        <v>2</v>
      </c>
      <c r="C47" s="35">
        <v>9.0228277542181718</v>
      </c>
      <c r="D47" s="34">
        <v>0</v>
      </c>
      <c r="E47" s="34">
        <v>0</v>
      </c>
      <c r="F47" s="34">
        <v>0</v>
      </c>
      <c r="G47" s="34">
        <v>0</v>
      </c>
      <c r="H47" s="34">
        <v>0</v>
      </c>
      <c r="I47" s="34">
        <v>0</v>
      </c>
      <c r="J47" s="34">
        <v>0</v>
      </c>
      <c r="K47" s="34">
        <v>0</v>
      </c>
      <c r="L47" s="34">
        <v>0</v>
      </c>
      <c r="M47" s="34">
        <v>0</v>
      </c>
      <c r="N47" s="34">
        <v>0</v>
      </c>
      <c r="O47" s="34">
        <v>0</v>
      </c>
      <c r="P47" s="34">
        <v>0</v>
      </c>
      <c r="Q47" s="34">
        <v>0</v>
      </c>
      <c r="R47" s="34">
        <v>0</v>
      </c>
      <c r="S47" s="34">
        <v>0</v>
      </c>
      <c r="T47" s="34">
        <v>0</v>
      </c>
      <c r="U47" s="34">
        <v>0</v>
      </c>
      <c r="V47" s="34">
        <v>0</v>
      </c>
      <c r="W47" s="34">
        <v>0</v>
      </c>
      <c r="X47" s="34">
        <v>0</v>
      </c>
      <c r="Y47" s="34">
        <v>0</v>
      </c>
      <c r="Z47" s="34">
        <v>0</v>
      </c>
      <c r="AA47" s="34">
        <v>0</v>
      </c>
      <c r="AB47" s="34">
        <v>0</v>
      </c>
      <c r="AC47" s="34">
        <v>0</v>
      </c>
      <c r="AD47" s="34">
        <v>0</v>
      </c>
      <c r="AE47" s="34">
        <v>0</v>
      </c>
      <c r="AF47" s="34">
        <v>0</v>
      </c>
      <c r="AG47" s="34">
        <v>1</v>
      </c>
      <c r="AH47" s="34">
        <v>0</v>
      </c>
      <c r="AI47" s="34">
        <v>0</v>
      </c>
      <c r="AJ47" s="34">
        <v>0</v>
      </c>
      <c r="AK47" s="34">
        <v>0</v>
      </c>
      <c r="AL47" s="34">
        <v>0</v>
      </c>
      <c r="AM47" s="34">
        <v>0</v>
      </c>
      <c r="AN47" s="34">
        <v>0</v>
      </c>
      <c r="AO47" s="34">
        <v>1</v>
      </c>
      <c r="AP47" s="34">
        <v>0</v>
      </c>
      <c r="AQ47" s="34">
        <v>0</v>
      </c>
      <c r="AR47" s="34">
        <v>0</v>
      </c>
      <c r="AS47" s="34">
        <v>0</v>
      </c>
      <c r="AT47" s="34">
        <v>0</v>
      </c>
      <c r="AU47" s="34">
        <v>0</v>
      </c>
      <c r="AV47" s="34">
        <v>0</v>
      </c>
      <c r="AW47" s="34">
        <v>0</v>
      </c>
      <c r="AX47" s="34">
        <v>0</v>
      </c>
      <c r="AY47" s="34">
        <v>0</v>
      </c>
      <c r="AZ47" s="34">
        <v>0</v>
      </c>
      <c r="BA47" s="34">
        <v>0</v>
      </c>
      <c r="BB47" s="34">
        <v>0</v>
      </c>
      <c r="BC47" s="34">
        <v>0</v>
      </c>
      <c r="BD47" s="34">
        <v>0</v>
      </c>
      <c r="BE47" s="21"/>
    </row>
    <row r="48" spans="1:57" x14ac:dyDescent="0.35">
      <c r="A48" s="33" t="s">
        <v>44</v>
      </c>
      <c r="B48" s="34">
        <v>4</v>
      </c>
      <c r="C48" s="35">
        <v>7.3998705022662108</v>
      </c>
      <c r="D48" s="34">
        <v>0</v>
      </c>
      <c r="E48" s="34">
        <v>1</v>
      </c>
      <c r="F48" s="34">
        <v>0</v>
      </c>
      <c r="G48" s="34">
        <v>0</v>
      </c>
      <c r="H48" s="34">
        <v>0</v>
      </c>
      <c r="I48" s="34">
        <v>0</v>
      </c>
      <c r="J48" s="34">
        <v>0</v>
      </c>
      <c r="K48" s="34">
        <v>0</v>
      </c>
      <c r="L48" s="34">
        <v>0</v>
      </c>
      <c r="M48" s="34">
        <v>0</v>
      </c>
      <c r="N48" s="34">
        <v>0</v>
      </c>
      <c r="O48" s="34">
        <v>0</v>
      </c>
      <c r="P48" s="34">
        <v>0</v>
      </c>
      <c r="Q48" s="34">
        <v>0</v>
      </c>
      <c r="R48" s="34">
        <v>1</v>
      </c>
      <c r="S48" s="34">
        <v>0</v>
      </c>
      <c r="T48" s="34">
        <v>0</v>
      </c>
      <c r="U48" s="34">
        <v>0</v>
      </c>
      <c r="V48" s="34">
        <v>0</v>
      </c>
      <c r="W48" s="34">
        <v>0</v>
      </c>
      <c r="X48" s="34">
        <v>0</v>
      </c>
      <c r="Y48" s="34">
        <v>0</v>
      </c>
      <c r="Z48" s="34">
        <v>0</v>
      </c>
      <c r="AA48" s="34">
        <v>0</v>
      </c>
      <c r="AB48" s="34">
        <v>0</v>
      </c>
      <c r="AC48" s="34">
        <v>0</v>
      </c>
      <c r="AD48" s="34">
        <v>0</v>
      </c>
      <c r="AE48" s="34">
        <v>0</v>
      </c>
      <c r="AF48" s="34">
        <v>0</v>
      </c>
      <c r="AG48" s="34">
        <v>0</v>
      </c>
      <c r="AH48" s="34">
        <v>0</v>
      </c>
      <c r="AI48" s="34">
        <v>0</v>
      </c>
      <c r="AJ48" s="34">
        <v>0</v>
      </c>
      <c r="AK48" s="34">
        <v>0</v>
      </c>
      <c r="AL48" s="34">
        <v>0</v>
      </c>
      <c r="AM48" s="34">
        <v>1</v>
      </c>
      <c r="AN48" s="34">
        <v>0</v>
      </c>
      <c r="AO48" s="34">
        <v>0</v>
      </c>
      <c r="AP48" s="34">
        <v>0</v>
      </c>
      <c r="AQ48" s="34">
        <v>0</v>
      </c>
      <c r="AR48" s="34">
        <v>0</v>
      </c>
      <c r="AS48" s="34">
        <v>1</v>
      </c>
      <c r="AT48" s="34">
        <v>0</v>
      </c>
      <c r="AU48" s="34">
        <v>0</v>
      </c>
      <c r="AV48" s="34">
        <v>0</v>
      </c>
      <c r="AW48" s="34">
        <v>0</v>
      </c>
      <c r="AX48" s="34">
        <v>0</v>
      </c>
      <c r="AY48" s="34">
        <v>0</v>
      </c>
      <c r="AZ48" s="34">
        <v>0</v>
      </c>
      <c r="BA48" s="34">
        <v>0</v>
      </c>
      <c r="BB48" s="34">
        <v>0</v>
      </c>
      <c r="BC48" s="34">
        <v>0</v>
      </c>
      <c r="BD48" s="34">
        <v>0</v>
      </c>
      <c r="BE48" s="21"/>
    </row>
    <row r="49" spans="1:57" x14ac:dyDescent="0.35">
      <c r="A49" s="33" t="s">
        <v>45</v>
      </c>
      <c r="B49" s="34">
        <v>0</v>
      </c>
      <c r="C49" s="35">
        <v>0</v>
      </c>
      <c r="D49" s="34">
        <v>0</v>
      </c>
      <c r="E49" s="34">
        <v>0</v>
      </c>
      <c r="F49" s="34">
        <v>0</v>
      </c>
      <c r="G49" s="34">
        <v>0</v>
      </c>
      <c r="H49" s="34">
        <v>0</v>
      </c>
      <c r="I49" s="34">
        <v>0</v>
      </c>
      <c r="J49" s="34">
        <v>0</v>
      </c>
      <c r="K49" s="34">
        <v>0</v>
      </c>
      <c r="L49" s="34">
        <v>0</v>
      </c>
      <c r="M49" s="34">
        <v>0</v>
      </c>
      <c r="N49" s="34">
        <v>0</v>
      </c>
      <c r="O49" s="34">
        <v>0</v>
      </c>
      <c r="P49" s="34">
        <v>0</v>
      </c>
      <c r="Q49" s="34">
        <v>0</v>
      </c>
      <c r="R49" s="34">
        <v>0</v>
      </c>
      <c r="S49" s="34">
        <v>0</v>
      </c>
      <c r="T49" s="34">
        <v>0</v>
      </c>
      <c r="U49" s="34">
        <v>0</v>
      </c>
      <c r="V49" s="34">
        <v>0</v>
      </c>
      <c r="W49" s="34">
        <v>0</v>
      </c>
      <c r="X49" s="34">
        <v>0</v>
      </c>
      <c r="Y49" s="34">
        <v>0</v>
      </c>
      <c r="Z49" s="34">
        <v>0</v>
      </c>
      <c r="AA49" s="34">
        <v>0</v>
      </c>
      <c r="AB49" s="34">
        <v>0</v>
      </c>
      <c r="AC49" s="34">
        <v>0</v>
      </c>
      <c r="AD49" s="34">
        <v>0</v>
      </c>
      <c r="AE49" s="34">
        <v>0</v>
      </c>
      <c r="AF49" s="34">
        <v>0</v>
      </c>
      <c r="AG49" s="34">
        <v>0</v>
      </c>
      <c r="AH49" s="34">
        <v>0</v>
      </c>
      <c r="AI49" s="34">
        <v>0</v>
      </c>
      <c r="AJ49" s="34">
        <v>0</v>
      </c>
      <c r="AK49" s="34">
        <v>0</v>
      </c>
      <c r="AL49" s="34">
        <v>0</v>
      </c>
      <c r="AM49" s="34">
        <v>0</v>
      </c>
      <c r="AN49" s="34">
        <v>0</v>
      </c>
      <c r="AO49" s="34">
        <v>0</v>
      </c>
      <c r="AP49" s="34">
        <v>0</v>
      </c>
      <c r="AQ49" s="34">
        <v>0</v>
      </c>
      <c r="AR49" s="34">
        <v>0</v>
      </c>
      <c r="AS49" s="34">
        <v>0</v>
      </c>
      <c r="AT49" s="34">
        <v>0</v>
      </c>
      <c r="AU49" s="34">
        <v>0</v>
      </c>
      <c r="AV49" s="34">
        <v>0</v>
      </c>
      <c r="AW49" s="34">
        <v>0</v>
      </c>
      <c r="AX49" s="34">
        <v>0</v>
      </c>
      <c r="AY49" s="34">
        <v>0</v>
      </c>
      <c r="AZ49" s="34">
        <v>0</v>
      </c>
      <c r="BA49" s="34">
        <v>0</v>
      </c>
      <c r="BB49" s="34">
        <v>0</v>
      </c>
      <c r="BC49" s="34">
        <v>0</v>
      </c>
      <c r="BD49" s="34">
        <v>0</v>
      </c>
      <c r="BE49" s="21"/>
    </row>
    <row r="50" spans="1:57" x14ac:dyDescent="0.35">
      <c r="A50" s="33" t="s">
        <v>46</v>
      </c>
      <c r="B50" s="34">
        <v>2</v>
      </c>
      <c r="C50" s="35">
        <v>10.39717196922437</v>
      </c>
      <c r="D50" s="34">
        <v>0</v>
      </c>
      <c r="E50" s="34">
        <v>0</v>
      </c>
      <c r="F50" s="34">
        <v>0</v>
      </c>
      <c r="G50" s="34">
        <v>0</v>
      </c>
      <c r="H50" s="34">
        <v>0</v>
      </c>
      <c r="I50" s="34">
        <v>0</v>
      </c>
      <c r="J50" s="34">
        <v>0</v>
      </c>
      <c r="K50" s="34">
        <v>0</v>
      </c>
      <c r="L50" s="34">
        <v>0</v>
      </c>
      <c r="M50" s="34">
        <v>0</v>
      </c>
      <c r="N50" s="34">
        <v>0</v>
      </c>
      <c r="O50" s="34">
        <v>0</v>
      </c>
      <c r="P50" s="34">
        <v>0</v>
      </c>
      <c r="Q50" s="34">
        <v>0</v>
      </c>
      <c r="R50" s="34">
        <v>0</v>
      </c>
      <c r="S50" s="34">
        <v>0</v>
      </c>
      <c r="T50" s="34">
        <v>0</v>
      </c>
      <c r="U50" s="34">
        <v>0</v>
      </c>
      <c r="V50" s="34">
        <v>0</v>
      </c>
      <c r="W50" s="34">
        <v>0</v>
      </c>
      <c r="X50" s="34">
        <v>0</v>
      </c>
      <c r="Y50" s="34">
        <v>0</v>
      </c>
      <c r="Z50" s="34">
        <v>0</v>
      </c>
      <c r="AA50" s="34">
        <v>0</v>
      </c>
      <c r="AB50" s="34">
        <v>0</v>
      </c>
      <c r="AC50" s="34">
        <v>0</v>
      </c>
      <c r="AD50" s="34">
        <v>0</v>
      </c>
      <c r="AE50" s="34">
        <v>0</v>
      </c>
      <c r="AF50" s="34">
        <v>0</v>
      </c>
      <c r="AG50" s="34">
        <v>0</v>
      </c>
      <c r="AH50" s="34">
        <v>0</v>
      </c>
      <c r="AI50" s="34">
        <v>0</v>
      </c>
      <c r="AJ50" s="34">
        <v>0</v>
      </c>
      <c r="AK50" s="34">
        <v>0</v>
      </c>
      <c r="AL50" s="34">
        <v>0</v>
      </c>
      <c r="AM50" s="34">
        <v>0</v>
      </c>
      <c r="AN50" s="34">
        <v>0</v>
      </c>
      <c r="AO50" s="34">
        <v>0</v>
      </c>
      <c r="AP50" s="34">
        <v>0</v>
      </c>
      <c r="AQ50" s="34">
        <v>1</v>
      </c>
      <c r="AR50" s="34">
        <v>0</v>
      </c>
      <c r="AS50" s="34">
        <v>0</v>
      </c>
      <c r="AT50" s="34">
        <v>0</v>
      </c>
      <c r="AU50" s="34">
        <v>0</v>
      </c>
      <c r="AV50" s="34">
        <v>0</v>
      </c>
      <c r="AW50" s="34">
        <v>1</v>
      </c>
      <c r="AX50" s="34">
        <v>0</v>
      </c>
      <c r="AY50" s="34">
        <v>0</v>
      </c>
      <c r="AZ50" s="34">
        <v>0</v>
      </c>
      <c r="BA50" s="34">
        <v>0</v>
      </c>
      <c r="BB50" s="34">
        <v>0</v>
      </c>
      <c r="BC50" s="34">
        <v>0</v>
      </c>
      <c r="BD50" s="34">
        <v>0</v>
      </c>
      <c r="BE50" s="21"/>
    </row>
    <row r="51" spans="1:57" x14ac:dyDescent="0.35">
      <c r="A51" s="33" t="s">
        <v>105</v>
      </c>
      <c r="B51" s="34">
        <v>0</v>
      </c>
      <c r="C51" s="35" t="s">
        <v>106</v>
      </c>
      <c r="D51" s="34">
        <v>0</v>
      </c>
      <c r="E51" s="34">
        <v>0</v>
      </c>
      <c r="F51" s="34">
        <v>0</v>
      </c>
      <c r="G51" s="34">
        <v>0</v>
      </c>
      <c r="H51" s="34">
        <v>0</v>
      </c>
      <c r="I51" s="34">
        <v>0</v>
      </c>
      <c r="J51" s="34">
        <v>0</v>
      </c>
      <c r="K51" s="34">
        <v>0</v>
      </c>
      <c r="L51" s="34">
        <v>0</v>
      </c>
      <c r="M51" s="34">
        <v>0</v>
      </c>
      <c r="N51" s="34">
        <v>0</v>
      </c>
      <c r="O51" s="34">
        <v>0</v>
      </c>
      <c r="P51" s="34">
        <v>0</v>
      </c>
      <c r="Q51" s="34">
        <v>0</v>
      </c>
      <c r="R51" s="34">
        <v>0</v>
      </c>
      <c r="S51" s="34">
        <v>0</v>
      </c>
      <c r="T51" s="34">
        <v>0</v>
      </c>
      <c r="U51" s="34">
        <v>0</v>
      </c>
      <c r="V51" s="34">
        <v>0</v>
      </c>
      <c r="W51" s="34">
        <v>0</v>
      </c>
      <c r="X51" s="34">
        <v>0</v>
      </c>
      <c r="Y51" s="34">
        <v>0</v>
      </c>
      <c r="Z51" s="34">
        <v>0</v>
      </c>
      <c r="AA51" s="34">
        <v>0</v>
      </c>
      <c r="AB51" s="34">
        <v>0</v>
      </c>
      <c r="AC51" s="34">
        <v>0</v>
      </c>
      <c r="AD51" s="34">
        <v>0</v>
      </c>
      <c r="AE51" s="34">
        <v>0</v>
      </c>
      <c r="AF51" s="34">
        <v>0</v>
      </c>
      <c r="AG51" s="34">
        <v>0</v>
      </c>
      <c r="AH51" s="34">
        <v>0</v>
      </c>
      <c r="AI51" s="34">
        <v>0</v>
      </c>
      <c r="AJ51" s="34">
        <v>0</v>
      </c>
      <c r="AK51" s="34">
        <v>0</v>
      </c>
      <c r="AL51" s="34">
        <v>0</v>
      </c>
      <c r="AM51" s="34">
        <v>0</v>
      </c>
      <c r="AN51" s="34">
        <v>0</v>
      </c>
      <c r="AO51" s="34">
        <v>0</v>
      </c>
      <c r="AP51" s="34">
        <v>0</v>
      </c>
      <c r="AQ51" s="34">
        <v>0</v>
      </c>
      <c r="AR51" s="34">
        <v>0</v>
      </c>
      <c r="AS51" s="34">
        <v>0</v>
      </c>
      <c r="AT51" s="34">
        <v>0</v>
      </c>
      <c r="AU51" s="34">
        <v>0</v>
      </c>
      <c r="AV51" s="34">
        <v>0</v>
      </c>
      <c r="AW51" s="34">
        <v>0</v>
      </c>
      <c r="AX51" s="34">
        <v>0</v>
      </c>
      <c r="AY51" s="34">
        <v>0</v>
      </c>
      <c r="AZ51" s="34">
        <v>0</v>
      </c>
      <c r="BA51" s="34">
        <v>0</v>
      </c>
      <c r="BB51" s="34">
        <v>0</v>
      </c>
      <c r="BC51" s="34">
        <v>0</v>
      </c>
      <c r="BD51" s="34">
        <v>0</v>
      </c>
      <c r="BE51" s="21"/>
    </row>
    <row r="52" spans="1:57" x14ac:dyDescent="0.35">
      <c r="A52" s="36"/>
      <c r="B52" s="36"/>
      <c r="C52" s="36"/>
      <c r="D52" s="36"/>
      <c r="E52" s="36"/>
      <c r="F52" s="36"/>
      <c r="G52" s="36"/>
      <c r="H52" s="36"/>
      <c r="I52" s="36"/>
      <c r="J52" s="36"/>
      <c r="K52" s="36"/>
      <c r="L52" s="36"/>
      <c r="M52" s="36"/>
      <c r="N52" s="36"/>
      <c r="O52" s="36"/>
      <c r="P52" s="36"/>
      <c r="Q52" s="36"/>
      <c r="R52" s="36"/>
      <c r="S52" s="36"/>
      <c r="T52" s="36"/>
      <c r="U52" s="36"/>
      <c r="V52" s="36"/>
      <c r="W52" s="36"/>
      <c r="X52" s="36"/>
      <c r="Y52" s="36"/>
      <c r="Z52" s="36"/>
      <c r="AA52" s="36"/>
      <c r="AB52" s="36"/>
      <c r="AC52" s="36"/>
      <c r="AD52" s="36"/>
      <c r="AE52" s="36"/>
      <c r="AF52" s="36"/>
      <c r="AG52" s="36"/>
      <c r="AH52" s="36"/>
      <c r="AI52" s="36"/>
      <c r="AJ52" s="36"/>
      <c r="AK52" s="36"/>
      <c r="AL52" s="36"/>
      <c r="AM52" s="36"/>
      <c r="AN52" s="36"/>
      <c r="AO52" s="36"/>
      <c r="AP52" s="36"/>
      <c r="AQ52" s="36"/>
      <c r="AR52" s="36"/>
      <c r="AS52" s="36"/>
      <c r="AT52" s="36"/>
      <c r="AU52" s="36"/>
      <c r="AV52" s="36"/>
      <c r="AW52" s="36"/>
      <c r="AX52" s="36"/>
      <c r="AY52" s="36"/>
      <c r="AZ52" s="36"/>
      <c r="BA52" s="36"/>
      <c r="BB52" s="36"/>
      <c r="BC52" s="36"/>
      <c r="BD52" s="36"/>
      <c r="BE52" s="21"/>
    </row>
    <row r="53" spans="1:57" x14ac:dyDescent="0.35">
      <c r="A53" s="20" t="s">
        <v>47</v>
      </c>
      <c r="B53" s="29">
        <v>226</v>
      </c>
      <c r="C53" s="30">
        <v>41.754502003661834</v>
      </c>
      <c r="D53" s="29">
        <v>4</v>
      </c>
      <c r="E53" s="29">
        <v>7</v>
      </c>
      <c r="F53" s="29">
        <v>5</v>
      </c>
      <c r="G53" s="29">
        <v>8</v>
      </c>
      <c r="H53" s="29">
        <v>4</v>
      </c>
      <c r="I53" s="29">
        <v>2</v>
      </c>
      <c r="J53" s="29">
        <v>1</v>
      </c>
      <c r="K53" s="29">
        <v>0</v>
      </c>
      <c r="L53" s="29">
        <v>4</v>
      </c>
      <c r="M53" s="29">
        <v>3</v>
      </c>
      <c r="N53" s="29">
        <v>1</v>
      </c>
      <c r="O53" s="29">
        <v>1</v>
      </c>
      <c r="P53" s="29">
        <v>1</v>
      </c>
      <c r="Q53" s="29">
        <v>1</v>
      </c>
      <c r="R53" s="29">
        <v>5</v>
      </c>
      <c r="S53" s="29">
        <v>6</v>
      </c>
      <c r="T53" s="29">
        <v>1</v>
      </c>
      <c r="U53" s="29">
        <v>4</v>
      </c>
      <c r="V53" s="29">
        <v>5</v>
      </c>
      <c r="W53" s="29">
        <v>7</v>
      </c>
      <c r="X53" s="29">
        <v>2</v>
      </c>
      <c r="Y53" s="29">
        <v>9</v>
      </c>
      <c r="Z53" s="29">
        <v>8</v>
      </c>
      <c r="AA53" s="29">
        <v>4</v>
      </c>
      <c r="AB53" s="29">
        <v>8</v>
      </c>
      <c r="AC53" s="29">
        <v>11</v>
      </c>
      <c r="AD53" s="29">
        <v>10</v>
      </c>
      <c r="AE53" s="29">
        <v>6</v>
      </c>
      <c r="AF53" s="29">
        <v>8</v>
      </c>
      <c r="AG53" s="29">
        <v>7</v>
      </c>
      <c r="AH53" s="29">
        <v>2</v>
      </c>
      <c r="AI53" s="29">
        <v>7</v>
      </c>
      <c r="AJ53" s="29">
        <v>10</v>
      </c>
      <c r="AK53" s="29">
        <v>12</v>
      </c>
      <c r="AL53" s="29">
        <v>9</v>
      </c>
      <c r="AM53" s="29">
        <v>6</v>
      </c>
      <c r="AN53" s="29">
        <v>4</v>
      </c>
      <c r="AO53" s="29">
        <v>5</v>
      </c>
      <c r="AP53" s="29">
        <v>3</v>
      </c>
      <c r="AQ53" s="29">
        <v>4</v>
      </c>
      <c r="AR53" s="29">
        <v>3</v>
      </c>
      <c r="AS53" s="29">
        <v>1</v>
      </c>
      <c r="AT53" s="29">
        <v>1</v>
      </c>
      <c r="AU53" s="29">
        <v>2</v>
      </c>
      <c r="AV53" s="29">
        <v>3</v>
      </c>
      <c r="AW53" s="29">
        <v>3</v>
      </c>
      <c r="AX53" s="29">
        <v>2</v>
      </c>
      <c r="AY53" s="29">
        <v>2</v>
      </c>
      <c r="AZ53" s="29">
        <v>3</v>
      </c>
      <c r="BA53" s="29">
        <v>1</v>
      </c>
      <c r="BB53" s="29">
        <v>0</v>
      </c>
      <c r="BC53" s="29">
        <v>0</v>
      </c>
      <c r="BD53" s="29">
        <v>0</v>
      </c>
      <c r="BE53" s="21"/>
    </row>
    <row r="54" spans="1:57" x14ac:dyDescent="0.35">
      <c r="A54" s="33" t="s">
        <v>48</v>
      </c>
      <c r="B54" s="34">
        <v>11</v>
      </c>
      <c r="C54" s="35">
        <v>6.702372030392211</v>
      </c>
      <c r="D54" s="34">
        <v>0</v>
      </c>
      <c r="E54" s="34">
        <v>0</v>
      </c>
      <c r="F54" s="34">
        <v>1</v>
      </c>
      <c r="G54" s="34">
        <v>3</v>
      </c>
      <c r="H54" s="34">
        <v>1</v>
      </c>
      <c r="I54" s="34">
        <v>0</v>
      </c>
      <c r="J54" s="34">
        <v>0</v>
      </c>
      <c r="K54" s="34">
        <v>0</v>
      </c>
      <c r="L54" s="34">
        <v>0</v>
      </c>
      <c r="M54" s="34">
        <v>0</v>
      </c>
      <c r="N54" s="34">
        <v>0</v>
      </c>
      <c r="O54" s="34">
        <v>0</v>
      </c>
      <c r="P54" s="34">
        <v>0</v>
      </c>
      <c r="Q54" s="34">
        <v>0</v>
      </c>
      <c r="R54" s="34">
        <v>0</v>
      </c>
      <c r="S54" s="34">
        <v>0</v>
      </c>
      <c r="T54" s="34">
        <v>0</v>
      </c>
      <c r="U54" s="34">
        <v>0</v>
      </c>
      <c r="V54" s="34">
        <v>0</v>
      </c>
      <c r="W54" s="34">
        <v>1</v>
      </c>
      <c r="X54" s="34">
        <v>0</v>
      </c>
      <c r="Y54" s="34">
        <v>0</v>
      </c>
      <c r="Z54" s="34">
        <v>0</v>
      </c>
      <c r="AA54" s="34">
        <v>0</v>
      </c>
      <c r="AB54" s="34">
        <v>1</v>
      </c>
      <c r="AC54" s="34">
        <v>0</v>
      </c>
      <c r="AD54" s="34">
        <v>0</v>
      </c>
      <c r="AE54" s="34">
        <v>0</v>
      </c>
      <c r="AF54" s="34">
        <v>0</v>
      </c>
      <c r="AG54" s="34">
        <v>0</v>
      </c>
      <c r="AH54" s="34">
        <v>0</v>
      </c>
      <c r="AI54" s="34">
        <v>0</v>
      </c>
      <c r="AJ54" s="34">
        <v>0</v>
      </c>
      <c r="AK54" s="34">
        <v>0</v>
      </c>
      <c r="AL54" s="34">
        <v>0</v>
      </c>
      <c r="AM54" s="34">
        <v>0</v>
      </c>
      <c r="AN54" s="34">
        <v>0</v>
      </c>
      <c r="AO54" s="34">
        <v>0</v>
      </c>
      <c r="AP54" s="34">
        <v>0</v>
      </c>
      <c r="AQ54" s="34">
        <v>1</v>
      </c>
      <c r="AR54" s="34">
        <v>0</v>
      </c>
      <c r="AS54" s="34">
        <v>0</v>
      </c>
      <c r="AT54" s="34">
        <v>0</v>
      </c>
      <c r="AU54" s="34">
        <v>0</v>
      </c>
      <c r="AV54" s="34">
        <v>3</v>
      </c>
      <c r="AW54" s="34">
        <v>0</v>
      </c>
      <c r="AX54" s="34">
        <v>0</v>
      </c>
      <c r="AY54" s="34">
        <v>0</v>
      </c>
      <c r="AZ54" s="34">
        <v>0</v>
      </c>
      <c r="BA54" s="34">
        <v>0</v>
      </c>
      <c r="BB54" s="34">
        <v>0</v>
      </c>
      <c r="BC54" s="34">
        <v>0</v>
      </c>
      <c r="BD54" s="34">
        <v>0</v>
      </c>
      <c r="BE54" s="21"/>
    </row>
    <row r="55" spans="1:57" x14ac:dyDescent="0.35">
      <c r="A55" s="33" t="s">
        <v>49</v>
      </c>
      <c r="B55" s="34">
        <v>4</v>
      </c>
      <c r="C55" s="35">
        <v>6.3551580051159018</v>
      </c>
      <c r="D55" s="34">
        <v>0</v>
      </c>
      <c r="E55" s="34">
        <v>0</v>
      </c>
      <c r="F55" s="34">
        <v>0</v>
      </c>
      <c r="G55" s="34">
        <v>0</v>
      </c>
      <c r="H55" s="34">
        <v>0</v>
      </c>
      <c r="I55" s="34">
        <v>1</v>
      </c>
      <c r="J55" s="34">
        <v>0</v>
      </c>
      <c r="K55" s="34">
        <v>0</v>
      </c>
      <c r="L55" s="34">
        <v>0</v>
      </c>
      <c r="M55" s="34">
        <v>0</v>
      </c>
      <c r="N55" s="34">
        <v>0</v>
      </c>
      <c r="O55" s="34">
        <v>0</v>
      </c>
      <c r="P55" s="34">
        <v>0</v>
      </c>
      <c r="Q55" s="34">
        <v>0</v>
      </c>
      <c r="R55" s="34">
        <v>0</v>
      </c>
      <c r="S55" s="34">
        <v>0</v>
      </c>
      <c r="T55" s="34">
        <v>1</v>
      </c>
      <c r="U55" s="34">
        <v>0</v>
      </c>
      <c r="V55" s="34">
        <v>1</v>
      </c>
      <c r="W55" s="34">
        <v>0</v>
      </c>
      <c r="X55" s="34">
        <v>0</v>
      </c>
      <c r="Y55" s="34">
        <v>0</v>
      </c>
      <c r="Z55" s="34">
        <v>0</v>
      </c>
      <c r="AA55" s="34">
        <v>0</v>
      </c>
      <c r="AB55" s="34">
        <v>0</v>
      </c>
      <c r="AC55" s="34">
        <v>0</v>
      </c>
      <c r="AD55" s="34">
        <v>0</v>
      </c>
      <c r="AE55" s="34">
        <v>0</v>
      </c>
      <c r="AF55" s="34">
        <v>0</v>
      </c>
      <c r="AG55" s="34">
        <v>0</v>
      </c>
      <c r="AH55" s="34">
        <v>0</v>
      </c>
      <c r="AI55" s="34">
        <v>0</v>
      </c>
      <c r="AJ55" s="34">
        <v>0</v>
      </c>
      <c r="AK55" s="34">
        <v>0</v>
      </c>
      <c r="AL55" s="34">
        <v>0</v>
      </c>
      <c r="AM55" s="34">
        <v>0</v>
      </c>
      <c r="AN55" s="34">
        <v>0</v>
      </c>
      <c r="AO55" s="34">
        <v>0</v>
      </c>
      <c r="AP55" s="34">
        <v>1</v>
      </c>
      <c r="AQ55" s="34">
        <v>0</v>
      </c>
      <c r="AR55" s="34">
        <v>0</v>
      </c>
      <c r="AS55" s="34">
        <v>0</v>
      </c>
      <c r="AT55" s="34">
        <v>0</v>
      </c>
      <c r="AU55" s="34">
        <v>0</v>
      </c>
      <c r="AV55" s="34">
        <v>0</v>
      </c>
      <c r="AW55" s="34">
        <v>0</v>
      </c>
      <c r="AX55" s="34">
        <v>0</v>
      </c>
      <c r="AY55" s="34">
        <v>0</v>
      </c>
      <c r="AZ55" s="34">
        <v>0</v>
      </c>
      <c r="BA55" s="34">
        <v>0</v>
      </c>
      <c r="BB55" s="34">
        <v>0</v>
      </c>
      <c r="BC55" s="34">
        <v>0</v>
      </c>
      <c r="BD55" s="34">
        <v>0</v>
      </c>
      <c r="BE55" s="21"/>
    </row>
    <row r="56" spans="1:57" x14ac:dyDescent="0.35">
      <c r="A56" s="33" t="s">
        <v>50</v>
      </c>
      <c r="B56" s="34">
        <v>11</v>
      </c>
      <c r="C56" s="35">
        <v>9.7770825185764565</v>
      </c>
      <c r="D56" s="34">
        <v>0</v>
      </c>
      <c r="E56" s="34">
        <v>0</v>
      </c>
      <c r="F56" s="34">
        <v>0</v>
      </c>
      <c r="G56" s="34">
        <v>1</v>
      </c>
      <c r="H56" s="34">
        <v>1</v>
      </c>
      <c r="I56" s="34">
        <v>0</v>
      </c>
      <c r="J56" s="34">
        <v>0</v>
      </c>
      <c r="K56" s="34">
        <v>0</v>
      </c>
      <c r="L56" s="34">
        <v>0</v>
      </c>
      <c r="M56" s="34">
        <v>0</v>
      </c>
      <c r="N56" s="34">
        <v>1</v>
      </c>
      <c r="O56" s="34">
        <v>0</v>
      </c>
      <c r="P56" s="34">
        <v>0</v>
      </c>
      <c r="Q56" s="34">
        <v>0</v>
      </c>
      <c r="R56" s="34">
        <v>0</v>
      </c>
      <c r="S56" s="34">
        <v>0</v>
      </c>
      <c r="T56" s="34">
        <v>0</v>
      </c>
      <c r="U56" s="34">
        <v>1</v>
      </c>
      <c r="V56" s="34">
        <v>0</v>
      </c>
      <c r="W56" s="34">
        <v>0</v>
      </c>
      <c r="X56" s="34">
        <v>0</v>
      </c>
      <c r="Y56" s="34">
        <v>0</v>
      </c>
      <c r="Z56" s="34">
        <v>0</v>
      </c>
      <c r="AA56" s="34">
        <v>1</v>
      </c>
      <c r="AB56" s="34">
        <v>0</v>
      </c>
      <c r="AC56" s="34">
        <v>1</v>
      </c>
      <c r="AD56" s="34">
        <v>0</v>
      </c>
      <c r="AE56" s="34">
        <v>0</v>
      </c>
      <c r="AF56" s="34">
        <v>0</v>
      </c>
      <c r="AG56" s="34">
        <v>0</v>
      </c>
      <c r="AH56" s="34">
        <v>0</v>
      </c>
      <c r="AI56" s="34">
        <v>0</v>
      </c>
      <c r="AJ56" s="34">
        <v>1</v>
      </c>
      <c r="AK56" s="34">
        <v>0</v>
      </c>
      <c r="AL56" s="34">
        <v>0</v>
      </c>
      <c r="AM56" s="34">
        <v>0</v>
      </c>
      <c r="AN56" s="34">
        <v>0</v>
      </c>
      <c r="AO56" s="34">
        <v>1</v>
      </c>
      <c r="AP56" s="34">
        <v>0</v>
      </c>
      <c r="AQ56" s="34">
        <v>2</v>
      </c>
      <c r="AR56" s="34">
        <v>1</v>
      </c>
      <c r="AS56" s="34">
        <v>0</v>
      </c>
      <c r="AT56" s="34">
        <v>0</v>
      </c>
      <c r="AU56" s="34">
        <v>0</v>
      </c>
      <c r="AV56" s="34">
        <v>0</v>
      </c>
      <c r="AW56" s="34">
        <v>0</v>
      </c>
      <c r="AX56" s="34">
        <v>0</v>
      </c>
      <c r="AY56" s="34">
        <v>0</v>
      </c>
      <c r="AZ56" s="34">
        <v>0</v>
      </c>
      <c r="BA56" s="34">
        <v>0</v>
      </c>
      <c r="BB56" s="34">
        <v>0</v>
      </c>
      <c r="BC56" s="34">
        <v>0</v>
      </c>
      <c r="BD56" s="34">
        <v>0</v>
      </c>
      <c r="BE56" s="21"/>
    </row>
    <row r="57" spans="1:57" x14ac:dyDescent="0.35">
      <c r="A57" s="33" t="s">
        <v>51</v>
      </c>
      <c r="B57" s="34">
        <v>80</v>
      </c>
      <c r="C57" s="35">
        <v>490.16604374731941</v>
      </c>
      <c r="D57" s="34">
        <v>1</v>
      </c>
      <c r="E57" s="34">
        <v>3</v>
      </c>
      <c r="F57" s="34">
        <v>3</v>
      </c>
      <c r="G57" s="34">
        <v>3</v>
      </c>
      <c r="H57" s="34">
        <v>0</v>
      </c>
      <c r="I57" s="34">
        <v>0</v>
      </c>
      <c r="J57" s="34">
        <v>0</v>
      </c>
      <c r="K57" s="34">
        <v>0</v>
      </c>
      <c r="L57" s="34">
        <v>0</v>
      </c>
      <c r="M57" s="34">
        <v>2</v>
      </c>
      <c r="N57" s="34">
        <v>0</v>
      </c>
      <c r="O57" s="34">
        <v>1</v>
      </c>
      <c r="P57" s="34">
        <v>0</v>
      </c>
      <c r="Q57" s="34">
        <v>1</v>
      </c>
      <c r="R57" s="34">
        <v>2</v>
      </c>
      <c r="S57" s="34">
        <v>4</v>
      </c>
      <c r="T57" s="34">
        <v>0</v>
      </c>
      <c r="U57" s="34">
        <v>2</v>
      </c>
      <c r="V57" s="34">
        <v>0</v>
      </c>
      <c r="W57" s="34">
        <v>5</v>
      </c>
      <c r="X57" s="34">
        <v>1</v>
      </c>
      <c r="Y57" s="34">
        <v>5</v>
      </c>
      <c r="Z57" s="34">
        <v>2</v>
      </c>
      <c r="AA57" s="34">
        <v>1</v>
      </c>
      <c r="AB57" s="34">
        <v>2</v>
      </c>
      <c r="AC57" s="34">
        <v>5</v>
      </c>
      <c r="AD57" s="34">
        <v>3</v>
      </c>
      <c r="AE57" s="34">
        <v>2</v>
      </c>
      <c r="AF57" s="34">
        <v>3</v>
      </c>
      <c r="AG57" s="34">
        <v>4</v>
      </c>
      <c r="AH57" s="34">
        <v>0</v>
      </c>
      <c r="AI57" s="34">
        <v>1</v>
      </c>
      <c r="AJ57" s="34">
        <v>4</v>
      </c>
      <c r="AK57" s="34">
        <v>3</v>
      </c>
      <c r="AL57" s="34">
        <v>3</v>
      </c>
      <c r="AM57" s="34">
        <v>4</v>
      </c>
      <c r="AN57" s="34">
        <v>1</v>
      </c>
      <c r="AO57" s="34">
        <v>1</v>
      </c>
      <c r="AP57" s="34">
        <v>2</v>
      </c>
      <c r="AQ57" s="34">
        <v>0</v>
      </c>
      <c r="AR57" s="34">
        <v>1</v>
      </c>
      <c r="AS57" s="34">
        <v>0</v>
      </c>
      <c r="AT57" s="34">
        <v>0</v>
      </c>
      <c r="AU57" s="34">
        <v>0</v>
      </c>
      <c r="AV57" s="34">
        <v>0</v>
      </c>
      <c r="AW57" s="34">
        <v>0</v>
      </c>
      <c r="AX57" s="34">
        <v>1</v>
      </c>
      <c r="AY57" s="34">
        <v>1</v>
      </c>
      <c r="AZ57" s="34">
        <v>2</v>
      </c>
      <c r="BA57" s="34">
        <v>1</v>
      </c>
      <c r="BB57" s="34">
        <v>0</v>
      </c>
      <c r="BC57" s="34">
        <v>0</v>
      </c>
      <c r="BD57" s="34">
        <v>0</v>
      </c>
      <c r="BE57" s="21"/>
    </row>
    <row r="58" spans="1:57" x14ac:dyDescent="0.35">
      <c r="A58" s="33" t="s">
        <v>52</v>
      </c>
      <c r="B58" s="34">
        <v>117</v>
      </c>
      <c r="C58" s="35">
        <v>158.84006027776647</v>
      </c>
      <c r="D58" s="34">
        <v>3</v>
      </c>
      <c r="E58" s="34">
        <v>4</v>
      </c>
      <c r="F58" s="34">
        <v>1</v>
      </c>
      <c r="G58" s="34">
        <v>1</v>
      </c>
      <c r="H58" s="34">
        <v>2</v>
      </c>
      <c r="I58" s="34">
        <v>1</v>
      </c>
      <c r="J58" s="34">
        <v>1</v>
      </c>
      <c r="K58" s="34">
        <v>0</v>
      </c>
      <c r="L58" s="34">
        <v>2</v>
      </c>
      <c r="M58" s="34">
        <v>1</v>
      </c>
      <c r="N58" s="34">
        <v>0</v>
      </c>
      <c r="O58" s="34">
        <v>0</v>
      </c>
      <c r="P58" s="34">
        <v>1</v>
      </c>
      <c r="Q58" s="34">
        <v>0</v>
      </c>
      <c r="R58" s="34">
        <v>3</v>
      </c>
      <c r="S58" s="34">
        <v>2</v>
      </c>
      <c r="T58" s="34">
        <v>0</v>
      </c>
      <c r="U58" s="34">
        <v>1</v>
      </c>
      <c r="V58" s="34">
        <v>4</v>
      </c>
      <c r="W58" s="34">
        <v>1</v>
      </c>
      <c r="X58" s="34">
        <v>1</v>
      </c>
      <c r="Y58" s="34">
        <v>3</v>
      </c>
      <c r="Z58" s="34">
        <v>6</v>
      </c>
      <c r="AA58" s="34">
        <v>2</v>
      </c>
      <c r="AB58" s="34">
        <v>5</v>
      </c>
      <c r="AC58" s="34">
        <v>5</v>
      </c>
      <c r="AD58" s="34">
        <v>7</v>
      </c>
      <c r="AE58" s="34">
        <v>4</v>
      </c>
      <c r="AF58" s="34">
        <v>5</v>
      </c>
      <c r="AG58" s="34">
        <v>3</v>
      </c>
      <c r="AH58" s="34">
        <v>2</v>
      </c>
      <c r="AI58" s="34">
        <v>6</v>
      </c>
      <c r="AJ58" s="34">
        <v>5</v>
      </c>
      <c r="AK58" s="34">
        <v>9</v>
      </c>
      <c r="AL58" s="34">
        <v>6</v>
      </c>
      <c r="AM58" s="34">
        <v>2</v>
      </c>
      <c r="AN58" s="34">
        <v>3</v>
      </c>
      <c r="AO58" s="34">
        <v>3</v>
      </c>
      <c r="AP58" s="34">
        <v>0</v>
      </c>
      <c r="AQ58" s="34">
        <v>1</v>
      </c>
      <c r="AR58" s="34">
        <v>1</v>
      </c>
      <c r="AS58" s="34">
        <v>1</v>
      </c>
      <c r="AT58" s="34">
        <v>1</v>
      </c>
      <c r="AU58" s="34">
        <v>2</v>
      </c>
      <c r="AV58" s="34">
        <v>0</v>
      </c>
      <c r="AW58" s="34">
        <v>3</v>
      </c>
      <c r="AX58" s="34">
        <v>1</v>
      </c>
      <c r="AY58" s="34">
        <v>1</v>
      </c>
      <c r="AZ58" s="34">
        <v>1</v>
      </c>
      <c r="BA58" s="34">
        <v>0</v>
      </c>
      <c r="BB58" s="34">
        <v>0</v>
      </c>
      <c r="BC58" s="34">
        <v>0</v>
      </c>
      <c r="BD58" s="34">
        <v>0</v>
      </c>
      <c r="BE58" s="21"/>
    </row>
    <row r="59" spans="1:57" x14ac:dyDescent="0.35">
      <c r="A59" s="33" t="s">
        <v>53</v>
      </c>
      <c r="B59" s="34">
        <v>1</v>
      </c>
      <c r="C59" s="35">
        <v>6.4796215900991392</v>
      </c>
      <c r="D59" s="34">
        <v>0</v>
      </c>
      <c r="E59" s="34">
        <v>0</v>
      </c>
      <c r="F59" s="34">
        <v>0</v>
      </c>
      <c r="G59" s="34">
        <v>0</v>
      </c>
      <c r="H59" s="34">
        <v>0</v>
      </c>
      <c r="I59" s="34">
        <v>0</v>
      </c>
      <c r="J59" s="34">
        <v>0</v>
      </c>
      <c r="K59" s="34">
        <v>0</v>
      </c>
      <c r="L59" s="34">
        <v>1</v>
      </c>
      <c r="M59" s="34">
        <v>0</v>
      </c>
      <c r="N59" s="34">
        <v>0</v>
      </c>
      <c r="O59" s="34">
        <v>0</v>
      </c>
      <c r="P59" s="34">
        <v>0</v>
      </c>
      <c r="Q59" s="34">
        <v>0</v>
      </c>
      <c r="R59" s="34">
        <v>0</v>
      </c>
      <c r="S59" s="34">
        <v>0</v>
      </c>
      <c r="T59" s="34">
        <v>0</v>
      </c>
      <c r="U59" s="34">
        <v>0</v>
      </c>
      <c r="V59" s="34">
        <v>0</v>
      </c>
      <c r="W59" s="34">
        <v>0</v>
      </c>
      <c r="X59" s="34">
        <v>0</v>
      </c>
      <c r="Y59" s="34">
        <v>0</v>
      </c>
      <c r="Z59" s="34">
        <v>0</v>
      </c>
      <c r="AA59" s="34">
        <v>0</v>
      </c>
      <c r="AB59" s="34">
        <v>0</v>
      </c>
      <c r="AC59" s="34">
        <v>0</v>
      </c>
      <c r="AD59" s="34">
        <v>0</v>
      </c>
      <c r="AE59" s="34">
        <v>0</v>
      </c>
      <c r="AF59" s="34">
        <v>0</v>
      </c>
      <c r="AG59" s="34">
        <v>0</v>
      </c>
      <c r="AH59" s="34">
        <v>0</v>
      </c>
      <c r="AI59" s="34">
        <v>0</v>
      </c>
      <c r="AJ59" s="34">
        <v>0</v>
      </c>
      <c r="AK59" s="34">
        <v>0</v>
      </c>
      <c r="AL59" s="34">
        <v>0</v>
      </c>
      <c r="AM59" s="34">
        <v>0</v>
      </c>
      <c r="AN59" s="34">
        <v>0</v>
      </c>
      <c r="AO59" s="34">
        <v>0</v>
      </c>
      <c r="AP59" s="34">
        <v>0</v>
      </c>
      <c r="AQ59" s="34">
        <v>0</v>
      </c>
      <c r="AR59" s="34">
        <v>0</v>
      </c>
      <c r="AS59" s="34">
        <v>0</v>
      </c>
      <c r="AT59" s="34">
        <v>0</v>
      </c>
      <c r="AU59" s="34">
        <v>0</v>
      </c>
      <c r="AV59" s="34">
        <v>0</v>
      </c>
      <c r="AW59" s="34">
        <v>0</v>
      </c>
      <c r="AX59" s="34">
        <v>0</v>
      </c>
      <c r="AY59" s="34">
        <v>0</v>
      </c>
      <c r="AZ59" s="34">
        <v>0</v>
      </c>
      <c r="BA59" s="34">
        <v>0</v>
      </c>
      <c r="BB59" s="34">
        <v>0</v>
      </c>
      <c r="BC59" s="34">
        <v>0</v>
      </c>
      <c r="BD59" s="34">
        <v>0</v>
      </c>
      <c r="BE59" s="21"/>
    </row>
    <row r="60" spans="1:57" x14ac:dyDescent="0.35">
      <c r="A60" s="33" t="s">
        <v>54</v>
      </c>
      <c r="B60" s="34">
        <v>0</v>
      </c>
      <c r="C60" s="35">
        <v>0</v>
      </c>
      <c r="D60" s="34">
        <v>0</v>
      </c>
      <c r="E60" s="34">
        <v>0</v>
      </c>
      <c r="F60" s="34">
        <v>0</v>
      </c>
      <c r="G60" s="34">
        <v>0</v>
      </c>
      <c r="H60" s="34">
        <v>0</v>
      </c>
      <c r="I60" s="34">
        <v>0</v>
      </c>
      <c r="J60" s="34">
        <v>0</v>
      </c>
      <c r="K60" s="34">
        <v>0</v>
      </c>
      <c r="L60" s="34">
        <v>0</v>
      </c>
      <c r="M60" s="34">
        <v>0</v>
      </c>
      <c r="N60" s="34">
        <v>0</v>
      </c>
      <c r="O60" s="34">
        <v>0</v>
      </c>
      <c r="P60" s="34">
        <v>0</v>
      </c>
      <c r="Q60" s="34">
        <v>0</v>
      </c>
      <c r="R60" s="34">
        <v>0</v>
      </c>
      <c r="S60" s="34">
        <v>0</v>
      </c>
      <c r="T60" s="34">
        <v>0</v>
      </c>
      <c r="U60" s="34">
        <v>0</v>
      </c>
      <c r="V60" s="34">
        <v>0</v>
      </c>
      <c r="W60" s="34">
        <v>0</v>
      </c>
      <c r="X60" s="34">
        <v>0</v>
      </c>
      <c r="Y60" s="34">
        <v>0</v>
      </c>
      <c r="Z60" s="34">
        <v>0</v>
      </c>
      <c r="AA60" s="34">
        <v>0</v>
      </c>
      <c r="AB60" s="34">
        <v>0</v>
      </c>
      <c r="AC60" s="34">
        <v>0</v>
      </c>
      <c r="AD60" s="34">
        <v>0</v>
      </c>
      <c r="AE60" s="34">
        <v>0</v>
      </c>
      <c r="AF60" s="34">
        <v>0</v>
      </c>
      <c r="AG60" s="34">
        <v>0</v>
      </c>
      <c r="AH60" s="34">
        <v>0</v>
      </c>
      <c r="AI60" s="34">
        <v>0</v>
      </c>
      <c r="AJ60" s="34">
        <v>0</v>
      </c>
      <c r="AK60" s="34">
        <v>0</v>
      </c>
      <c r="AL60" s="34">
        <v>0</v>
      </c>
      <c r="AM60" s="34">
        <v>0</v>
      </c>
      <c r="AN60" s="34">
        <v>0</v>
      </c>
      <c r="AO60" s="34">
        <v>0</v>
      </c>
      <c r="AP60" s="34">
        <v>0</v>
      </c>
      <c r="AQ60" s="34">
        <v>0</v>
      </c>
      <c r="AR60" s="34">
        <v>0</v>
      </c>
      <c r="AS60" s="34">
        <v>0</v>
      </c>
      <c r="AT60" s="34">
        <v>0</v>
      </c>
      <c r="AU60" s="34">
        <v>0</v>
      </c>
      <c r="AV60" s="34">
        <v>0</v>
      </c>
      <c r="AW60" s="34">
        <v>0</v>
      </c>
      <c r="AX60" s="34">
        <v>0</v>
      </c>
      <c r="AY60" s="34">
        <v>0</v>
      </c>
      <c r="AZ60" s="34">
        <v>0</v>
      </c>
      <c r="BA60" s="34">
        <v>0</v>
      </c>
      <c r="BB60" s="34">
        <v>0</v>
      </c>
      <c r="BC60" s="34">
        <v>0</v>
      </c>
      <c r="BD60" s="34">
        <v>0</v>
      </c>
      <c r="BE60" s="21"/>
    </row>
    <row r="61" spans="1:57" x14ac:dyDescent="0.35">
      <c r="A61" s="33" t="s">
        <v>55</v>
      </c>
      <c r="B61" s="34">
        <v>2</v>
      </c>
      <c r="C61" s="35">
        <v>4.319281271596406</v>
      </c>
      <c r="D61" s="34">
        <v>0</v>
      </c>
      <c r="E61" s="34">
        <v>0</v>
      </c>
      <c r="F61" s="34">
        <v>0</v>
      </c>
      <c r="G61" s="34">
        <v>0</v>
      </c>
      <c r="H61" s="34">
        <v>0</v>
      </c>
      <c r="I61" s="34">
        <v>0</v>
      </c>
      <c r="J61" s="34">
        <v>0</v>
      </c>
      <c r="K61" s="34">
        <v>0</v>
      </c>
      <c r="L61" s="34">
        <v>1</v>
      </c>
      <c r="M61" s="34">
        <v>0</v>
      </c>
      <c r="N61" s="34">
        <v>0</v>
      </c>
      <c r="O61" s="34">
        <v>0</v>
      </c>
      <c r="P61" s="34">
        <v>0</v>
      </c>
      <c r="Q61" s="34">
        <v>0</v>
      </c>
      <c r="R61" s="34">
        <v>0</v>
      </c>
      <c r="S61" s="34">
        <v>0</v>
      </c>
      <c r="T61" s="34">
        <v>0</v>
      </c>
      <c r="U61" s="34">
        <v>0</v>
      </c>
      <c r="V61" s="34">
        <v>0</v>
      </c>
      <c r="W61" s="34">
        <v>0</v>
      </c>
      <c r="X61" s="34">
        <v>0</v>
      </c>
      <c r="Y61" s="34">
        <v>1</v>
      </c>
      <c r="Z61" s="34">
        <v>0</v>
      </c>
      <c r="AA61" s="34">
        <v>0</v>
      </c>
      <c r="AB61" s="34">
        <v>0</v>
      </c>
      <c r="AC61" s="34">
        <v>0</v>
      </c>
      <c r="AD61" s="34">
        <v>0</v>
      </c>
      <c r="AE61" s="34">
        <v>0</v>
      </c>
      <c r="AF61" s="34">
        <v>0</v>
      </c>
      <c r="AG61" s="34">
        <v>0</v>
      </c>
      <c r="AH61" s="34">
        <v>0</v>
      </c>
      <c r="AI61" s="34">
        <v>0</v>
      </c>
      <c r="AJ61" s="34">
        <v>0</v>
      </c>
      <c r="AK61" s="34">
        <v>0</v>
      </c>
      <c r="AL61" s="34">
        <v>0</v>
      </c>
      <c r="AM61" s="34">
        <v>0</v>
      </c>
      <c r="AN61" s="34">
        <v>0</v>
      </c>
      <c r="AO61" s="34">
        <v>0</v>
      </c>
      <c r="AP61" s="34">
        <v>0</v>
      </c>
      <c r="AQ61" s="34">
        <v>0</v>
      </c>
      <c r="AR61" s="34">
        <v>0</v>
      </c>
      <c r="AS61" s="34">
        <v>0</v>
      </c>
      <c r="AT61" s="34">
        <v>0</v>
      </c>
      <c r="AU61" s="34">
        <v>0</v>
      </c>
      <c r="AV61" s="34">
        <v>0</v>
      </c>
      <c r="AW61" s="34">
        <v>0</v>
      </c>
      <c r="AX61" s="34">
        <v>0</v>
      </c>
      <c r="AY61" s="34">
        <v>0</v>
      </c>
      <c r="AZ61" s="34">
        <v>0</v>
      </c>
      <c r="BA61" s="34">
        <v>0</v>
      </c>
      <c r="BB61" s="34">
        <v>0</v>
      </c>
      <c r="BC61" s="34">
        <v>0</v>
      </c>
      <c r="BD61" s="34">
        <v>0</v>
      </c>
      <c r="BE61" s="21"/>
    </row>
    <row r="62" spans="1:57" x14ac:dyDescent="0.35">
      <c r="A62" s="33"/>
      <c r="B62" s="31"/>
      <c r="C62" s="32"/>
      <c r="D62" s="21"/>
      <c r="E62" s="21"/>
      <c r="F62" s="21"/>
      <c r="G62" s="21"/>
      <c r="H62" s="21"/>
      <c r="I62" s="21"/>
      <c r="J62" s="21"/>
      <c r="K62" s="21"/>
      <c r="L62" s="21"/>
      <c r="M62" s="21"/>
      <c r="N62" s="21"/>
      <c r="O62" s="21"/>
      <c r="P62" s="21"/>
      <c r="Q62" s="21"/>
      <c r="R62" s="21"/>
      <c r="S62" s="21"/>
      <c r="T62" s="21"/>
      <c r="U62" s="21"/>
      <c r="V62" s="21"/>
      <c r="W62" s="21"/>
      <c r="X62" s="21"/>
      <c r="Y62" s="21"/>
      <c r="Z62" s="21"/>
      <c r="AA62" s="21"/>
      <c r="AB62" s="21"/>
      <c r="AC62" s="21"/>
      <c r="AD62" s="21"/>
      <c r="AE62" s="21"/>
      <c r="AF62" s="21"/>
      <c r="AG62" s="21"/>
      <c r="AH62" s="21"/>
      <c r="AI62" s="21"/>
      <c r="AJ62" s="21"/>
      <c r="AK62" s="21"/>
      <c r="AL62" s="21"/>
      <c r="AM62" s="21"/>
      <c r="AN62" s="21"/>
      <c r="AO62" s="21"/>
      <c r="AP62" s="21"/>
      <c r="AQ62" s="21"/>
      <c r="AR62" s="21"/>
      <c r="AS62" s="21"/>
      <c r="AT62" s="21"/>
      <c r="AU62" s="21"/>
      <c r="AV62" s="21"/>
      <c r="AW62" s="21"/>
      <c r="AX62" s="21"/>
      <c r="AY62" s="21"/>
      <c r="AZ62" s="21"/>
      <c r="BA62" s="21"/>
      <c r="BB62" s="21"/>
      <c r="BC62" s="21"/>
      <c r="BD62" s="21"/>
      <c r="BE62" s="21"/>
    </row>
    <row r="63" spans="1:57" x14ac:dyDescent="0.35">
      <c r="A63" s="20" t="s">
        <v>56</v>
      </c>
      <c r="B63" s="29">
        <v>308</v>
      </c>
      <c r="C63" s="30">
        <v>58.544893288626326</v>
      </c>
      <c r="D63" s="29">
        <v>16</v>
      </c>
      <c r="E63" s="29">
        <v>12</v>
      </c>
      <c r="F63" s="29">
        <v>13</v>
      </c>
      <c r="G63" s="29">
        <v>18</v>
      </c>
      <c r="H63" s="29">
        <v>14</v>
      </c>
      <c r="I63" s="29">
        <v>19</v>
      </c>
      <c r="J63" s="29">
        <v>14</v>
      </c>
      <c r="K63" s="29">
        <v>18</v>
      </c>
      <c r="L63" s="29">
        <v>5</v>
      </c>
      <c r="M63" s="29">
        <v>13</v>
      </c>
      <c r="N63" s="29">
        <v>9</v>
      </c>
      <c r="O63" s="29">
        <v>4</v>
      </c>
      <c r="P63" s="29">
        <v>7</v>
      </c>
      <c r="Q63" s="29">
        <v>3</v>
      </c>
      <c r="R63" s="29">
        <v>6</v>
      </c>
      <c r="S63" s="29">
        <v>9</v>
      </c>
      <c r="T63" s="29">
        <v>5</v>
      </c>
      <c r="U63" s="29">
        <v>5</v>
      </c>
      <c r="V63" s="29">
        <v>4</v>
      </c>
      <c r="W63" s="29">
        <v>9</v>
      </c>
      <c r="X63" s="29">
        <v>12</v>
      </c>
      <c r="Y63" s="29">
        <v>17</v>
      </c>
      <c r="Z63" s="29">
        <v>26</v>
      </c>
      <c r="AA63" s="29">
        <v>15</v>
      </c>
      <c r="AB63" s="29">
        <v>10</v>
      </c>
      <c r="AC63" s="29">
        <v>11</v>
      </c>
      <c r="AD63" s="29">
        <v>0</v>
      </c>
      <c r="AE63" s="29">
        <v>0</v>
      </c>
      <c r="AF63" s="29">
        <v>2</v>
      </c>
      <c r="AG63" s="29">
        <v>1</v>
      </c>
      <c r="AH63" s="29">
        <v>0</v>
      </c>
      <c r="AI63" s="29">
        <v>1</v>
      </c>
      <c r="AJ63" s="29">
        <v>1</v>
      </c>
      <c r="AK63" s="29">
        <v>0</v>
      </c>
      <c r="AL63" s="29">
        <v>2</v>
      </c>
      <c r="AM63" s="29">
        <v>0</v>
      </c>
      <c r="AN63" s="29">
        <v>0</v>
      </c>
      <c r="AO63" s="29">
        <v>0</v>
      </c>
      <c r="AP63" s="29">
        <v>1</v>
      </c>
      <c r="AQ63" s="29">
        <v>1</v>
      </c>
      <c r="AR63" s="29">
        <v>2</v>
      </c>
      <c r="AS63" s="29">
        <v>0</v>
      </c>
      <c r="AT63" s="29">
        <v>0</v>
      </c>
      <c r="AU63" s="29">
        <v>0</v>
      </c>
      <c r="AV63" s="29">
        <v>0</v>
      </c>
      <c r="AW63" s="29">
        <v>1</v>
      </c>
      <c r="AX63" s="29">
        <v>0</v>
      </c>
      <c r="AY63" s="29">
        <v>0</v>
      </c>
      <c r="AZ63" s="29">
        <v>1</v>
      </c>
      <c r="BA63" s="29">
        <v>0</v>
      </c>
      <c r="BB63" s="29">
        <v>0</v>
      </c>
      <c r="BC63" s="29">
        <v>1</v>
      </c>
      <c r="BD63" s="29">
        <v>0</v>
      </c>
      <c r="BE63" s="21"/>
    </row>
    <row r="64" spans="1:57" x14ac:dyDescent="0.35">
      <c r="A64" s="33" t="s">
        <v>57</v>
      </c>
      <c r="B64" s="34">
        <v>24</v>
      </c>
      <c r="C64" s="35">
        <v>16.758840288252053</v>
      </c>
      <c r="D64" s="34">
        <v>2</v>
      </c>
      <c r="E64" s="34">
        <v>1</v>
      </c>
      <c r="F64" s="34">
        <v>2</v>
      </c>
      <c r="G64" s="34">
        <v>0</v>
      </c>
      <c r="H64" s="34">
        <v>0</v>
      </c>
      <c r="I64" s="34">
        <v>1</v>
      </c>
      <c r="J64" s="34">
        <v>0</v>
      </c>
      <c r="K64" s="34">
        <v>0</v>
      </c>
      <c r="L64" s="34">
        <v>1</v>
      </c>
      <c r="M64" s="34">
        <v>3</v>
      </c>
      <c r="N64" s="34">
        <v>0</v>
      </c>
      <c r="O64" s="34">
        <v>0</v>
      </c>
      <c r="P64" s="34">
        <v>0</v>
      </c>
      <c r="Q64" s="34">
        <v>0</v>
      </c>
      <c r="R64" s="34">
        <v>0</v>
      </c>
      <c r="S64" s="34">
        <v>1</v>
      </c>
      <c r="T64" s="34">
        <v>1</v>
      </c>
      <c r="U64" s="34">
        <v>0</v>
      </c>
      <c r="V64" s="34">
        <v>1</v>
      </c>
      <c r="W64" s="34">
        <v>0</v>
      </c>
      <c r="X64" s="34">
        <v>0</v>
      </c>
      <c r="Y64" s="34">
        <v>1</v>
      </c>
      <c r="Z64" s="34">
        <v>0</v>
      </c>
      <c r="AA64" s="34">
        <v>0</v>
      </c>
      <c r="AB64" s="34">
        <v>0</v>
      </c>
      <c r="AC64" s="34">
        <v>2</v>
      </c>
      <c r="AD64" s="34">
        <v>0</v>
      </c>
      <c r="AE64" s="34">
        <v>0</v>
      </c>
      <c r="AF64" s="34">
        <v>1</v>
      </c>
      <c r="AG64" s="34">
        <v>0</v>
      </c>
      <c r="AH64" s="34">
        <v>0</v>
      </c>
      <c r="AI64" s="34">
        <v>1</v>
      </c>
      <c r="AJ64" s="34">
        <v>1</v>
      </c>
      <c r="AK64" s="34">
        <v>0</v>
      </c>
      <c r="AL64" s="34">
        <v>2</v>
      </c>
      <c r="AM64" s="34">
        <v>0</v>
      </c>
      <c r="AN64" s="34">
        <v>0</v>
      </c>
      <c r="AO64" s="34">
        <v>0</v>
      </c>
      <c r="AP64" s="34">
        <v>1</v>
      </c>
      <c r="AQ64" s="34">
        <v>0</v>
      </c>
      <c r="AR64" s="34">
        <v>0</v>
      </c>
      <c r="AS64" s="34">
        <v>0</v>
      </c>
      <c r="AT64" s="34">
        <v>0</v>
      </c>
      <c r="AU64" s="34">
        <v>0</v>
      </c>
      <c r="AV64" s="34">
        <v>0</v>
      </c>
      <c r="AW64" s="34">
        <v>1</v>
      </c>
      <c r="AX64" s="34">
        <v>0</v>
      </c>
      <c r="AY64" s="34">
        <v>0</v>
      </c>
      <c r="AZ64" s="34">
        <v>1</v>
      </c>
      <c r="BA64" s="34">
        <v>0</v>
      </c>
      <c r="BB64" s="34">
        <v>0</v>
      </c>
      <c r="BC64" s="34">
        <v>0</v>
      </c>
      <c r="BD64" s="34">
        <v>0</v>
      </c>
      <c r="BE64" s="21"/>
    </row>
    <row r="65" spans="1:57" x14ac:dyDescent="0.35">
      <c r="A65" s="33" t="s">
        <v>58</v>
      </c>
      <c r="B65" s="34">
        <v>2</v>
      </c>
      <c r="C65" s="35">
        <v>4.2551380792306714</v>
      </c>
      <c r="D65" s="34">
        <v>0</v>
      </c>
      <c r="E65" s="34">
        <v>0</v>
      </c>
      <c r="F65" s="34">
        <v>0</v>
      </c>
      <c r="G65" s="34">
        <v>0</v>
      </c>
      <c r="H65" s="34">
        <v>0</v>
      </c>
      <c r="I65" s="34">
        <v>0</v>
      </c>
      <c r="J65" s="34">
        <v>0</v>
      </c>
      <c r="K65" s="34">
        <v>1</v>
      </c>
      <c r="L65" s="34">
        <v>0</v>
      </c>
      <c r="M65" s="34">
        <v>0</v>
      </c>
      <c r="N65" s="34">
        <v>0</v>
      </c>
      <c r="O65" s="34">
        <v>0</v>
      </c>
      <c r="P65" s="34">
        <v>0</v>
      </c>
      <c r="Q65" s="34">
        <v>0</v>
      </c>
      <c r="R65" s="34">
        <v>0</v>
      </c>
      <c r="S65" s="34">
        <v>1</v>
      </c>
      <c r="T65" s="34">
        <v>0</v>
      </c>
      <c r="U65" s="34">
        <v>0</v>
      </c>
      <c r="V65" s="34">
        <v>0</v>
      </c>
      <c r="W65" s="34">
        <v>0</v>
      </c>
      <c r="X65" s="34">
        <v>0</v>
      </c>
      <c r="Y65" s="34">
        <v>0</v>
      </c>
      <c r="Z65" s="34">
        <v>0</v>
      </c>
      <c r="AA65" s="34">
        <v>0</v>
      </c>
      <c r="AB65" s="34">
        <v>0</v>
      </c>
      <c r="AC65" s="34">
        <v>0</v>
      </c>
      <c r="AD65" s="34">
        <v>0</v>
      </c>
      <c r="AE65" s="34">
        <v>0</v>
      </c>
      <c r="AF65" s="34">
        <v>0</v>
      </c>
      <c r="AG65" s="34">
        <v>0</v>
      </c>
      <c r="AH65" s="34">
        <v>0</v>
      </c>
      <c r="AI65" s="34">
        <v>0</v>
      </c>
      <c r="AJ65" s="34">
        <v>0</v>
      </c>
      <c r="AK65" s="34">
        <v>0</v>
      </c>
      <c r="AL65" s="34">
        <v>0</v>
      </c>
      <c r="AM65" s="34">
        <v>0</v>
      </c>
      <c r="AN65" s="34">
        <v>0</v>
      </c>
      <c r="AO65" s="34">
        <v>0</v>
      </c>
      <c r="AP65" s="34">
        <v>0</v>
      </c>
      <c r="AQ65" s="34">
        <v>0</v>
      </c>
      <c r="AR65" s="34">
        <v>0</v>
      </c>
      <c r="AS65" s="34">
        <v>0</v>
      </c>
      <c r="AT65" s="34">
        <v>0</v>
      </c>
      <c r="AU65" s="34">
        <v>0</v>
      </c>
      <c r="AV65" s="34">
        <v>0</v>
      </c>
      <c r="AW65" s="34">
        <v>0</v>
      </c>
      <c r="AX65" s="34">
        <v>0</v>
      </c>
      <c r="AY65" s="34">
        <v>0</v>
      </c>
      <c r="AZ65" s="34">
        <v>0</v>
      </c>
      <c r="BA65" s="34">
        <v>0</v>
      </c>
      <c r="BB65" s="34">
        <v>0</v>
      </c>
      <c r="BC65" s="34">
        <v>0</v>
      </c>
      <c r="BD65" s="34">
        <v>0</v>
      </c>
      <c r="BE65" s="21"/>
    </row>
    <row r="66" spans="1:57" x14ac:dyDescent="0.35">
      <c r="A66" s="33" t="s">
        <v>59</v>
      </c>
      <c r="B66" s="34">
        <v>2</v>
      </c>
      <c r="C66" s="35">
        <v>4.077887654195127</v>
      </c>
      <c r="D66" s="34">
        <v>1</v>
      </c>
      <c r="E66" s="34">
        <v>0</v>
      </c>
      <c r="F66" s="34">
        <v>1</v>
      </c>
      <c r="G66" s="34">
        <v>0</v>
      </c>
      <c r="H66" s="34">
        <v>0</v>
      </c>
      <c r="I66" s="34">
        <v>0</v>
      </c>
      <c r="J66" s="34">
        <v>0</v>
      </c>
      <c r="K66" s="34">
        <v>0</v>
      </c>
      <c r="L66" s="34">
        <v>0</v>
      </c>
      <c r="M66" s="34">
        <v>0</v>
      </c>
      <c r="N66" s="34">
        <v>0</v>
      </c>
      <c r="O66" s="34">
        <v>0</v>
      </c>
      <c r="P66" s="34">
        <v>0</v>
      </c>
      <c r="Q66" s="34">
        <v>0</v>
      </c>
      <c r="R66" s="34">
        <v>0</v>
      </c>
      <c r="S66" s="34">
        <v>0</v>
      </c>
      <c r="T66" s="34">
        <v>0</v>
      </c>
      <c r="U66" s="34">
        <v>0</v>
      </c>
      <c r="V66" s="34">
        <v>0</v>
      </c>
      <c r="W66" s="34">
        <v>0</v>
      </c>
      <c r="X66" s="34">
        <v>0</v>
      </c>
      <c r="Y66" s="34">
        <v>0</v>
      </c>
      <c r="Z66" s="34">
        <v>0</v>
      </c>
      <c r="AA66" s="34">
        <v>0</v>
      </c>
      <c r="AB66" s="34">
        <v>0</v>
      </c>
      <c r="AC66" s="34">
        <v>0</v>
      </c>
      <c r="AD66" s="34">
        <v>0</v>
      </c>
      <c r="AE66" s="34">
        <v>0</v>
      </c>
      <c r="AF66" s="34">
        <v>0</v>
      </c>
      <c r="AG66" s="34">
        <v>0</v>
      </c>
      <c r="AH66" s="34">
        <v>0</v>
      </c>
      <c r="AI66" s="34">
        <v>0</v>
      </c>
      <c r="AJ66" s="34">
        <v>0</v>
      </c>
      <c r="AK66" s="34">
        <v>0</v>
      </c>
      <c r="AL66" s="34">
        <v>0</v>
      </c>
      <c r="AM66" s="34">
        <v>0</v>
      </c>
      <c r="AN66" s="34">
        <v>0</v>
      </c>
      <c r="AO66" s="34">
        <v>0</v>
      </c>
      <c r="AP66" s="34">
        <v>0</v>
      </c>
      <c r="AQ66" s="34">
        <v>0</v>
      </c>
      <c r="AR66" s="34">
        <v>0</v>
      </c>
      <c r="AS66" s="34">
        <v>0</v>
      </c>
      <c r="AT66" s="34">
        <v>0</v>
      </c>
      <c r="AU66" s="34">
        <v>0</v>
      </c>
      <c r="AV66" s="34">
        <v>0</v>
      </c>
      <c r="AW66" s="34">
        <v>0</v>
      </c>
      <c r="AX66" s="34">
        <v>0</v>
      </c>
      <c r="AY66" s="34">
        <v>0</v>
      </c>
      <c r="AZ66" s="34">
        <v>0</v>
      </c>
      <c r="BA66" s="34">
        <v>0</v>
      </c>
      <c r="BB66" s="34">
        <v>0</v>
      </c>
      <c r="BC66" s="34">
        <v>0</v>
      </c>
      <c r="BD66" s="34">
        <v>0</v>
      </c>
      <c r="BE66" s="21"/>
    </row>
    <row r="67" spans="1:57" x14ac:dyDescent="0.35">
      <c r="A67" s="33" t="s">
        <v>60</v>
      </c>
      <c r="B67" s="34">
        <v>5</v>
      </c>
      <c r="C67" s="35">
        <v>11.68825097012483</v>
      </c>
      <c r="D67" s="34">
        <v>0</v>
      </c>
      <c r="E67" s="34">
        <v>0</v>
      </c>
      <c r="F67" s="34">
        <v>3</v>
      </c>
      <c r="G67" s="34">
        <v>0</v>
      </c>
      <c r="H67" s="34">
        <v>0</v>
      </c>
      <c r="I67" s="34">
        <v>0</v>
      </c>
      <c r="J67" s="34">
        <v>2</v>
      </c>
      <c r="K67" s="34">
        <v>0</v>
      </c>
      <c r="L67" s="34">
        <v>0</v>
      </c>
      <c r="M67" s="34">
        <v>0</v>
      </c>
      <c r="N67" s="34">
        <v>0</v>
      </c>
      <c r="O67" s="34">
        <v>0</v>
      </c>
      <c r="P67" s="34">
        <v>0</v>
      </c>
      <c r="Q67" s="34">
        <v>0</v>
      </c>
      <c r="R67" s="34">
        <v>0</v>
      </c>
      <c r="S67" s="34">
        <v>0</v>
      </c>
      <c r="T67" s="34">
        <v>0</v>
      </c>
      <c r="U67" s="34">
        <v>0</v>
      </c>
      <c r="V67" s="34">
        <v>0</v>
      </c>
      <c r="W67" s="34">
        <v>0</v>
      </c>
      <c r="X67" s="34">
        <v>0</v>
      </c>
      <c r="Y67" s="34">
        <v>0</v>
      </c>
      <c r="Z67" s="34">
        <v>0</v>
      </c>
      <c r="AA67" s="34">
        <v>0</v>
      </c>
      <c r="AB67" s="34">
        <v>0</v>
      </c>
      <c r="AC67" s="34">
        <v>0</v>
      </c>
      <c r="AD67" s="34">
        <v>0</v>
      </c>
      <c r="AE67" s="34">
        <v>0</v>
      </c>
      <c r="AF67" s="34">
        <v>0</v>
      </c>
      <c r="AG67" s="34">
        <v>0</v>
      </c>
      <c r="AH67" s="34">
        <v>0</v>
      </c>
      <c r="AI67" s="34">
        <v>0</v>
      </c>
      <c r="AJ67" s="34">
        <v>0</v>
      </c>
      <c r="AK67" s="34">
        <v>0</v>
      </c>
      <c r="AL67" s="34">
        <v>0</v>
      </c>
      <c r="AM67" s="34">
        <v>0</v>
      </c>
      <c r="AN67" s="34">
        <v>0</v>
      </c>
      <c r="AO67" s="34">
        <v>0</v>
      </c>
      <c r="AP67" s="34">
        <v>0</v>
      </c>
      <c r="AQ67" s="34">
        <v>0</v>
      </c>
      <c r="AR67" s="34">
        <v>0</v>
      </c>
      <c r="AS67" s="34">
        <v>0</v>
      </c>
      <c r="AT67" s="34">
        <v>0</v>
      </c>
      <c r="AU67" s="34">
        <v>0</v>
      </c>
      <c r="AV67" s="34">
        <v>0</v>
      </c>
      <c r="AW67" s="34">
        <v>0</v>
      </c>
      <c r="AX67" s="34">
        <v>0</v>
      </c>
      <c r="AY67" s="34">
        <v>0</v>
      </c>
      <c r="AZ67" s="34">
        <v>0</v>
      </c>
      <c r="BA67" s="34">
        <v>0</v>
      </c>
      <c r="BB67" s="34">
        <v>0</v>
      </c>
      <c r="BC67" s="34">
        <v>0</v>
      </c>
      <c r="BD67" s="34">
        <v>0</v>
      </c>
      <c r="BE67" s="21"/>
    </row>
    <row r="68" spans="1:57" x14ac:dyDescent="0.35">
      <c r="A68" s="33" t="s">
        <v>61</v>
      </c>
      <c r="B68" s="34">
        <v>2</v>
      </c>
      <c r="C68" s="35">
        <v>3.6186650744540341</v>
      </c>
      <c r="D68" s="34">
        <v>0</v>
      </c>
      <c r="E68" s="34">
        <v>0</v>
      </c>
      <c r="F68" s="34">
        <v>0</v>
      </c>
      <c r="G68" s="34">
        <v>0</v>
      </c>
      <c r="H68" s="34">
        <v>0</v>
      </c>
      <c r="I68" s="34">
        <v>0</v>
      </c>
      <c r="J68" s="34">
        <v>0</v>
      </c>
      <c r="K68" s="34">
        <v>0</v>
      </c>
      <c r="L68" s="34">
        <v>0</v>
      </c>
      <c r="M68" s="34">
        <v>0</v>
      </c>
      <c r="N68" s="34">
        <v>0</v>
      </c>
      <c r="O68" s="34">
        <v>0</v>
      </c>
      <c r="P68" s="34">
        <v>0</v>
      </c>
      <c r="Q68" s="34">
        <v>1</v>
      </c>
      <c r="R68" s="34">
        <v>0</v>
      </c>
      <c r="S68" s="34">
        <v>0</v>
      </c>
      <c r="T68" s="34">
        <v>0</v>
      </c>
      <c r="U68" s="34">
        <v>0</v>
      </c>
      <c r="V68" s="34">
        <v>0</v>
      </c>
      <c r="W68" s="34">
        <v>0</v>
      </c>
      <c r="X68" s="34">
        <v>0</v>
      </c>
      <c r="Y68" s="34">
        <v>0</v>
      </c>
      <c r="Z68" s="34">
        <v>0</v>
      </c>
      <c r="AA68" s="34">
        <v>0</v>
      </c>
      <c r="AB68" s="34">
        <v>0</v>
      </c>
      <c r="AC68" s="34">
        <v>0</v>
      </c>
      <c r="AD68" s="34">
        <v>0</v>
      </c>
      <c r="AE68" s="34">
        <v>0</v>
      </c>
      <c r="AF68" s="34">
        <v>0</v>
      </c>
      <c r="AG68" s="34">
        <v>0</v>
      </c>
      <c r="AH68" s="34">
        <v>0</v>
      </c>
      <c r="AI68" s="34">
        <v>0</v>
      </c>
      <c r="AJ68" s="34">
        <v>0</v>
      </c>
      <c r="AK68" s="34">
        <v>0</v>
      </c>
      <c r="AL68" s="34">
        <v>0</v>
      </c>
      <c r="AM68" s="34">
        <v>0</v>
      </c>
      <c r="AN68" s="34">
        <v>0</v>
      </c>
      <c r="AO68" s="34">
        <v>0</v>
      </c>
      <c r="AP68" s="34">
        <v>0</v>
      </c>
      <c r="AQ68" s="34">
        <v>0</v>
      </c>
      <c r="AR68" s="34">
        <v>1</v>
      </c>
      <c r="AS68" s="34">
        <v>0</v>
      </c>
      <c r="AT68" s="34">
        <v>0</v>
      </c>
      <c r="AU68" s="34">
        <v>0</v>
      </c>
      <c r="AV68" s="34">
        <v>0</v>
      </c>
      <c r="AW68" s="34">
        <v>0</v>
      </c>
      <c r="AX68" s="34">
        <v>0</v>
      </c>
      <c r="AY68" s="34">
        <v>0</v>
      </c>
      <c r="AZ68" s="34">
        <v>0</v>
      </c>
      <c r="BA68" s="34">
        <v>0</v>
      </c>
      <c r="BB68" s="34">
        <v>0</v>
      </c>
      <c r="BC68" s="34">
        <v>0</v>
      </c>
      <c r="BD68" s="34">
        <v>0</v>
      </c>
      <c r="BE68" s="21"/>
    </row>
    <row r="69" spans="1:57" x14ac:dyDescent="0.35">
      <c r="A69" s="33" t="s">
        <v>62</v>
      </c>
      <c r="B69" s="34">
        <v>1</v>
      </c>
      <c r="C69" s="35">
        <v>4.3047783039173479</v>
      </c>
      <c r="D69" s="34">
        <v>0</v>
      </c>
      <c r="E69" s="34">
        <v>0</v>
      </c>
      <c r="F69" s="34">
        <v>0</v>
      </c>
      <c r="G69" s="34">
        <v>0</v>
      </c>
      <c r="H69" s="34">
        <v>0</v>
      </c>
      <c r="I69" s="34">
        <v>0</v>
      </c>
      <c r="J69" s="34">
        <v>0</v>
      </c>
      <c r="K69" s="34">
        <v>0</v>
      </c>
      <c r="L69" s="34">
        <v>0</v>
      </c>
      <c r="M69" s="34">
        <v>0</v>
      </c>
      <c r="N69" s="34">
        <v>0</v>
      </c>
      <c r="O69" s="34">
        <v>0</v>
      </c>
      <c r="P69" s="34">
        <v>0</v>
      </c>
      <c r="Q69" s="34">
        <v>0</v>
      </c>
      <c r="R69" s="34">
        <v>0</v>
      </c>
      <c r="S69" s="34">
        <v>0</v>
      </c>
      <c r="T69" s="34">
        <v>0</v>
      </c>
      <c r="U69" s="34">
        <v>0</v>
      </c>
      <c r="V69" s="34">
        <v>0</v>
      </c>
      <c r="W69" s="34">
        <v>0</v>
      </c>
      <c r="X69" s="34">
        <v>1</v>
      </c>
      <c r="Y69" s="34">
        <v>0</v>
      </c>
      <c r="Z69" s="34">
        <v>0</v>
      </c>
      <c r="AA69" s="34">
        <v>0</v>
      </c>
      <c r="AB69" s="34">
        <v>0</v>
      </c>
      <c r="AC69" s="34">
        <v>0</v>
      </c>
      <c r="AD69" s="34">
        <v>0</v>
      </c>
      <c r="AE69" s="34">
        <v>0</v>
      </c>
      <c r="AF69" s="34">
        <v>0</v>
      </c>
      <c r="AG69" s="34">
        <v>0</v>
      </c>
      <c r="AH69" s="34">
        <v>0</v>
      </c>
      <c r="AI69" s="34">
        <v>0</v>
      </c>
      <c r="AJ69" s="34">
        <v>0</v>
      </c>
      <c r="AK69" s="34">
        <v>0</v>
      </c>
      <c r="AL69" s="34">
        <v>0</v>
      </c>
      <c r="AM69" s="34">
        <v>0</v>
      </c>
      <c r="AN69" s="34">
        <v>0</v>
      </c>
      <c r="AO69" s="34">
        <v>0</v>
      </c>
      <c r="AP69" s="34">
        <v>0</v>
      </c>
      <c r="AQ69" s="34">
        <v>0</v>
      </c>
      <c r="AR69" s="34">
        <v>0</v>
      </c>
      <c r="AS69" s="34">
        <v>0</v>
      </c>
      <c r="AT69" s="34">
        <v>0</v>
      </c>
      <c r="AU69" s="34">
        <v>0</v>
      </c>
      <c r="AV69" s="34">
        <v>0</v>
      </c>
      <c r="AW69" s="34">
        <v>0</v>
      </c>
      <c r="AX69" s="34">
        <v>0</v>
      </c>
      <c r="AY69" s="34">
        <v>0</v>
      </c>
      <c r="AZ69" s="34">
        <v>0</v>
      </c>
      <c r="BA69" s="34">
        <v>0</v>
      </c>
      <c r="BB69" s="34">
        <v>0</v>
      </c>
      <c r="BC69" s="34">
        <v>0</v>
      </c>
      <c r="BD69" s="34">
        <v>0</v>
      </c>
      <c r="BE69" s="21"/>
    </row>
    <row r="70" spans="1:57" x14ac:dyDescent="0.35">
      <c r="A70" s="33" t="s">
        <v>63</v>
      </c>
      <c r="B70" s="34">
        <v>6</v>
      </c>
      <c r="C70" s="35">
        <v>22.676593975584865</v>
      </c>
      <c r="D70" s="34">
        <v>0</v>
      </c>
      <c r="E70" s="34">
        <v>0</v>
      </c>
      <c r="F70" s="34">
        <v>0</v>
      </c>
      <c r="G70" s="34">
        <v>0</v>
      </c>
      <c r="H70" s="34">
        <v>0</v>
      </c>
      <c r="I70" s="34">
        <v>1</v>
      </c>
      <c r="J70" s="34">
        <v>1</v>
      </c>
      <c r="K70" s="34">
        <v>0</v>
      </c>
      <c r="L70" s="34">
        <v>0</v>
      </c>
      <c r="M70" s="34">
        <v>0</v>
      </c>
      <c r="N70" s="34">
        <v>1</v>
      </c>
      <c r="O70" s="34">
        <v>0</v>
      </c>
      <c r="P70" s="34">
        <v>0</v>
      </c>
      <c r="Q70" s="34">
        <v>0</v>
      </c>
      <c r="R70" s="34">
        <v>0</v>
      </c>
      <c r="S70" s="34">
        <v>0</v>
      </c>
      <c r="T70" s="34">
        <v>0</v>
      </c>
      <c r="U70" s="34">
        <v>0</v>
      </c>
      <c r="V70" s="34">
        <v>0</v>
      </c>
      <c r="W70" s="34">
        <v>0</v>
      </c>
      <c r="X70" s="34">
        <v>0</v>
      </c>
      <c r="Y70" s="34">
        <v>0</v>
      </c>
      <c r="Z70" s="34">
        <v>0</v>
      </c>
      <c r="AA70" s="34">
        <v>0</v>
      </c>
      <c r="AB70" s="34">
        <v>0</v>
      </c>
      <c r="AC70" s="34">
        <v>0</v>
      </c>
      <c r="AD70" s="34">
        <v>0</v>
      </c>
      <c r="AE70" s="34">
        <v>0</v>
      </c>
      <c r="AF70" s="34">
        <v>1</v>
      </c>
      <c r="AG70" s="34">
        <v>1</v>
      </c>
      <c r="AH70" s="34">
        <v>0</v>
      </c>
      <c r="AI70" s="34">
        <v>0</v>
      </c>
      <c r="AJ70" s="34">
        <v>0</v>
      </c>
      <c r="AK70" s="34">
        <v>0</v>
      </c>
      <c r="AL70" s="34">
        <v>0</v>
      </c>
      <c r="AM70" s="34">
        <v>0</v>
      </c>
      <c r="AN70" s="34">
        <v>0</v>
      </c>
      <c r="AO70" s="34">
        <v>0</v>
      </c>
      <c r="AP70" s="34">
        <v>0</v>
      </c>
      <c r="AQ70" s="34">
        <v>1</v>
      </c>
      <c r="AR70" s="34">
        <v>0</v>
      </c>
      <c r="AS70" s="34">
        <v>0</v>
      </c>
      <c r="AT70" s="34">
        <v>0</v>
      </c>
      <c r="AU70" s="34">
        <v>0</v>
      </c>
      <c r="AV70" s="34">
        <v>0</v>
      </c>
      <c r="AW70" s="34">
        <v>0</v>
      </c>
      <c r="AX70" s="34">
        <v>0</v>
      </c>
      <c r="AY70" s="34">
        <v>0</v>
      </c>
      <c r="AZ70" s="34">
        <v>0</v>
      </c>
      <c r="BA70" s="34">
        <v>0</v>
      </c>
      <c r="BB70" s="34">
        <v>0</v>
      </c>
      <c r="BC70" s="34">
        <v>0</v>
      </c>
      <c r="BD70" s="34">
        <v>0</v>
      </c>
      <c r="BE70" s="21"/>
    </row>
    <row r="71" spans="1:57" x14ac:dyDescent="0.35">
      <c r="A71" s="33" t="s">
        <v>64</v>
      </c>
      <c r="B71" s="34">
        <v>6</v>
      </c>
      <c r="C71" s="35">
        <v>24.10994133247609</v>
      </c>
      <c r="D71" s="34">
        <v>0</v>
      </c>
      <c r="E71" s="34">
        <v>0</v>
      </c>
      <c r="F71" s="34">
        <v>0</v>
      </c>
      <c r="G71" s="34">
        <v>0</v>
      </c>
      <c r="H71" s="34">
        <v>1</v>
      </c>
      <c r="I71" s="34">
        <v>0</v>
      </c>
      <c r="J71" s="34">
        <v>1</v>
      </c>
      <c r="K71" s="34">
        <v>1</v>
      </c>
      <c r="L71" s="34">
        <v>0</v>
      </c>
      <c r="M71" s="34">
        <v>0</v>
      </c>
      <c r="N71" s="34">
        <v>0</v>
      </c>
      <c r="O71" s="34">
        <v>0</v>
      </c>
      <c r="P71" s="34">
        <v>0</v>
      </c>
      <c r="Q71" s="34">
        <v>0</v>
      </c>
      <c r="R71" s="34">
        <v>0</v>
      </c>
      <c r="S71" s="34">
        <v>0</v>
      </c>
      <c r="T71" s="34">
        <v>0</v>
      </c>
      <c r="U71" s="34">
        <v>0</v>
      </c>
      <c r="V71" s="34">
        <v>0</v>
      </c>
      <c r="W71" s="34">
        <v>0</v>
      </c>
      <c r="X71" s="34">
        <v>2</v>
      </c>
      <c r="Y71" s="34">
        <v>0</v>
      </c>
      <c r="Z71" s="34">
        <v>0</v>
      </c>
      <c r="AA71" s="34">
        <v>0</v>
      </c>
      <c r="AB71" s="34">
        <v>0</v>
      </c>
      <c r="AC71" s="34">
        <v>0</v>
      </c>
      <c r="AD71" s="34">
        <v>0</v>
      </c>
      <c r="AE71" s="34">
        <v>0</v>
      </c>
      <c r="AF71" s="34">
        <v>0</v>
      </c>
      <c r="AG71" s="34">
        <v>0</v>
      </c>
      <c r="AH71" s="34">
        <v>0</v>
      </c>
      <c r="AI71" s="34">
        <v>0</v>
      </c>
      <c r="AJ71" s="34">
        <v>0</v>
      </c>
      <c r="AK71" s="34">
        <v>0</v>
      </c>
      <c r="AL71" s="34">
        <v>0</v>
      </c>
      <c r="AM71" s="34">
        <v>0</v>
      </c>
      <c r="AN71" s="34">
        <v>0</v>
      </c>
      <c r="AO71" s="34">
        <v>0</v>
      </c>
      <c r="AP71" s="34">
        <v>0</v>
      </c>
      <c r="AQ71" s="34">
        <v>0</v>
      </c>
      <c r="AR71" s="34">
        <v>1</v>
      </c>
      <c r="AS71" s="34">
        <v>0</v>
      </c>
      <c r="AT71" s="34">
        <v>0</v>
      </c>
      <c r="AU71" s="34">
        <v>0</v>
      </c>
      <c r="AV71" s="34">
        <v>0</v>
      </c>
      <c r="AW71" s="34">
        <v>0</v>
      </c>
      <c r="AX71" s="34">
        <v>0</v>
      </c>
      <c r="AY71" s="34">
        <v>0</v>
      </c>
      <c r="AZ71" s="34">
        <v>0</v>
      </c>
      <c r="BA71" s="34">
        <v>0</v>
      </c>
      <c r="BB71" s="34">
        <v>0</v>
      </c>
      <c r="BC71" s="34">
        <v>0</v>
      </c>
      <c r="BD71" s="34">
        <v>0</v>
      </c>
      <c r="BE71" s="21"/>
    </row>
    <row r="72" spans="1:57" x14ac:dyDescent="0.35">
      <c r="A72" s="33" t="s">
        <v>65</v>
      </c>
      <c r="B72" s="34">
        <v>2</v>
      </c>
      <c r="C72" s="35">
        <v>6.4102564102564106</v>
      </c>
      <c r="D72" s="34">
        <v>0</v>
      </c>
      <c r="E72" s="34">
        <v>0</v>
      </c>
      <c r="F72" s="34">
        <v>0</v>
      </c>
      <c r="G72" s="34">
        <v>0</v>
      </c>
      <c r="H72" s="34">
        <v>1</v>
      </c>
      <c r="I72" s="34">
        <v>0</v>
      </c>
      <c r="J72" s="34">
        <v>0</v>
      </c>
      <c r="K72" s="34">
        <v>0</v>
      </c>
      <c r="L72" s="34">
        <v>0</v>
      </c>
      <c r="M72" s="34">
        <v>0</v>
      </c>
      <c r="N72" s="34">
        <v>0</v>
      </c>
      <c r="O72" s="34">
        <v>0</v>
      </c>
      <c r="P72" s="34">
        <v>0</v>
      </c>
      <c r="Q72" s="34">
        <v>0</v>
      </c>
      <c r="R72" s="34">
        <v>0</v>
      </c>
      <c r="S72" s="34">
        <v>0</v>
      </c>
      <c r="T72" s="34">
        <v>0</v>
      </c>
      <c r="U72" s="34">
        <v>0</v>
      </c>
      <c r="V72" s="34">
        <v>0</v>
      </c>
      <c r="W72" s="34">
        <v>0</v>
      </c>
      <c r="X72" s="34">
        <v>0</v>
      </c>
      <c r="Y72" s="34">
        <v>0</v>
      </c>
      <c r="Z72" s="34">
        <v>0</v>
      </c>
      <c r="AA72" s="34">
        <v>0</v>
      </c>
      <c r="AB72" s="34">
        <v>0</v>
      </c>
      <c r="AC72" s="34">
        <v>0</v>
      </c>
      <c r="AD72" s="34">
        <v>0</v>
      </c>
      <c r="AE72" s="34">
        <v>0</v>
      </c>
      <c r="AF72" s="34">
        <v>0</v>
      </c>
      <c r="AG72" s="34">
        <v>0</v>
      </c>
      <c r="AH72" s="34">
        <v>0</v>
      </c>
      <c r="AI72" s="34">
        <v>0</v>
      </c>
      <c r="AJ72" s="34">
        <v>0</v>
      </c>
      <c r="AK72" s="34">
        <v>0</v>
      </c>
      <c r="AL72" s="34">
        <v>0</v>
      </c>
      <c r="AM72" s="34">
        <v>0</v>
      </c>
      <c r="AN72" s="34">
        <v>0</v>
      </c>
      <c r="AO72" s="34">
        <v>0</v>
      </c>
      <c r="AP72" s="34">
        <v>0</v>
      </c>
      <c r="AQ72" s="34">
        <v>0</v>
      </c>
      <c r="AR72" s="34">
        <v>0</v>
      </c>
      <c r="AS72" s="34">
        <v>0</v>
      </c>
      <c r="AT72" s="34">
        <v>0</v>
      </c>
      <c r="AU72" s="34">
        <v>0</v>
      </c>
      <c r="AV72" s="34">
        <v>0</v>
      </c>
      <c r="AW72" s="34">
        <v>0</v>
      </c>
      <c r="AX72" s="34">
        <v>0</v>
      </c>
      <c r="AY72" s="34">
        <v>0</v>
      </c>
      <c r="AZ72" s="34">
        <v>0</v>
      </c>
      <c r="BA72" s="34">
        <v>0</v>
      </c>
      <c r="BB72" s="34">
        <v>0</v>
      </c>
      <c r="BC72" s="34">
        <v>1</v>
      </c>
      <c r="BD72" s="34">
        <v>0</v>
      </c>
      <c r="BE72" s="21"/>
    </row>
    <row r="73" spans="1:57" x14ac:dyDescent="0.35">
      <c r="A73" s="33" t="s">
        <v>66</v>
      </c>
      <c r="B73" s="34">
        <v>258</v>
      </c>
      <c r="C73" s="35">
        <v>310.7872071312413</v>
      </c>
      <c r="D73" s="34">
        <v>13</v>
      </c>
      <c r="E73" s="34">
        <v>11</v>
      </c>
      <c r="F73" s="34">
        <v>7</v>
      </c>
      <c r="G73" s="34">
        <v>18</v>
      </c>
      <c r="H73" s="34">
        <v>12</v>
      </c>
      <c r="I73" s="34">
        <v>17</v>
      </c>
      <c r="J73" s="34">
        <v>10</v>
      </c>
      <c r="K73" s="34">
        <v>16</v>
      </c>
      <c r="L73" s="34">
        <v>4</v>
      </c>
      <c r="M73" s="34">
        <v>10</v>
      </c>
      <c r="N73" s="34">
        <v>8</v>
      </c>
      <c r="O73" s="34">
        <v>4</v>
      </c>
      <c r="P73" s="34">
        <v>7</v>
      </c>
      <c r="Q73" s="34">
        <v>2</v>
      </c>
      <c r="R73" s="34">
        <v>6</v>
      </c>
      <c r="S73" s="34">
        <v>7</v>
      </c>
      <c r="T73" s="34">
        <v>4</v>
      </c>
      <c r="U73" s="34">
        <v>5</v>
      </c>
      <c r="V73" s="34">
        <v>3</v>
      </c>
      <c r="W73" s="34">
        <v>9</v>
      </c>
      <c r="X73" s="34">
        <v>9</v>
      </c>
      <c r="Y73" s="34">
        <v>16</v>
      </c>
      <c r="Z73" s="34">
        <v>26</v>
      </c>
      <c r="AA73" s="34">
        <v>15</v>
      </c>
      <c r="AB73" s="34">
        <v>10</v>
      </c>
      <c r="AC73" s="34">
        <v>9</v>
      </c>
      <c r="AD73" s="34">
        <v>0</v>
      </c>
      <c r="AE73" s="34">
        <v>0</v>
      </c>
      <c r="AF73" s="34">
        <v>0</v>
      </c>
      <c r="AG73" s="34">
        <v>0</v>
      </c>
      <c r="AH73" s="34">
        <v>0</v>
      </c>
      <c r="AI73" s="34">
        <v>0</v>
      </c>
      <c r="AJ73" s="34">
        <v>0</v>
      </c>
      <c r="AK73" s="34">
        <v>0</v>
      </c>
      <c r="AL73" s="34">
        <v>0</v>
      </c>
      <c r="AM73" s="34">
        <v>0</v>
      </c>
      <c r="AN73" s="34">
        <v>0</v>
      </c>
      <c r="AO73" s="34">
        <v>0</v>
      </c>
      <c r="AP73" s="34">
        <v>0</v>
      </c>
      <c r="AQ73" s="34">
        <v>0</v>
      </c>
      <c r="AR73" s="34">
        <v>0</v>
      </c>
      <c r="AS73" s="34">
        <v>0</v>
      </c>
      <c r="AT73" s="34">
        <v>0</v>
      </c>
      <c r="AU73" s="34">
        <v>0</v>
      </c>
      <c r="AV73" s="34">
        <v>0</v>
      </c>
      <c r="AW73" s="34">
        <v>0</v>
      </c>
      <c r="AX73" s="34">
        <v>0</v>
      </c>
      <c r="AY73" s="34">
        <v>0</v>
      </c>
      <c r="AZ73" s="34">
        <v>0</v>
      </c>
      <c r="BA73" s="34">
        <v>0</v>
      </c>
      <c r="BB73" s="34">
        <v>0</v>
      </c>
      <c r="BC73" s="34">
        <v>0</v>
      </c>
      <c r="BD73" s="34">
        <v>0</v>
      </c>
      <c r="BE73" s="21"/>
    </row>
    <row r="74" spans="1:57" x14ac:dyDescent="0.35">
      <c r="A74" s="33"/>
      <c r="B74" s="31"/>
      <c r="C74" s="32"/>
      <c r="D74" s="21"/>
      <c r="E74" s="21"/>
      <c r="F74" s="21"/>
      <c r="G74" s="21"/>
      <c r="H74" s="21"/>
      <c r="I74" s="21"/>
      <c r="J74" s="21"/>
      <c r="K74" s="21"/>
      <c r="L74" s="21"/>
      <c r="M74" s="21"/>
      <c r="N74" s="21"/>
      <c r="O74" s="21"/>
      <c r="P74" s="21"/>
      <c r="Q74" s="21"/>
      <c r="R74" s="21"/>
      <c r="S74" s="21"/>
      <c r="T74" s="21"/>
      <c r="U74" s="21"/>
      <c r="V74" s="21"/>
      <c r="W74" s="21"/>
      <c r="X74" s="21"/>
      <c r="Y74" s="21"/>
      <c r="Z74" s="21"/>
      <c r="AA74" s="21"/>
      <c r="AB74" s="21"/>
      <c r="AC74" s="21"/>
      <c r="AD74" s="21"/>
      <c r="AE74" s="21"/>
      <c r="AF74" s="21"/>
      <c r="AG74" s="21"/>
      <c r="AH74" s="21"/>
      <c r="AI74" s="21"/>
      <c r="AJ74" s="21"/>
      <c r="AK74" s="21"/>
      <c r="AL74" s="21"/>
      <c r="AM74" s="21"/>
      <c r="AN74" s="21"/>
      <c r="AO74" s="21"/>
      <c r="AP74" s="21"/>
      <c r="AQ74" s="21"/>
      <c r="AR74" s="21"/>
      <c r="AS74" s="21"/>
      <c r="AT74" s="21"/>
      <c r="AU74" s="21"/>
      <c r="AV74" s="21"/>
      <c r="AW74" s="21"/>
      <c r="AX74" s="21"/>
      <c r="AY74" s="21"/>
      <c r="AZ74" s="21"/>
      <c r="BA74" s="21"/>
      <c r="BB74" s="21"/>
      <c r="BC74" s="21"/>
      <c r="BD74" s="21"/>
      <c r="BE74" s="21"/>
    </row>
    <row r="75" spans="1:57" x14ac:dyDescent="0.35">
      <c r="A75" s="20" t="s">
        <v>67</v>
      </c>
      <c r="B75" s="29">
        <v>313</v>
      </c>
      <c r="C75" s="30">
        <v>79.463204474311553</v>
      </c>
      <c r="D75" s="29">
        <v>12</v>
      </c>
      <c r="E75" s="29">
        <v>11</v>
      </c>
      <c r="F75" s="29">
        <v>9</v>
      </c>
      <c r="G75" s="29">
        <v>13</v>
      </c>
      <c r="H75" s="29">
        <v>30</v>
      </c>
      <c r="I75" s="29">
        <v>9</v>
      </c>
      <c r="J75" s="29">
        <v>6</v>
      </c>
      <c r="K75" s="29">
        <v>9</v>
      </c>
      <c r="L75" s="29">
        <v>5</v>
      </c>
      <c r="M75" s="29">
        <v>3</v>
      </c>
      <c r="N75" s="29">
        <v>4</v>
      </c>
      <c r="O75" s="29">
        <v>1</v>
      </c>
      <c r="P75" s="29">
        <v>1</v>
      </c>
      <c r="Q75" s="29">
        <v>0</v>
      </c>
      <c r="R75" s="29">
        <v>3</v>
      </c>
      <c r="S75" s="29">
        <v>1</v>
      </c>
      <c r="T75" s="29">
        <v>2</v>
      </c>
      <c r="U75" s="29">
        <v>5</v>
      </c>
      <c r="V75" s="29">
        <v>4</v>
      </c>
      <c r="W75" s="29">
        <v>4</v>
      </c>
      <c r="X75" s="29">
        <v>1</v>
      </c>
      <c r="Y75" s="29">
        <v>4</v>
      </c>
      <c r="Z75" s="29">
        <v>6</v>
      </c>
      <c r="AA75" s="29">
        <v>5</v>
      </c>
      <c r="AB75" s="29">
        <v>7</v>
      </c>
      <c r="AC75" s="29">
        <v>10</v>
      </c>
      <c r="AD75" s="29">
        <v>7</v>
      </c>
      <c r="AE75" s="29">
        <v>8</v>
      </c>
      <c r="AF75" s="29">
        <v>8</v>
      </c>
      <c r="AG75" s="29">
        <v>4</v>
      </c>
      <c r="AH75" s="29">
        <v>8</v>
      </c>
      <c r="AI75" s="29">
        <v>10</v>
      </c>
      <c r="AJ75" s="29">
        <v>8</v>
      </c>
      <c r="AK75" s="29">
        <v>6</v>
      </c>
      <c r="AL75" s="29">
        <v>4</v>
      </c>
      <c r="AM75" s="29">
        <v>9</v>
      </c>
      <c r="AN75" s="29">
        <v>9</v>
      </c>
      <c r="AO75" s="29">
        <v>8</v>
      </c>
      <c r="AP75" s="29">
        <v>7</v>
      </c>
      <c r="AQ75" s="29">
        <v>4</v>
      </c>
      <c r="AR75" s="29">
        <v>5</v>
      </c>
      <c r="AS75" s="29">
        <v>5</v>
      </c>
      <c r="AT75" s="29">
        <v>11</v>
      </c>
      <c r="AU75" s="29">
        <v>10</v>
      </c>
      <c r="AV75" s="29">
        <v>2</v>
      </c>
      <c r="AW75" s="29">
        <v>3</v>
      </c>
      <c r="AX75" s="29">
        <v>5</v>
      </c>
      <c r="AY75" s="29">
        <v>4</v>
      </c>
      <c r="AZ75" s="29">
        <v>1</v>
      </c>
      <c r="BA75" s="29">
        <v>0</v>
      </c>
      <c r="BB75" s="29">
        <v>1</v>
      </c>
      <c r="BC75" s="29">
        <v>1</v>
      </c>
      <c r="BD75" s="29">
        <v>0</v>
      </c>
      <c r="BE75" s="21"/>
    </row>
    <row r="76" spans="1:57" x14ac:dyDescent="0.35">
      <c r="A76" s="33" t="s">
        <v>68</v>
      </c>
      <c r="B76" s="34">
        <v>4</v>
      </c>
      <c r="C76" s="35">
        <v>5.1968974522210241</v>
      </c>
      <c r="D76" s="34">
        <v>1</v>
      </c>
      <c r="E76" s="34">
        <v>2</v>
      </c>
      <c r="F76" s="34">
        <v>0</v>
      </c>
      <c r="G76" s="34">
        <v>1</v>
      </c>
      <c r="H76" s="34">
        <v>0</v>
      </c>
      <c r="I76" s="34">
        <v>0</v>
      </c>
      <c r="J76" s="34">
        <v>0</v>
      </c>
      <c r="K76" s="34">
        <v>0</v>
      </c>
      <c r="L76" s="34">
        <v>0</v>
      </c>
      <c r="M76" s="34">
        <v>0</v>
      </c>
      <c r="N76" s="34">
        <v>0</v>
      </c>
      <c r="O76" s="34">
        <v>0</v>
      </c>
      <c r="P76" s="34">
        <v>0</v>
      </c>
      <c r="Q76" s="34">
        <v>0</v>
      </c>
      <c r="R76" s="34">
        <v>0</v>
      </c>
      <c r="S76" s="34">
        <v>0</v>
      </c>
      <c r="T76" s="34">
        <v>0</v>
      </c>
      <c r="U76" s="34">
        <v>0</v>
      </c>
      <c r="V76" s="34">
        <v>0</v>
      </c>
      <c r="W76" s="34">
        <v>0</v>
      </c>
      <c r="X76" s="34">
        <v>0</v>
      </c>
      <c r="Y76" s="34">
        <v>0</v>
      </c>
      <c r="Z76" s="34">
        <v>0</v>
      </c>
      <c r="AA76" s="34">
        <v>0</v>
      </c>
      <c r="AB76" s="34">
        <v>0</v>
      </c>
      <c r="AC76" s="34">
        <v>0</v>
      </c>
      <c r="AD76" s="34">
        <v>0</v>
      </c>
      <c r="AE76" s="34">
        <v>0</v>
      </c>
      <c r="AF76" s="34">
        <v>0</v>
      </c>
      <c r="AG76" s="34">
        <v>0</v>
      </c>
      <c r="AH76" s="34">
        <v>0</v>
      </c>
      <c r="AI76" s="34">
        <v>0</v>
      </c>
      <c r="AJ76" s="34">
        <v>0</v>
      </c>
      <c r="AK76" s="34">
        <v>0</v>
      </c>
      <c r="AL76" s="34">
        <v>0</v>
      </c>
      <c r="AM76" s="34">
        <v>0</v>
      </c>
      <c r="AN76" s="34">
        <v>0</v>
      </c>
      <c r="AO76" s="34">
        <v>0</v>
      </c>
      <c r="AP76" s="34">
        <v>0</v>
      </c>
      <c r="AQ76" s="34">
        <v>0</v>
      </c>
      <c r="AR76" s="34">
        <v>0</v>
      </c>
      <c r="AS76" s="34">
        <v>0</v>
      </c>
      <c r="AT76" s="34">
        <v>0</v>
      </c>
      <c r="AU76" s="34">
        <v>0</v>
      </c>
      <c r="AV76" s="34">
        <v>0</v>
      </c>
      <c r="AW76" s="34">
        <v>0</v>
      </c>
      <c r="AX76" s="34">
        <v>0</v>
      </c>
      <c r="AY76" s="34">
        <v>0</v>
      </c>
      <c r="AZ76" s="34">
        <v>0</v>
      </c>
      <c r="BA76" s="34">
        <v>0</v>
      </c>
      <c r="BB76" s="34">
        <v>0</v>
      </c>
      <c r="BC76" s="34">
        <v>0</v>
      </c>
      <c r="BD76" s="34">
        <v>0</v>
      </c>
      <c r="BE76" s="21"/>
    </row>
    <row r="77" spans="1:57" x14ac:dyDescent="0.35">
      <c r="A77" s="33" t="s">
        <v>69</v>
      </c>
      <c r="B77" s="34">
        <v>34</v>
      </c>
      <c r="C77" s="35">
        <v>60.080224770723255</v>
      </c>
      <c r="D77" s="34">
        <v>0</v>
      </c>
      <c r="E77" s="34">
        <v>2</v>
      </c>
      <c r="F77" s="34">
        <v>0</v>
      </c>
      <c r="G77" s="34">
        <v>0</v>
      </c>
      <c r="H77" s="34">
        <v>1</v>
      </c>
      <c r="I77" s="34">
        <v>3</v>
      </c>
      <c r="J77" s="34">
        <v>1</v>
      </c>
      <c r="K77" s="34">
        <v>4</v>
      </c>
      <c r="L77" s="34">
        <v>3</v>
      </c>
      <c r="M77" s="34">
        <v>2</v>
      </c>
      <c r="N77" s="34">
        <v>2</v>
      </c>
      <c r="O77" s="34">
        <v>0</v>
      </c>
      <c r="P77" s="34">
        <v>1</v>
      </c>
      <c r="Q77" s="34">
        <v>0</v>
      </c>
      <c r="R77" s="34">
        <v>1</v>
      </c>
      <c r="S77" s="34">
        <v>0</v>
      </c>
      <c r="T77" s="34">
        <v>0</v>
      </c>
      <c r="U77" s="34">
        <v>2</v>
      </c>
      <c r="V77" s="34">
        <v>2</v>
      </c>
      <c r="W77" s="34">
        <v>0</v>
      </c>
      <c r="X77" s="34">
        <v>0</v>
      </c>
      <c r="Y77" s="34">
        <v>0</v>
      </c>
      <c r="Z77" s="34">
        <v>1</v>
      </c>
      <c r="AA77" s="34">
        <v>0</v>
      </c>
      <c r="AB77" s="34">
        <v>0</v>
      </c>
      <c r="AC77" s="34">
        <v>0</v>
      </c>
      <c r="AD77" s="34">
        <v>1</v>
      </c>
      <c r="AE77" s="34">
        <v>2</v>
      </c>
      <c r="AF77" s="34">
        <v>1</v>
      </c>
      <c r="AG77" s="34">
        <v>0</v>
      </c>
      <c r="AH77" s="34">
        <v>0</v>
      </c>
      <c r="AI77" s="34">
        <v>0</v>
      </c>
      <c r="AJ77" s="34">
        <v>0</v>
      </c>
      <c r="AK77" s="34">
        <v>2</v>
      </c>
      <c r="AL77" s="34">
        <v>1</v>
      </c>
      <c r="AM77" s="34">
        <v>0</v>
      </c>
      <c r="AN77" s="34">
        <v>0</v>
      </c>
      <c r="AO77" s="34">
        <v>0</v>
      </c>
      <c r="AP77" s="34">
        <v>0</v>
      </c>
      <c r="AQ77" s="34">
        <v>0</v>
      </c>
      <c r="AR77" s="34">
        <v>0</v>
      </c>
      <c r="AS77" s="34">
        <v>0</v>
      </c>
      <c r="AT77" s="34">
        <v>0</v>
      </c>
      <c r="AU77" s="34">
        <v>0</v>
      </c>
      <c r="AV77" s="34">
        <v>0</v>
      </c>
      <c r="AW77" s="34">
        <v>1</v>
      </c>
      <c r="AX77" s="34">
        <v>1</v>
      </c>
      <c r="AY77" s="34">
        <v>0</v>
      </c>
      <c r="AZ77" s="34">
        <v>0</v>
      </c>
      <c r="BA77" s="34">
        <v>0</v>
      </c>
      <c r="BB77" s="34">
        <v>0</v>
      </c>
      <c r="BC77" s="34">
        <v>0</v>
      </c>
      <c r="BD77" s="34">
        <v>0</v>
      </c>
      <c r="BE77" s="21"/>
    </row>
    <row r="78" spans="1:57" x14ac:dyDescent="0.35">
      <c r="A78" s="33" t="s">
        <v>70</v>
      </c>
      <c r="B78" s="34">
        <v>50</v>
      </c>
      <c r="C78" s="35">
        <v>72.527886972540941</v>
      </c>
      <c r="D78" s="34">
        <v>4</v>
      </c>
      <c r="E78" s="34">
        <v>0</v>
      </c>
      <c r="F78" s="34">
        <v>0</v>
      </c>
      <c r="G78" s="34">
        <v>1</v>
      </c>
      <c r="H78" s="34">
        <v>1</v>
      </c>
      <c r="I78" s="34">
        <v>0</v>
      </c>
      <c r="J78" s="34">
        <v>1</v>
      </c>
      <c r="K78" s="34">
        <v>0</v>
      </c>
      <c r="L78" s="34">
        <v>1</v>
      </c>
      <c r="M78" s="34">
        <v>0</v>
      </c>
      <c r="N78" s="34">
        <v>0</v>
      </c>
      <c r="O78" s="34">
        <v>0</v>
      </c>
      <c r="P78" s="34">
        <v>0</v>
      </c>
      <c r="Q78" s="34">
        <v>0</v>
      </c>
      <c r="R78" s="34">
        <v>0</v>
      </c>
      <c r="S78" s="34">
        <v>0</v>
      </c>
      <c r="T78" s="34">
        <v>0</v>
      </c>
      <c r="U78" s="34">
        <v>1</v>
      </c>
      <c r="V78" s="34">
        <v>0</v>
      </c>
      <c r="W78" s="34">
        <v>1</v>
      </c>
      <c r="X78" s="34">
        <v>0</v>
      </c>
      <c r="Y78" s="34">
        <v>0</v>
      </c>
      <c r="Z78" s="34">
        <v>0</v>
      </c>
      <c r="AA78" s="34">
        <v>0</v>
      </c>
      <c r="AB78" s="34">
        <v>1</v>
      </c>
      <c r="AC78" s="34">
        <v>2</v>
      </c>
      <c r="AD78" s="34">
        <v>1</v>
      </c>
      <c r="AE78" s="34">
        <v>1</v>
      </c>
      <c r="AF78" s="34">
        <v>1</v>
      </c>
      <c r="AG78" s="34">
        <v>1</v>
      </c>
      <c r="AH78" s="34">
        <v>5</v>
      </c>
      <c r="AI78" s="34">
        <v>2</v>
      </c>
      <c r="AJ78" s="34">
        <v>5</v>
      </c>
      <c r="AK78" s="34">
        <v>2</v>
      </c>
      <c r="AL78" s="34">
        <v>0</v>
      </c>
      <c r="AM78" s="34">
        <v>1</v>
      </c>
      <c r="AN78" s="34">
        <v>4</v>
      </c>
      <c r="AO78" s="34">
        <v>3</v>
      </c>
      <c r="AP78" s="34">
        <v>0</v>
      </c>
      <c r="AQ78" s="34">
        <v>0</v>
      </c>
      <c r="AR78" s="34">
        <v>1</v>
      </c>
      <c r="AS78" s="34">
        <v>3</v>
      </c>
      <c r="AT78" s="34">
        <v>1</v>
      </c>
      <c r="AU78" s="34">
        <v>4</v>
      </c>
      <c r="AV78" s="34">
        <v>0</v>
      </c>
      <c r="AW78" s="34">
        <v>0</v>
      </c>
      <c r="AX78" s="34">
        <v>0</v>
      </c>
      <c r="AY78" s="34">
        <v>0</v>
      </c>
      <c r="AZ78" s="34">
        <v>0</v>
      </c>
      <c r="BA78" s="34">
        <v>0</v>
      </c>
      <c r="BB78" s="34">
        <v>1</v>
      </c>
      <c r="BC78" s="34">
        <v>1</v>
      </c>
      <c r="BD78" s="34">
        <v>0</v>
      </c>
      <c r="BE78" s="21"/>
    </row>
    <row r="79" spans="1:57" x14ac:dyDescent="0.35">
      <c r="A79" s="33" t="s">
        <v>71</v>
      </c>
      <c r="B79" s="34">
        <v>12</v>
      </c>
      <c r="C79" s="35">
        <v>49.730625777041027</v>
      </c>
      <c r="D79" s="34">
        <v>1</v>
      </c>
      <c r="E79" s="34">
        <v>0</v>
      </c>
      <c r="F79" s="34">
        <v>0</v>
      </c>
      <c r="G79" s="34">
        <v>1</v>
      </c>
      <c r="H79" s="34">
        <v>0</v>
      </c>
      <c r="I79" s="34">
        <v>0</v>
      </c>
      <c r="J79" s="34">
        <v>0</v>
      </c>
      <c r="K79" s="34">
        <v>0</v>
      </c>
      <c r="L79" s="34">
        <v>0</v>
      </c>
      <c r="M79" s="34">
        <v>0</v>
      </c>
      <c r="N79" s="34">
        <v>0</v>
      </c>
      <c r="O79" s="34">
        <v>0</v>
      </c>
      <c r="P79" s="34">
        <v>0</v>
      </c>
      <c r="Q79" s="34">
        <v>0</v>
      </c>
      <c r="R79" s="34">
        <v>1</v>
      </c>
      <c r="S79" s="34">
        <v>0</v>
      </c>
      <c r="T79" s="34">
        <v>0</v>
      </c>
      <c r="U79" s="34">
        <v>1</v>
      </c>
      <c r="V79" s="34">
        <v>1</v>
      </c>
      <c r="W79" s="34">
        <v>1</v>
      </c>
      <c r="X79" s="34">
        <v>0</v>
      </c>
      <c r="Y79" s="34">
        <v>1</v>
      </c>
      <c r="Z79" s="34">
        <v>0</v>
      </c>
      <c r="AA79" s="34">
        <v>0</v>
      </c>
      <c r="AB79" s="34">
        <v>0</v>
      </c>
      <c r="AC79" s="34">
        <v>0</v>
      </c>
      <c r="AD79" s="34">
        <v>1</v>
      </c>
      <c r="AE79" s="34">
        <v>1</v>
      </c>
      <c r="AF79" s="34">
        <v>0</v>
      </c>
      <c r="AG79" s="34">
        <v>0</v>
      </c>
      <c r="AH79" s="34">
        <v>0</v>
      </c>
      <c r="AI79" s="34">
        <v>0</v>
      </c>
      <c r="AJ79" s="34">
        <v>0</v>
      </c>
      <c r="AK79" s="34">
        <v>0</v>
      </c>
      <c r="AL79" s="34">
        <v>1</v>
      </c>
      <c r="AM79" s="34">
        <v>0</v>
      </c>
      <c r="AN79" s="34">
        <v>0</v>
      </c>
      <c r="AO79" s="34">
        <v>0</v>
      </c>
      <c r="AP79" s="34">
        <v>0</v>
      </c>
      <c r="AQ79" s="34">
        <v>0</v>
      </c>
      <c r="AR79" s="34">
        <v>0</v>
      </c>
      <c r="AS79" s="34">
        <v>0</v>
      </c>
      <c r="AT79" s="34">
        <v>1</v>
      </c>
      <c r="AU79" s="34">
        <v>1</v>
      </c>
      <c r="AV79" s="34">
        <v>0</v>
      </c>
      <c r="AW79" s="34">
        <v>0</v>
      </c>
      <c r="AX79" s="34">
        <v>0</v>
      </c>
      <c r="AY79" s="34">
        <v>0</v>
      </c>
      <c r="AZ79" s="34">
        <v>0</v>
      </c>
      <c r="BA79" s="34">
        <v>0</v>
      </c>
      <c r="BB79" s="34">
        <v>0</v>
      </c>
      <c r="BC79" s="34">
        <v>0</v>
      </c>
      <c r="BD79" s="34">
        <v>0</v>
      </c>
      <c r="BE79" s="21"/>
    </row>
    <row r="80" spans="1:57" x14ac:dyDescent="0.35">
      <c r="A80" s="33" t="s">
        <v>72</v>
      </c>
      <c r="B80" s="34">
        <v>111</v>
      </c>
      <c r="C80" s="35">
        <v>241.62476327303597</v>
      </c>
      <c r="D80" s="34">
        <v>2</v>
      </c>
      <c r="E80" s="34">
        <v>6</v>
      </c>
      <c r="F80" s="34">
        <v>3</v>
      </c>
      <c r="G80" s="34">
        <v>1</v>
      </c>
      <c r="H80" s="34">
        <v>2</v>
      </c>
      <c r="I80" s="34">
        <v>0</v>
      </c>
      <c r="J80" s="34">
        <v>1</v>
      </c>
      <c r="K80" s="34">
        <v>0</v>
      </c>
      <c r="L80" s="34">
        <v>1</v>
      </c>
      <c r="M80" s="34">
        <v>1</v>
      </c>
      <c r="N80" s="34">
        <v>1</v>
      </c>
      <c r="O80" s="34">
        <v>0</v>
      </c>
      <c r="P80" s="34">
        <v>0</v>
      </c>
      <c r="Q80" s="34">
        <v>0</v>
      </c>
      <c r="R80" s="34">
        <v>1</v>
      </c>
      <c r="S80" s="34">
        <v>0</v>
      </c>
      <c r="T80" s="34">
        <v>0</v>
      </c>
      <c r="U80" s="34">
        <v>0</v>
      </c>
      <c r="V80" s="34">
        <v>0</v>
      </c>
      <c r="W80" s="34">
        <v>1</v>
      </c>
      <c r="X80" s="34">
        <v>1</v>
      </c>
      <c r="Y80" s="34">
        <v>2</v>
      </c>
      <c r="Z80" s="34">
        <v>3</v>
      </c>
      <c r="AA80" s="34">
        <v>4</v>
      </c>
      <c r="AB80" s="34">
        <v>4</v>
      </c>
      <c r="AC80" s="34">
        <v>7</v>
      </c>
      <c r="AD80" s="34">
        <v>3</v>
      </c>
      <c r="AE80" s="34">
        <v>4</v>
      </c>
      <c r="AF80" s="34">
        <v>2</v>
      </c>
      <c r="AG80" s="34">
        <v>3</v>
      </c>
      <c r="AH80" s="34">
        <v>3</v>
      </c>
      <c r="AI80" s="34">
        <v>6</v>
      </c>
      <c r="AJ80" s="34">
        <v>1</v>
      </c>
      <c r="AK80" s="34">
        <v>2</v>
      </c>
      <c r="AL80" s="34">
        <v>2</v>
      </c>
      <c r="AM80" s="34">
        <v>7</v>
      </c>
      <c r="AN80" s="34">
        <v>4</v>
      </c>
      <c r="AO80" s="34">
        <v>4</v>
      </c>
      <c r="AP80" s="34">
        <v>4</v>
      </c>
      <c r="AQ80" s="34">
        <v>4</v>
      </c>
      <c r="AR80" s="34">
        <v>2</v>
      </c>
      <c r="AS80" s="34">
        <v>2</v>
      </c>
      <c r="AT80" s="34">
        <v>8</v>
      </c>
      <c r="AU80" s="34">
        <v>3</v>
      </c>
      <c r="AV80" s="34">
        <v>1</v>
      </c>
      <c r="AW80" s="34">
        <v>0</v>
      </c>
      <c r="AX80" s="34">
        <v>2</v>
      </c>
      <c r="AY80" s="34">
        <v>2</v>
      </c>
      <c r="AZ80" s="34">
        <v>1</v>
      </c>
      <c r="BA80" s="34">
        <v>0</v>
      </c>
      <c r="BB80" s="34">
        <v>0</v>
      </c>
      <c r="BC80" s="34">
        <v>0</v>
      </c>
      <c r="BD80" s="34">
        <v>0</v>
      </c>
      <c r="BE80" s="21"/>
    </row>
    <row r="81" spans="1:57" x14ac:dyDescent="0.35">
      <c r="A81" s="33" t="s">
        <v>73</v>
      </c>
      <c r="B81" s="34">
        <v>21</v>
      </c>
      <c r="C81" s="35">
        <v>64.24965580541533</v>
      </c>
      <c r="D81" s="34">
        <v>0</v>
      </c>
      <c r="E81" s="34">
        <v>0</v>
      </c>
      <c r="F81" s="34">
        <v>0</v>
      </c>
      <c r="G81" s="34">
        <v>0</v>
      </c>
      <c r="H81" s="34">
        <v>1</v>
      </c>
      <c r="I81" s="34">
        <v>0</v>
      </c>
      <c r="J81" s="34">
        <v>0</v>
      </c>
      <c r="K81" s="34">
        <v>0</v>
      </c>
      <c r="L81" s="34">
        <v>0</v>
      </c>
      <c r="M81" s="34">
        <v>0</v>
      </c>
      <c r="N81" s="34">
        <v>0</v>
      </c>
      <c r="O81" s="34">
        <v>1</v>
      </c>
      <c r="P81" s="34">
        <v>0</v>
      </c>
      <c r="Q81" s="34">
        <v>0</v>
      </c>
      <c r="R81" s="34">
        <v>0</v>
      </c>
      <c r="S81" s="34">
        <v>1</v>
      </c>
      <c r="T81" s="34">
        <v>2</v>
      </c>
      <c r="U81" s="34">
        <v>1</v>
      </c>
      <c r="V81" s="34">
        <v>1</v>
      </c>
      <c r="W81" s="34">
        <v>1</v>
      </c>
      <c r="X81" s="34">
        <v>0</v>
      </c>
      <c r="Y81" s="34">
        <v>1</v>
      </c>
      <c r="Z81" s="34">
        <v>1</v>
      </c>
      <c r="AA81" s="34">
        <v>0</v>
      </c>
      <c r="AB81" s="34">
        <v>0</v>
      </c>
      <c r="AC81" s="34">
        <v>0</v>
      </c>
      <c r="AD81" s="34">
        <v>0</v>
      </c>
      <c r="AE81" s="34">
        <v>0</v>
      </c>
      <c r="AF81" s="34">
        <v>2</v>
      </c>
      <c r="AG81" s="34">
        <v>0</v>
      </c>
      <c r="AH81" s="34">
        <v>0</v>
      </c>
      <c r="AI81" s="34">
        <v>0</v>
      </c>
      <c r="AJ81" s="34">
        <v>1</v>
      </c>
      <c r="AK81" s="34">
        <v>0</v>
      </c>
      <c r="AL81" s="34">
        <v>0</v>
      </c>
      <c r="AM81" s="34">
        <v>0</v>
      </c>
      <c r="AN81" s="34">
        <v>0</v>
      </c>
      <c r="AO81" s="34">
        <v>1</v>
      </c>
      <c r="AP81" s="34">
        <v>0</v>
      </c>
      <c r="AQ81" s="34">
        <v>0</v>
      </c>
      <c r="AR81" s="34">
        <v>0</v>
      </c>
      <c r="AS81" s="34">
        <v>0</v>
      </c>
      <c r="AT81" s="34">
        <v>1</v>
      </c>
      <c r="AU81" s="34">
        <v>1</v>
      </c>
      <c r="AV81" s="34">
        <v>0</v>
      </c>
      <c r="AW81" s="34">
        <v>2</v>
      </c>
      <c r="AX81" s="34">
        <v>1</v>
      </c>
      <c r="AY81" s="34">
        <v>2</v>
      </c>
      <c r="AZ81" s="34">
        <v>0</v>
      </c>
      <c r="BA81" s="34">
        <v>0</v>
      </c>
      <c r="BB81" s="34">
        <v>0</v>
      </c>
      <c r="BC81" s="34">
        <v>0</v>
      </c>
      <c r="BD81" s="34">
        <v>0</v>
      </c>
      <c r="BE81" s="21"/>
    </row>
    <row r="82" spans="1:57" x14ac:dyDescent="0.35">
      <c r="A82" s="33" t="s">
        <v>74</v>
      </c>
      <c r="B82" s="34">
        <v>60</v>
      </c>
      <c r="C82" s="35">
        <v>299.76019184652279</v>
      </c>
      <c r="D82" s="34">
        <v>2</v>
      </c>
      <c r="E82" s="34">
        <v>1</v>
      </c>
      <c r="F82" s="34">
        <v>4</v>
      </c>
      <c r="G82" s="34">
        <v>9</v>
      </c>
      <c r="H82" s="34">
        <v>23</v>
      </c>
      <c r="I82" s="34">
        <v>6</v>
      </c>
      <c r="J82" s="34">
        <v>3</v>
      </c>
      <c r="K82" s="34">
        <v>4</v>
      </c>
      <c r="L82" s="34">
        <v>0</v>
      </c>
      <c r="M82" s="34">
        <v>0</v>
      </c>
      <c r="N82" s="34">
        <v>1</v>
      </c>
      <c r="O82" s="34">
        <v>0</v>
      </c>
      <c r="P82" s="34">
        <v>0</v>
      </c>
      <c r="Q82" s="34">
        <v>0</v>
      </c>
      <c r="R82" s="34">
        <v>0</v>
      </c>
      <c r="S82" s="34">
        <v>0</v>
      </c>
      <c r="T82" s="34">
        <v>0</v>
      </c>
      <c r="U82" s="34">
        <v>0</v>
      </c>
      <c r="V82" s="34">
        <v>0</v>
      </c>
      <c r="W82" s="34">
        <v>0</v>
      </c>
      <c r="X82" s="34">
        <v>0</v>
      </c>
      <c r="Y82" s="34">
        <v>0</v>
      </c>
      <c r="Z82" s="34">
        <v>0</v>
      </c>
      <c r="AA82" s="34">
        <v>0</v>
      </c>
      <c r="AB82" s="34">
        <v>1</v>
      </c>
      <c r="AC82" s="34">
        <v>1</v>
      </c>
      <c r="AD82" s="34">
        <v>0</v>
      </c>
      <c r="AE82" s="34">
        <v>0</v>
      </c>
      <c r="AF82" s="34">
        <v>2</v>
      </c>
      <c r="AG82" s="34">
        <v>0</v>
      </c>
      <c r="AH82" s="34">
        <v>0</v>
      </c>
      <c r="AI82" s="34">
        <v>0</v>
      </c>
      <c r="AJ82" s="34">
        <v>0</v>
      </c>
      <c r="AK82" s="34">
        <v>0</v>
      </c>
      <c r="AL82" s="34">
        <v>0</v>
      </c>
      <c r="AM82" s="34">
        <v>1</v>
      </c>
      <c r="AN82" s="34">
        <v>0</v>
      </c>
      <c r="AO82" s="34">
        <v>0</v>
      </c>
      <c r="AP82" s="34">
        <v>2</v>
      </c>
      <c r="AQ82" s="34">
        <v>0</v>
      </c>
      <c r="AR82" s="34">
        <v>0</v>
      </c>
      <c r="AS82" s="34">
        <v>0</v>
      </c>
      <c r="AT82" s="34">
        <v>0</v>
      </c>
      <c r="AU82" s="34">
        <v>0</v>
      </c>
      <c r="AV82" s="34">
        <v>0</v>
      </c>
      <c r="AW82" s="34">
        <v>0</v>
      </c>
      <c r="AX82" s="34">
        <v>0</v>
      </c>
      <c r="AY82" s="34">
        <v>0</v>
      </c>
      <c r="AZ82" s="34">
        <v>0</v>
      </c>
      <c r="BA82" s="34">
        <v>0</v>
      </c>
      <c r="BB82" s="34">
        <v>0</v>
      </c>
      <c r="BC82" s="34">
        <v>0</v>
      </c>
      <c r="BD82" s="34">
        <v>0</v>
      </c>
      <c r="BE82" s="21"/>
    </row>
    <row r="83" spans="1:57" x14ac:dyDescent="0.35">
      <c r="A83" s="33" t="s">
        <v>75</v>
      </c>
      <c r="B83" s="34">
        <v>11</v>
      </c>
      <c r="C83" s="35">
        <v>50.577038024736765</v>
      </c>
      <c r="D83" s="34">
        <v>2</v>
      </c>
      <c r="E83" s="34">
        <v>0</v>
      </c>
      <c r="F83" s="34">
        <v>1</v>
      </c>
      <c r="G83" s="34">
        <v>0</v>
      </c>
      <c r="H83" s="34">
        <v>0</v>
      </c>
      <c r="I83" s="34">
        <v>0</v>
      </c>
      <c r="J83" s="34">
        <v>0</v>
      </c>
      <c r="K83" s="34">
        <v>1</v>
      </c>
      <c r="L83" s="34">
        <v>0</v>
      </c>
      <c r="M83" s="34">
        <v>0</v>
      </c>
      <c r="N83" s="34">
        <v>0</v>
      </c>
      <c r="O83" s="34">
        <v>0</v>
      </c>
      <c r="P83" s="34">
        <v>0</v>
      </c>
      <c r="Q83" s="34">
        <v>0</v>
      </c>
      <c r="R83" s="34">
        <v>0</v>
      </c>
      <c r="S83" s="34">
        <v>0</v>
      </c>
      <c r="T83" s="34">
        <v>0</v>
      </c>
      <c r="U83" s="34">
        <v>0</v>
      </c>
      <c r="V83" s="34">
        <v>0</v>
      </c>
      <c r="W83" s="34">
        <v>0</v>
      </c>
      <c r="X83" s="34">
        <v>0</v>
      </c>
      <c r="Y83" s="34">
        <v>0</v>
      </c>
      <c r="Z83" s="34">
        <v>1</v>
      </c>
      <c r="AA83" s="34">
        <v>0</v>
      </c>
      <c r="AB83" s="34">
        <v>1</v>
      </c>
      <c r="AC83" s="34">
        <v>0</v>
      </c>
      <c r="AD83" s="34">
        <v>1</v>
      </c>
      <c r="AE83" s="34">
        <v>0</v>
      </c>
      <c r="AF83" s="34">
        <v>0</v>
      </c>
      <c r="AG83" s="34">
        <v>0</v>
      </c>
      <c r="AH83" s="34">
        <v>0</v>
      </c>
      <c r="AI83" s="34">
        <v>2</v>
      </c>
      <c r="AJ83" s="34">
        <v>0</v>
      </c>
      <c r="AK83" s="34">
        <v>0</v>
      </c>
      <c r="AL83" s="34">
        <v>0</v>
      </c>
      <c r="AM83" s="34">
        <v>0</v>
      </c>
      <c r="AN83" s="34">
        <v>1</v>
      </c>
      <c r="AO83" s="34">
        <v>0</v>
      </c>
      <c r="AP83" s="34">
        <v>1</v>
      </c>
      <c r="AQ83" s="34">
        <v>0</v>
      </c>
      <c r="AR83" s="34">
        <v>0</v>
      </c>
      <c r="AS83" s="34">
        <v>0</v>
      </c>
      <c r="AT83" s="34">
        <v>0</v>
      </c>
      <c r="AU83" s="34">
        <v>0</v>
      </c>
      <c r="AV83" s="34">
        <v>0</v>
      </c>
      <c r="AW83" s="34">
        <v>0</v>
      </c>
      <c r="AX83" s="34">
        <v>0</v>
      </c>
      <c r="AY83" s="34">
        <v>0</v>
      </c>
      <c r="AZ83" s="34">
        <v>0</v>
      </c>
      <c r="BA83" s="34">
        <v>0</v>
      </c>
      <c r="BB83" s="34">
        <v>0</v>
      </c>
      <c r="BC83" s="34">
        <v>0</v>
      </c>
      <c r="BD83" s="34">
        <v>0</v>
      </c>
      <c r="BE83" s="21"/>
    </row>
    <row r="84" spans="1:57" x14ac:dyDescent="0.35">
      <c r="A84" s="33" t="s">
        <v>76</v>
      </c>
      <c r="B84" s="34">
        <v>3</v>
      </c>
      <c r="C84" s="35">
        <v>25.451768897938408</v>
      </c>
      <c r="D84" s="34">
        <v>0</v>
      </c>
      <c r="E84" s="34">
        <v>0</v>
      </c>
      <c r="F84" s="34">
        <v>1</v>
      </c>
      <c r="G84" s="34">
        <v>0</v>
      </c>
      <c r="H84" s="34">
        <v>0</v>
      </c>
      <c r="I84" s="34">
        <v>0</v>
      </c>
      <c r="J84" s="34">
        <v>0</v>
      </c>
      <c r="K84" s="34">
        <v>0</v>
      </c>
      <c r="L84" s="34">
        <v>0</v>
      </c>
      <c r="M84" s="34">
        <v>0</v>
      </c>
      <c r="N84" s="34">
        <v>0</v>
      </c>
      <c r="O84" s="34">
        <v>0</v>
      </c>
      <c r="P84" s="34">
        <v>0</v>
      </c>
      <c r="Q84" s="34">
        <v>0</v>
      </c>
      <c r="R84" s="34">
        <v>0</v>
      </c>
      <c r="S84" s="34">
        <v>0</v>
      </c>
      <c r="T84" s="34">
        <v>0</v>
      </c>
      <c r="U84" s="34">
        <v>0</v>
      </c>
      <c r="V84" s="34">
        <v>0</v>
      </c>
      <c r="W84" s="34">
        <v>0</v>
      </c>
      <c r="X84" s="34">
        <v>0</v>
      </c>
      <c r="Y84" s="34">
        <v>0</v>
      </c>
      <c r="Z84" s="34">
        <v>0</v>
      </c>
      <c r="AA84" s="34">
        <v>0</v>
      </c>
      <c r="AB84" s="34">
        <v>0</v>
      </c>
      <c r="AC84" s="34">
        <v>0</v>
      </c>
      <c r="AD84" s="34">
        <v>0</v>
      </c>
      <c r="AE84" s="34">
        <v>0</v>
      </c>
      <c r="AF84" s="34">
        <v>0</v>
      </c>
      <c r="AG84" s="34">
        <v>0</v>
      </c>
      <c r="AH84" s="34">
        <v>0</v>
      </c>
      <c r="AI84" s="34">
        <v>0</v>
      </c>
      <c r="AJ84" s="34">
        <v>1</v>
      </c>
      <c r="AK84" s="34">
        <v>0</v>
      </c>
      <c r="AL84" s="34">
        <v>0</v>
      </c>
      <c r="AM84" s="34">
        <v>0</v>
      </c>
      <c r="AN84" s="34">
        <v>0</v>
      </c>
      <c r="AO84" s="34">
        <v>0</v>
      </c>
      <c r="AP84" s="34">
        <v>0</v>
      </c>
      <c r="AQ84" s="34">
        <v>0</v>
      </c>
      <c r="AR84" s="34">
        <v>1</v>
      </c>
      <c r="AS84" s="34">
        <v>0</v>
      </c>
      <c r="AT84" s="34">
        <v>0</v>
      </c>
      <c r="AU84" s="34">
        <v>0</v>
      </c>
      <c r="AV84" s="34">
        <v>0</v>
      </c>
      <c r="AW84" s="34">
        <v>0</v>
      </c>
      <c r="AX84" s="34">
        <v>0</v>
      </c>
      <c r="AY84" s="34">
        <v>0</v>
      </c>
      <c r="AZ84" s="34">
        <v>0</v>
      </c>
      <c r="BA84" s="34">
        <v>0</v>
      </c>
      <c r="BB84" s="34">
        <v>0</v>
      </c>
      <c r="BC84" s="34">
        <v>0</v>
      </c>
      <c r="BD84" s="34">
        <v>0</v>
      </c>
      <c r="BE84" s="21"/>
    </row>
    <row r="85" spans="1:57" x14ac:dyDescent="0.35">
      <c r="A85" s="33" t="s">
        <v>77</v>
      </c>
      <c r="B85" s="34">
        <v>0</v>
      </c>
      <c r="C85" s="35">
        <v>0</v>
      </c>
      <c r="D85" s="34">
        <v>0</v>
      </c>
      <c r="E85" s="34">
        <v>0</v>
      </c>
      <c r="F85" s="34">
        <v>0</v>
      </c>
      <c r="G85" s="34">
        <v>0</v>
      </c>
      <c r="H85" s="34">
        <v>0</v>
      </c>
      <c r="I85" s="34">
        <v>0</v>
      </c>
      <c r="J85" s="34">
        <v>0</v>
      </c>
      <c r="K85" s="34">
        <v>0</v>
      </c>
      <c r="L85" s="34">
        <v>0</v>
      </c>
      <c r="M85" s="34">
        <v>0</v>
      </c>
      <c r="N85" s="34">
        <v>0</v>
      </c>
      <c r="O85" s="34">
        <v>0</v>
      </c>
      <c r="P85" s="34">
        <v>0</v>
      </c>
      <c r="Q85" s="34">
        <v>0</v>
      </c>
      <c r="R85" s="34">
        <v>0</v>
      </c>
      <c r="S85" s="34">
        <v>0</v>
      </c>
      <c r="T85" s="34">
        <v>0</v>
      </c>
      <c r="U85" s="34">
        <v>0</v>
      </c>
      <c r="V85" s="34">
        <v>0</v>
      </c>
      <c r="W85" s="34">
        <v>0</v>
      </c>
      <c r="X85" s="34">
        <v>0</v>
      </c>
      <c r="Y85" s="34">
        <v>0</v>
      </c>
      <c r="Z85" s="34">
        <v>0</v>
      </c>
      <c r="AA85" s="34">
        <v>0</v>
      </c>
      <c r="AB85" s="34">
        <v>0</v>
      </c>
      <c r="AC85" s="34">
        <v>0</v>
      </c>
      <c r="AD85" s="34">
        <v>0</v>
      </c>
      <c r="AE85" s="34">
        <v>0</v>
      </c>
      <c r="AF85" s="34">
        <v>0</v>
      </c>
      <c r="AG85" s="34">
        <v>0</v>
      </c>
      <c r="AH85" s="34">
        <v>0</v>
      </c>
      <c r="AI85" s="34">
        <v>0</v>
      </c>
      <c r="AJ85" s="34">
        <v>0</v>
      </c>
      <c r="AK85" s="34">
        <v>0</v>
      </c>
      <c r="AL85" s="34">
        <v>0</v>
      </c>
      <c r="AM85" s="34">
        <v>0</v>
      </c>
      <c r="AN85" s="34">
        <v>0</v>
      </c>
      <c r="AO85" s="34">
        <v>0</v>
      </c>
      <c r="AP85" s="34">
        <v>0</v>
      </c>
      <c r="AQ85" s="34">
        <v>0</v>
      </c>
      <c r="AR85" s="34">
        <v>0</v>
      </c>
      <c r="AS85" s="34">
        <v>0</v>
      </c>
      <c r="AT85" s="34">
        <v>0</v>
      </c>
      <c r="AU85" s="34">
        <v>0</v>
      </c>
      <c r="AV85" s="34">
        <v>0</v>
      </c>
      <c r="AW85" s="34">
        <v>0</v>
      </c>
      <c r="AX85" s="34">
        <v>0</v>
      </c>
      <c r="AY85" s="34">
        <v>0</v>
      </c>
      <c r="AZ85" s="34">
        <v>0</v>
      </c>
      <c r="BA85" s="34">
        <v>0</v>
      </c>
      <c r="BB85" s="34">
        <v>0</v>
      </c>
      <c r="BC85" s="34">
        <v>0</v>
      </c>
      <c r="BD85" s="34">
        <v>0</v>
      </c>
      <c r="BE85" s="21"/>
    </row>
    <row r="86" spans="1:57" x14ac:dyDescent="0.35">
      <c r="A86" s="33" t="s">
        <v>78</v>
      </c>
      <c r="B86" s="34">
        <v>7</v>
      </c>
      <c r="C86" s="35">
        <v>87.521880470117523</v>
      </c>
      <c r="D86" s="34">
        <v>0</v>
      </c>
      <c r="E86" s="34">
        <v>0</v>
      </c>
      <c r="F86" s="34">
        <v>0</v>
      </c>
      <c r="G86" s="34">
        <v>0</v>
      </c>
      <c r="H86" s="34">
        <v>2</v>
      </c>
      <c r="I86" s="34">
        <v>0</v>
      </c>
      <c r="J86" s="34">
        <v>0</v>
      </c>
      <c r="K86" s="34">
        <v>0</v>
      </c>
      <c r="L86" s="34">
        <v>0</v>
      </c>
      <c r="M86" s="34">
        <v>0</v>
      </c>
      <c r="N86" s="34">
        <v>0</v>
      </c>
      <c r="O86" s="34">
        <v>0</v>
      </c>
      <c r="P86" s="34">
        <v>0</v>
      </c>
      <c r="Q86" s="34">
        <v>0</v>
      </c>
      <c r="R86" s="34">
        <v>0</v>
      </c>
      <c r="S86" s="34">
        <v>0</v>
      </c>
      <c r="T86" s="34">
        <v>0</v>
      </c>
      <c r="U86" s="34">
        <v>0</v>
      </c>
      <c r="V86" s="34">
        <v>0</v>
      </c>
      <c r="W86" s="34">
        <v>0</v>
      </c>
      <c r="X86" s="34">
        <v>0</v>
      </c>
      <c r="Y86" s="34">
        <v>0</v>
      </c>
      <c r="Z86" s="34">
        <v>0</v>
      </c>
      <c r="AA86" s="34">
        <v>1</v>
      </c>
      <c r="AB86" s="34">
        <v>0</v>
      </c>
      <c r="AC86" s="34">
        <v>0</v>
      </c>
      <c r="AD86" s="34">
        <v>0</v>
      </c>
      <c r="AE86" s="34">
        <v>0</v>
      </c>
      <c r="AF86" s="34">
        <v>0</v>
      </c>
      <c r="AG86" s="34">
        <v>0</v>
      </c>
      <c r="AH86" s="34">
        <v>0</v>
      </c>
      <c r="AI86" s="34">
        <v>0</v>
      </c>
      <c r="AJ86" s="34">
        <v>0</v>
      </c>
      <c r="AK86" s="34">
        <v>0</v>
      </c>
      <c r="AL86" s="34">
        <v>0</v>
      </c>
      <c r="AM86" s="34">
        <v>0</v>
      </c>
      <c r="AN86" s="34">
        <v>0</v>
      </c>
      <c r="AO86" s="34">
        <v>0</v>
      </c>
      <c r="AP86" s="34">
        <v>0</v>
      </c>
      <c r="AQ86" s="34">
        <v>0</v>
      </c>
      <c r="AR86" s="34">
        <v>1</v>
      </c>
      <c r="AS86" s="34">
        <v>0</v>
      </c>
      <c r="AT86" s="34">
        <v>0</v>
      </c>
      <c r="AU86" s="34">
        <v>1</v>
      </c>
      <c r="AV86" s="34">
        <v>1</v>
      </c>
      <c r="AW86" s="34">
        <v>0</v>
      </c>
      <c r="AX86" s="34">
        <v>1</v>
      </c>
      <c r="AY86" s="34">
        <v>0</v>
      </c>
      <c r="AZ86" s="34">
        <v>0</v>
      </c>
      <c r="BA86" s="34">
        <v>0</v>
      </c>
      <c r="BB86" s="34">
        <v>0</v>
      </c>
      <c r="BC86" s="34">
        <v>0</v>
      </c>
      <c r="BD86" s="34">
        <v>0</v>
      </c>
      <c r="BE86" s="21"/>
    </row>
    <row r="87" spans="1:57" x14ac:dyDescent="0.35">
      <c r="A87" s="33"/>
      <c r="B87" s="31"/>
      <c r="C87" s="32"/>
      <c r="D87" s="21"/>
      <c r="E87" s="21"/>
      <c r="F87" s="21"/>
      <c r="G87" s="21"/>
      <c r="H87" s="21"/>
      <c r="I87" s="21"/>
      <c r="J87" s="21"/>
      <c r="K87" s="21"/>
      <c r="L87" s="21"/>
      <c r="M87" s="21"/>
      <c r="N87" s="21"/>
      <c r="O87" s="21"/>
      <c r="P87" s="21"/>
      <c r="Q87" s="21"/>
      <c r="R87" s="21"/>
      <c r="S87" s="21"/>
      <c r="T87" s="21"/>
      <c r="U87" s="21"/>
      <c r="V87" s="21"/>
      <c r="W87" s="21"/>
      <c r="X87" s="21"/>
      <c r="Y87" s="21"/>
      <c r="Z87" s="21"/>
      <c r="AA87" s="21"/>
      <c r="AB87" s="21"/>
      <c r="AC87" s="21"/>
      <c r="AD87" s="21"/>
      <c r="AE87" s="21"/>
      <c r="AF87" s="21"/>
      <c r="AG87" s="21"/>
      <c r="AH87" s="21"/>
      <c r="AI87" s="21"/>
      <c r="AJ87" s="21"/>
      <c r="AK87" s="21"/>
      <c r="AL87" s="21"/>
      <c r="AM87" s="21"/>
      <c r="AN87" s="21"/>
      <c r="AO87" s="21"/>
      <c r="AP87" s="21"/>
      <c r="AQ87" s="21"/>
      <c r="AR87" s="21"/>
      <c r="AS87" s="21"/>
      <c r="AT87" s="21"/>
      <c r="AU87" s="21"/>
      <c r="AV87" s="21"/>
      <c r="AW87" s="21"/>
      <c r="AX87" s="21"/>
      <c r="AY87" s="21"/>
      <c r="AZ87" s="21"/>
      <c r="BA87" s="21"/>
      <c r="BB87" s="21"/>
      <c r="BC87" s="21"/>
      <c r="BD87" s="21"/>
      <c r="BE87" s="21"/>
    </row>
    <row r="88" spans="1:57" x14ac:dyDescent="0.35">
      <c r="A88" s="20" t="s">
        <v>79</v>
      </c>
      <c r="B88" s="29">
        <v>1689</v>
      </c>
      <c r="C88" s="30">
        <v>338.62692695562566</v>
      </c>
      <c r="D88" s="29">
        <v>22</v>
      </c>
      <c r="E88" s="29">
        <v>24</v>
      </c>
      <c r="F88" s="29">
        <v>27</v>
      </c>
      <c r="G88" s="29">
        <v>24</v>
      </c>
      <c r="H88" s="29">
        <v>23</v>
      </c>
      <c r="I88" s="29">
        <v>20</v>
      </c>
      <c r="J88" s="29">
        <v>21</v>
      </c>
      <c r="K88" s="29">
        <v>31</v>
      </c>
      <c r="L88" s="29">
        <v>19</v>
      </c>
      <c r="M88" s="29">
        <v>33</v>
      </c>
      <c r="N88" s="29">
        <v>23</v>
      </c>
      <c r="O88" s="29">
        <v>19</v>
      </c>
      <c r="P88" s="29">
        <v>15</v>
      </c>
      <c r="Q88" s="29">
        <v>20</v>
      </c>
      <c r="R88" s="29">
        <v>18</v>
      </c>
      <c r="S88" s="29">
        <v>20</v>
      </c>
      <c r="T88" s="29">
        <v>25</v>
      </c>
      <c r="U88" s="29">
        <v>24</v>
      </c>
      <c r="V88" s="29">
        <v>50</v>
      </c>
      <c r="W88" s="29">
        <v>23</v>
      </c>
      <c r="X88" s="29">
        <v>43</v>
      </c>
      <c r="Y88" s="29">
        <v>53</v>
      </c>
      <c r="Z88" s="29">
        <v>72</v>
      </c>
      <c r="AA88" s="29">
        <v>87</v>
      </c>
      <c r="AB88" s="29">
        <v>81</v>
      </c>
      <c r="AC88" s="29">
        <v>68</v>
      </c>
      <c r="AD88" s="29">
        <v>43</v>
      </c>
      <c r="AE88" s="29">
        <v>37</v>
      </c>
      <c r="AF88" s="29">
        <v>47</v>
      </c>
      <c r="AG88" s="29">
        <v>51</v>
      </c>
      <c r="AH88" s="29">
        <v>54</v>
      </c>
      <c r="AI88" s="29">
        <v>54</v>
      </c>
      <c r="AJ88" s="29">
        <v>63</v>
      </c>
      <c r="AK88" s="29">
        <v>26</v>
      </c>
      <c r="AL88" s="29">
        <v>38</v>
      </c>
      <c r="AM88" s="29">
        <v>35</v>
      </c>
      <c r="AN88" s="29">
        <v>41</v>
      </c>
      <c r="AO88" s="29">
        <v>38</v>
      </c>
      <c r="AP88" s="29">
        <v>42</v>
      </c>
      <c r="AQ88" s="29">
        <v>30</v>
      </c>
      <c r="AR88" s="29">
        <v>28</v>
      </c>
      <c r="AS88" s="29">
        <v>19</v>
      </c>
      <c r="AT88" s="29">
        <v>22</v>
      </c>
      <c r="AU88" s="29">
        <v>23</v>
      </c>
      <c r="AV88" s="29">
        <v>10</v>
      </c>
      <c r="AW88" s="29">
        <v>22</v>
      </c>
      <c r="AX88" s="29">
        <v>23</v>
      </c>
      <c r="AY88" s="29">
        <v>12</v>
      </c>
      <c r="AZ88" s="29">
        <v>13</v>
      </c>
      <c r="BA88" s="29">
        <v>12</v>
      </c>
      <c r="BB88" s="29">
        <v>9</v>
      </c>
      <c r="BC88" s="29">
        <v>10</v>
      </c>
      <c r="BD88" s="29">
        <v>2</v>
      </c>
      <c r="BE88" s="21"/>
    </row>
    <row r="89" spans="1:57" x14ac:dyDescent="0.35">
      <c r="A89" s="33" t="s">
        <v>80</v>
      </c>
      <c r="B89" s="34">
        <v>453</v>
      </c>
      <c r="C89" s="35">
        <v>323.33585530542035</v>
      </c>
      <c r="D89" s="34">
        <v>19</v>
      </c>
      <c r="E89" s="34">
        <v>12</v>
      </c>
      <c r="F89" s="34">
        <v>8</v>
      </c>
      <c r="G89" s="34">
        <v>9</v>
      </c>
      <c r="H89" s="34">
        <v>12</v>
      </c>
      <c r="I89" s="34">
        <v>9</v>
      </c>
      <c r="J89" s="34">
        <v>10</v>
      </c>
      <c r="K89" s="34">
        <v>6</v>
      </c>
      <c r="L89" s="34">
        <v>8</v>
      </c>
      <c r="M89" s="34">
        <v>16</v>
      </c>
      <c r="N89" s="34">
        <v>12</v>
      </c>
      <c r="O89" s="34">
        <v>11</v>
      </c>
      <c r="P89" s="34">
        <v>11</v>
      </c>
      <c r="Q89" s="34">
        <v>9</v>
      </c>
      <c r="R89" s="34">
        <v>8</v>
      </c>
      <c r="S89" s="34">
        <v>6</v>
      </c>
      <c r="T89" s="34">
        <v>7</v>
      </c>
      <c r="U89" s="34">
        <v>3</v>
      </c>
      <c r="V89" s="34">
        <v>10</v>
      </c>
      <c r="W89" s="34">
        <v>5</v>
      </c>
      <c r="X89" s="34">
        <v>5</v>
      </c>
      <c r="Y89" s="34">
        <v>8</v>
      </c>
      <c r="Z89" s="34">
        <v>8</v>
      </c>
      <c r="AA89" s="34">
        <v>8</v>
      </c>
      <c r="AB89" s="34">
        <v>18</v>
      </c>
      <c r="AC89" s="34">
        <v>8</v>
      </c>
      <c r="AD89" s="34">
        <v>4</v>
      </c>
      <c r="AE89" s="34">
        <v>9</v>
      </c>
      <c r="AF89" s="34">
        <v>15</v>
      </c>
      <c r="AG89" s="34">
        <v>16</v>
      </c>
      <c r="AH89" s="34">
        <v>14</v>
      </c>
      <c r="AI89" s="34">
        <v>11</v>
      </c>
      <c r="AJ89" s="34">
        <v>15</v>
      </c>
      <c r="AK89" s="34">
        <v>6</v>
      </c>
      <c r="AL89" s="34">
        <v>14</v>
      </c>
      <c r="AM89" s="34">
        <v>12</v>
      </c>
      <c r="AN89" s="34">
        <v>11</v>
      </c>
      <c r="AO89" s="34">
        <v>9</v>
      </c>
      <c r="AP89" s="34">
        <v>7</v>
      </c>
      <c r="AQ89" s="34">
        <v>5</v>
      </c>
      <c r="AR89" s="34">
        <v>7</v>
      </c>
      <c r="AS89" s="34">
        <v>7</v>
      </c>
      <c r="AT89" s="34">
        <v>7</v>
      </c>
      <c r="AU89" s="34">
        <v>5</v>
      </c>
      <c r="AV89" s="34">
        <v>1</v>
      </c>
      <c r="AW89" s="34">
        <v>8</v>
      </c>
      <c r="AX89" s="34">
        <v>3</v>
      </c>
      <c r="AY89" s="34">
        <v>5</v>
      </c>
      <c r="AZ89" s="34">
        <v>4</v>
      </c>
      <c r="BA89" s="34">
        <v>2</v>
      </c>
      <c r="BB89" s="34">
        <v>4</v>
      </c>
      <c r="BC89" s="34">
        <v>4</v>
      </c>
      <c r="BD89" s="34">
        <v>2</v>
      </c>
      <c r="BE89" s="21"/>
    </row>
    <row r="90" spans="1:57" x14ac:dyDescent="0.35">
      <c r="A90" s="33" t="s">
        <v>81</v>
      </c>
      <c r="B90" s="34">
        <v>70</v>
      </c>
      <c r="C90" s="35">
        <v>183.32765890579577</v>
      </c>
      <c r="D90" s="34">
        <v>0</v>
      </c>
      <c r="E90" s="34">
        <v>3</v>
      </c>
      <c r="F90" s="34">
        <v>9</v>
      </c>
      <c r="G90" s="34">
        <v>1</v>
      </c>
      <c r="H90" s="34">
        <v>2</v>
      </c>
      <c r="I90" s="34">
        <v>2</v>
      </c>
      <c r="J90" s="34">
        <v>1</v>
      </c>
      <c r="K90" s="34">
        <v>1</v>
      </c>
      <c r="L90" s="34">
        <v>1</v>
      </c>
      <c r="M90" s="34">
        <v>1</v>
      </c>
      <c r="N90" s="34">
        <v>4</v>
      </c>
      <c r="O90" s="34">
        <v>1</v>
      </c>
      <c r="P90" s="34">
        <v>0</v>
      </c>
      <c r="Q90" s="34">
        <v>0</v>
      </c>
      <c r="R90" s="34">
        <v>0</v>
      </c>
      <c r="S90" s="34">
        <v>1</v>
      </c>
      <c r="T90" s="34">
        <v>1</v>
      </c>
      <c r="U90" s="34">
        <v>1</v>
      </c>
      <c r="V90" s="34">
        <v>1</v>
      </c>
      <c r="W90" s="34">
        <v>1</v>
      </c>
      <c r="X90" s="34">
        <v>2</v>
      </c>
      <c r="Y90" s="34">
        <v>0</v>
      </c>
      <c r="Z90" s="34">
        <v>0</v>
      </c>
      <c r="AA90" s="34">
        <v>0</v>
      </c>
      <c r="AB90" s="34">
        <v>0</v>
      </c>
      <c r="AC90" s="34">
        <v>1</v>
      </c>
      <c r="AD90" s="34">
        <v>1</v>
      </c>
      <c r="AE90" s="34">
        <v>0</v>
      </c>
      <c r="AF90" s="34">
        <v>0</v>
      </c>
      <c r="AG90" s="34">
        <v>0</v>
      </c>
      <c r="AH90" s="34">
        <v>1</v>
      </c>
      <c r="AI90" s="34">
        <v>3</v>
      </c>
      <c r="AJ90" s="34">
        <v>4</v>
      </c>
      <c r="AK90" s="34">
        <v>2</v>
      </c>
      <c r="AL90" s="34">
        <v>3</v>
      </c>
      <c r="AM90" s="34">
        <v>1</v>
      </c>
      <c r="AN90" s="34">
        <v>1</v>
      </c>
      <c r="AO90" s="34">
        <v>1</v>
      </c>
      <c r="AP90" s="34">
        <v>3</v>
      </c>
      <c r="AQ90" s="34">
        <v>4</v>
      </c>
      <c r="AR90" s="34">
        <v>3</v>
      </c>
      <c r="AS90" s="34">
        <v>0</v>
      </c>
      <c r="AT90" s="34">
        <v>0</v>
      </c>
      <c r="AU90" s="34">
        <v>2</v>
      </c>
      <c r="AV90" s="34">
        <v>1</v>
      </c>
      <c r="AW90" s="34">
        <v>3</v>
      </c>
      <c r="AX90" s="34">
        <v>0</v>
      </c>
      <c r="AY90" s="34">
        <v>1</v>
      </c>
      <c r="AZ90" s="34">
        <v>2</v>
      </c>
      <c r="BA90" s="34">
        <v>0</v>
      </c>
      <c r="BB90" s="34">
        <v>0</v>
      </c>
      <c r="BC90" s="34">
        <v>0</v>
      </c>
      <c r="BD90" s="34">
        <v>0</v>
      </c>
      <c r="BE90" s="21"/>
    </row>
    <row r="91" spans="1:57" x14ac:dyDescent="0.35">
      <c r="A91" s="33" t="s">
        <v>82</v>
      </c>
      <c r="B91" s="34">
        <v>190</v>
      </c>
      <c r="C91" s="35">
        <v>355.56553634254061</v>
      </c>
      <c r="D91" s="34">
        <v>0</v>
      </c>
      <c r="E91" s="34">
        <v>0</v>
      </c>
      <c r="F91" s="34">
        <v>0</v>
      </c>
      <c r="G91" s="34">
        <v>0</v>
      </c>
      <c r="H91" s="34">
        <v>0</v>
      </c>
      <c r="I91" s="34">
        <v>0</v>
      </c>
      <c r="J91" s="34">
        <v>0</v>
      </c>
      <c r="K91" s="34">
        <v>0</v>
      </c>
      <c r="L91" s="34">
        <v>0</v>
      </c>
      <c r="M91" s="34">
        <v>0</v>
      </c>
      <c r="N91" s="34">
        <v>0</v>
      </c>
      <c r="O91" s="34">
        <v>0</v>
      </c>
      <c r="P91" s="34">
        <v>0</v>
      </c>
      <c r="Q91" s="34">
        <v>0</v>
      </c>
      <c r="R91" s="34">
        <v>2</v>
      </c>
      <c r="S91" s="34">
        <v>0</v>
      </c>
      <c r="T91" s="34">
        <v>0</v>
      </c>
      <c r="U91" s="34">
        <v>0</v>
      </c>
      <c r="V91" s="34">
        <v>4</v>
      </c>
      <c r="W91" s="34">
        <v>1</v>
      </c>
      <c r="X91" s="34">
        <v>2</v>
      </c>
      <c r="Y91" s="34">
        <v>4</v>
      </c>
      <c r="Z91" s="34">
        <v>4</v>
      </c>
      <c r="AA91" s="34">
        <v>12</v>
      </c>
      <c r="AB91" s="34">
        <v>8</v>
      </c>
      <c r="AC91" s="34">
        <v>14</v>
      </c>
      <c r="AD91" s="34">
        <v>8</v>
      </c>
      <c r="AE91" s="34">
        <v>4</v>
      </c>
      <c r="AF91" s="34">
        <v>8</v>
      </c>
      <c r="AG91" s="34">
        <v>8</v>
      </c>
      <c r="AH91" s="34">
        <v>6</v>
      </c>
      <c r="AI91" s="34">
        <v>4</v>
      </c>
      <c r="AJ91" s="34">
        <v>10</v>
      </c>
      <c r="AK91" s="34">
        <v>4</v>
      </c>
      <c r="AL91" s="34">
        <v>5</v>
      </c>
      <c r="AM91" s="34">
        <v>7</v>
      </c>
      <c r="AN91" s="34">
        <v>10</v>
      </c>
      <c r="AO91" s="34">
        <v>8</v>
      </c>
      <c r="AP91" s="34">
        <v>9</v>
      </c>
      <c r="AQ91" s="34">
        <v>7</v>
      </c>
      <c r="AR91" s="34">
        <v>8</v>
      </c>
      <c r="AS91" s="34">
        <v>4</v>
      </c>
      <c r="AT91" s="34">
        <v>3</v>
      </c>
      <c r="AU91" s="34">
        <v>6</v>
      </c>
      <c r="AV91" s="34">
        <v>2</v>
      </c>
      <c r="AW91" s="34">
        <v>3</v>
      </c>
      <c r="AX91" s="34">
        <v>4</v>
      </c>
      <c r="AY91" s="34">
        <v>4</v>
      </c>
      <c r="AZ91" s="34">
        <v>1</v>
      </c>
      <c r="BA91" s="34">
        <v>6</v>
      </c>
      <c r="BB91" s="34">
        <v>0</v>
      </c>
      <c r="BC91" s="34">
        <v>0</v>
      </c>
      <c r="BD91" s="34">
        <v>0</v>
      </c>
      <c r="BE91" s="21"/>
    </row>
    <row r="92" spans="1:57" x14ac:dyDescent="0.35">
      <c r="A92" s="33" t="s">
        <v>83</v>
      </c>
      <c r="B92" s="34">
        <v>9</v>
      </c>
      <c r="C92" s="35">
        <v>62.835998045102286</v>
      </c>
      <c r="D92" s="34">
        <v>0</v>
      </c>
      <c r="E92" s="34">
        <v>0</v>
      </c>
      <c r="F92" s="34">
        <v>0</v>
      </c>
      <c r="G92" s="34">
        <v>0</v>
      </c>
      <c r="H92" s="34">
        <v>0</v>
      </c>
      <c r="I92" s="34">
        <v>0</v>
      </c>
      <c r="J92" s="34">
        <v>0</v>
      </c>
      <c r="K92" s="34">
        <v>0</v>
      </c>
      <c r="L92" s="34">
        <v>0</v>
      </c>
      <c r="M92" s="34">
        <v>0</v>
      </c>
      <c r="N92" s="34">
        <v>0</v>
      </c>
      <c r="O92" s="34">
        <v>0</v>
      </c>
      <c r="P92" s="34">
        <v>0</v>
      </c>
      <c r="Q92" s="34">
        <v>0</v>
      </c>
      <c r="R92" s="34">
        <v>0</v>
      </c>
      <c r="S92" s="34">
        <v>0</v>
      </c>
      <c r="T92" s="34">
        <v>0</v>
      </c>
      <c r="U92" s="34">
        <v>0</v>
      </c>
      <c r="V92" s="34">
        <v>0</v>
      </c>
      <c r="W92" s="34">
        <v>0</v>
      </c>
      <c r="X92" s="34">
        <v>0</v>
      </c>
      <c r="Y92" s="34">
        <v>0</v>
      </c>
      <c r="Z92" s="34">
        <v>0</v>
      </c>
      <c r="AA92" s="34">
        <v>0</v>
      </c>
      <c r="AB92" s="34">
        <v>0</v>
      </c>
      <c r="AC92" s="34">
        <v>0</v>
      </c>
      <c r="AD92" s="34">
        <v>0</v>
      </c>
      <c r="AE92" s="34">
        <v>0</v>
      </c>
      <c r="AF92" s="34">
        <v>1</v>
      </c>
      <c r="AG92" s="34">
        <v>1</v>
      </c>
      <c r="AH92" s="34">
        <v>0</v>
      </c>
      <c r="AI92" s="34">
        <v>0</v>
      </c>
      <c r="AJ92" s="34">
        <v>0</v>
      </c>
      <c r="AK92" s="34">
        <v>0</v>
      </c>
      <c r="AL92" s="34">
        <v>0</v>
      </c>
      <c r="AM92" s="34">
        <v>0</v>
      </c>
      <c r="AN92" s="34">
        <v>0</v>
      </c>
      <c r="AO92" s="34">
        <v>0</v>
      </c>
      <c r="AP92" s="34">
        <v>0</v>
      </c>
      <c r="AQ92" s="34">
        <v>2</v>
      </c>
      <c r="AR92" s="34">
        <v>0</v>
      </c>
      <c r="AS92" s="34">
        <v>0</v>
      </c>
      <c r="AT92" s="34">
        <v>0</v>
      </c>
      <c r="AU92" s="34">
        <v>0</v>
      </c>
      <c r="AV92" s="34">
        <v>0</v>
      </c>
      <c r="AW92" s="34">
        <v>2</v>
      </c>
      <c r="AX92" s="34">
        <v>0</v>
      </c>
      <c r="AY92" s="34">
        <v>2</v>
      </c>
      <c r="AZ92" s="34">
        <v>0</v>
      </c>
      <c r="BA92" s="34">
        <v>0</v>
      </c>
      <c r="BB92" s="34">
        <v>1</v>
      </c>
      <c r="BC92" s="34">
        <v>0</v>
      </c>
      <c r="BD92" s="34">
        <v>0</v>
      </c>
      <c r="BE92" s="21"/>
    </row>
    <row r="93" spans="1:57" x14ac:dyDescent="0.35">
      <c r="A93" s="33" t="s">
        <v>84</v>
      </c>
      <c r="B93" s="34">
        <v>22</v>
      </c>
      <c r="C93" s="35">
        <v>70.650952182151002</v>
      </c>
      <c r="D93" s="34">
        <v>0</v>
      </c>
      <c r="E93" s="34">
        <v>2</v>
      </c>
      <c r="F93" s="34">
        <v>1</v>
      </c>
      <c r="G93" s="34">
        <v>0</v>
      </c>
      <c r="H93" s="34">
        <v>0</v>
      </c>
      <c r="I93" s="34">
        <v>0</v>
      </c>
      <c r="J93" s="34">
        <v>1</v>
      </c>
      <c r="K93" s="34">
        <v>0</v>
      </c>
      <c r="L93" s="34">
        <v>0</v>
      </c>
      <c r="M93" s="34">
        <v>0</v>
      </c>
      <c r="N93" s="34">
        <v>0</v>
      </c>
      <c r="O93" s="34">
        <v>0</v>
      </c>
      <c r="P93" s="34">
        <v>0</v>
      </c>
      <c r="Q93" s="34">
        <v>0</v>
      </c>
      <c r="R93" s="34">
        <v>0</v>
      </c>
      <c r="S93" s="34">
        <v>0</v>
      </c>
      <c r="T93" s="34">
        <v>0</v>
      </c>
      <c r="U93" s="34">
        <v>0</v>
      </c>
      <c r="V93" s="34">
        <v>2</v>
      </c>
      <c r="W93" s="34">
        <v>0</v>
      </c>
      <c r="X93" s="34">
        <v>2</v>
      </c>
      <c r="Y93" s="34">
        <v>2</v>
      </c>
      <c r="Z93" s="34">
        <v>4</v>
      </c>
      <c r="AA93" s="34">
        <v>0</v>
      </c>
      <c r="AB93" s="34">
        <v>1</v>
      </c>
      <c r="AC93" s="34">
        <v>0</v>
      </c>
      <c r="AD93" s="34">
        <v>0</v>
      </c>
      <c r="AE93" s="34">
        <v>0</v>
      </c>
      <c r="AF93" s="34">
        <v>0</v>
      </c>
      <c r="AG93" s="34">
        <v>0</v>
      </c>
      <c r="AH93" s="34">
        <v>0</v>
      </c>
      <c r="AI93" s="34">
        <v>2</v>
      </c>
      <c r="AJ93" s="34">
        <v>0</v>
      </c>
      <c r="AK93" s="34">
        <v>1</v>
      </c>
      <c r="AL93" s="34">
        <v>0</v>
      </c>
      <c r="AM93" s="34">
        <v>0</v>
      </c>
      <c r="AN93" s="34">
        <v>0</v>
      </c>
      <c r="AO93" s="34">
        <v>1</v>
      </c>
      <c r="AP93" s="34">
        <v>0</v>
      </c>
      <c r="AQ93" s="34">
        <v>0</v>
      </c>
      <c r="AR93" s="34">
        <v>0</v>
      </c>
      <c r="AS93" s="34">
        <v>0</v>
      </c>
      <c r="AT93" s="34">
        <v>0</v>
      </c>
      <c r="AU93" s="34">
        <v>0</v>
      </c>
      <c r="AV93" s="34">
        <v>0</v>
      </c>
      <c r="AW93" s="34">
        <v>1</v>
      </c>
      <c r="AX93" s="34">
        <v>2</v>
      </c>
      <c r="AY93" s="34">
        <v>0</v>
      </c>
      <c r="AZ93" s="34">
        <v>0</v>
      </c>
      <c r="BA93" s="34">
        <v>0</v>
      </c>
      <c r="BB93" s="34">
        <v>0</v>
      </c>
      <c r="BC93" s="34">
        <v>0</v>
      </c>
      <c r="BD93" s="34">
        <v>0</v>
      </c>
      <c r="BE93" s="21"/>
    </row>
    <row r="94" spans="1:57" x14ac:dyDescent="0.35">
      <c r="A94" s="33" t="s">
        <v>85</v>
      </c>
      <c r="B94" s="34">
        <v>58</v>
      </c>
      <c r="C94" s="35">
        <v>175.39084943602771</v>
      </c>
      <c r="D94" s="34">
        <v>0</v>
      </c>
      <c r="E94" s="34">
        <v>1</v>
      </c>
      <c r="F94" s="34">
        <v>2</v>
      </c>
      <c r="G94" s="34">
        <v>3</v>
      </c>
      <c r="H94" s="34">
        <v>2</v>
      </c>
      <c r="I94" s="34">
        <v>2</v>
      </c>
      <c r="J94" s="34">
        <v>2</v>
      </c>
      <c r="K94" s="34">
        <v>2</v>
      </c>
      <c r="L94" s="34">
        <v>0</v>
      </c>
      <c r="M94" s="34">
        <v>0</v>
      </c>
      <c r="N94" s="34">
        <v>0</v>
      </c>
      <c r="O94" s="34">
        <v>1</v>
      </c>
      <c r="P94" s="34">
        <v>0</v>
      </c>
      <c r="Q94" s="34">
        <v>0</v>
      </c>
      <c r="R94" s="34">
        <v>1</v>
      </c>
      <c r="S94" s="34">
        <v>0</v>
      </c>
      <c r="T94" s="34">
        <v>1</v>
      </c>
      <c r="U94" s="34">
        <v>0</v>
      </c>
      <c r="V94" s="34">
        <v>0</v>
      </c>
      <c r="W94" s="34">
        <v>0</v>
      </c>
      <c r="X94" s="34">
        <v>1</v>
      </c>
      <c r="Y94" s="34">
        <v>0</v>
      </c>
      <c r="Z94" s="34">
        <v>0</v>
      </c>
      <c r="AA94" s="34">
        <v>1</v>
      </c>
      <c r="AB94" s="34">
        <v>3</v>
      </c>
      <c r="AC94" s="34">
        <v>1</v>
      </c>
      <c r="AD94" s="34">
        <v>2</v>
      </c>
      <c r="AE94" s="34">
        <v>1</v>
      </c>
      <c r="AF94" s="34">
        <v>0</v>
      </c>
      <c r="AG94" s="34">
        <v>0</v>
      </c>
      <c r="AH94" s="34">
        <v>1</v>
      </c>
      <c r="AI94" s="34">
        <v>3</v>
      </c>
      <c r="AJ94" s="34">
        <v>0</v>
      </c>
      <c r="AK94" s="34">
        <v>0</v>
      </c>
      <c r="AL94" s="34">
        <v>2</v>
      </c>
      <c r="AM94" s="34">
        <v>2</v>
      </c>
      <c r="AN94" s="34">
        <v>4</v>
      </c>
      <c r="AO94" s="34">
        <v>1</v>
      </c>
      <c r="AP94" s="34">
        <v>7</v>
      </c>
      <c r="AQ94" s="34">
        <v>1</v>
      </c>
      <c r="AR94" s="34">
        <v>2</v>
      </c>
      <c r="AS94" s="34">
        <v>1</v>
      </c>
      <c r="AT94" s="34">
        <v>2</v>
      </c>
      <c r="AU94" s="34">
        <v>0</v>
      </c>
      <c r="AV94" s="34">
        <v>0</v>
      </c>
      <c r="AW94" s="34">
        <v>0</v>
      </c>
      <c r="AX94" s="34">
        <v>1</v>
      </c>
      <c r="AY94" s="34">
        <v>0</v>
      </c>
      <c r="AZ94" s="34">
        <v>2</v>
      </c>
      <c r="BA94" s="34">
        <v>0</v>
      </c>
      <c r="BB94" s="34">
        <v>1</v>
      </c>
      <c r="BC94" s="34">
        <v>2</v>
      </c>
      <c r="BD94" s="34">
        <v>0</v>
      </c>
      <c r="BE94" s="21"/>
    </row>
    <row r="95" spans="1:57" x14ac:dyDescent="0.35">
      <c r="A95" s="33" t="s">
        <v>86</v>
      </c>
      <c r="B95" s="34">
        <v>206</v>
      </c>
      <c r="C95" s="35">
        <v>452.02203058828695</v>
      </c>
      <c r="D95" s="34">
        <v>1</v>
      </c>
      <c r="E95" s="34">
        <v>2</v>
      </c>
      <c r="F95" s="34">
        <v>2</v>
      </c>
      <c r="G95" s="34">
        <v>2</v>
      </c>
      <c r="H95" s="34">
        <v>2</v>
      </c>
      <c r="I95" s="34">
        <v>0</v>
      </c>
      <c r="J95" s="34">
        <v>2</v>
      </c>
      <c r="K95" s="34">
        <v>5</v>
      </c>
      <c r="L95" s="34">
        <v>1</v>
      </c>
      <c r="M95" s="34">
        <v>0</v>
      </c>
      <c r="N95" s="34">
        <v>1</v>
      </c>
      <c r="O95" s="34">
        <v>0</v>
      </c>
      <c r="P95" s="34">
        <v>0</v>
      </c>
      <c r="Q95" s="34">
        <v>0</v>
      </c>
      <c r="R95" s="34">
        <v>0</v>
      </c>
      <c r="S95" s="34">
        <v>0</v>
      </c>
      <c r="T95" s="34">
        <v>1</v>
      </c>
      <c r="U95" s="34">
        <v>0</v>
      </c>
      <c r="V95" s="34">
        <v>9</v>
      </c>
      <c r="W95" s="34">
        <v>2</v>
      </c>
      <c r="X95" s="34">
        <v>3</v>
      </c>
      <c r="Y95" s="34">
        <v>10</v>
      </c>
      <c r="Z95" s="34">
        <v>9</v>
      </c>
      <c r="AA95" s="34">
        <v>11</v>
      </c>
      <c r="AB95" s="34">
        <v>14</v>
      </c>
      <c r="AC95" s="34">
        <v>9</v>
      </c>
      <c r="AD95" s="34">
        <v>7</v>
      </c>
      <c r="AE95" s="34">
        <v>12</v>
      </c>
      <c r="AF95" s="34">
        <v>14</v>
      </c>
      <c r="AG95" s="34">
        <v>8</v>
      </c>
      <c r="AH95" s="34">
        <v>13</v>
      </c>
      <c r="AI95" s="34">
        <v>8</v>
      </c>
      <c r="AJ95" s="34">
        <v>15</v>
      </c>
      <c r="AK95" s="34">
        <v>6</v>
      </c>
      <c r="AL95" s="34">
        <v>4</v>
      </c>
      <c r="AM95" s="34">
        <v>5</v>
      </c>
      <c r="AN95" s="34">
        <v>4</v>
      </c>
      <c r="AO95" s="34">
        <v>8</v>
      </c>
      <c r="AP95" s="34">
        <v>4</v>
      </c>
      <c r="AQ95" s="34">
        <v>2</v>
      </c>
      <c r="AR95" s="34">
        <v>2</v>
      </c>
      <c r="AS95" s="34">
        <v>2</v>
      </c>
      <c r="AT95" s="34">
        <v>4</v>
      </c>
      <c r="AU95" s="34">
        <v>2</v>
      </c>
      <c r="AV95" s="34">
        <v>0</v>
      </c>
      <c r="AW95" s="34">
        <v>0</v>
      </c>
      <c r="AX95" s="34">
        <v>0</v>
      </c>
      <c r="AY95" s="34">
        <v>0</v>
      </c>
      <c r="AZ95" s="34">
        <v>0</v>
      </c>
      <c r="BA95" s="34">
        <v>0</v>
      </c>
      <c r="BB95" s="34">
        <v>0</v>
      </c>
      <c r="BC95" s="34">
        <v>0</v>
      </c>
      <c r="BD95" s="34">
        <v>0</v>
      </c>
      <c r="BE95" s="21"/>
    </row>
    <row r="96" spans="1:57" x14ac:dyDescent="0.35">
      <c r="A96" s="33" t="s">
        <v>87</v>
      </c>
      <c r="B96" s="34">
        <v>11</v>
      </c>
      <c r="C96" s="35">
        <v>24.826216484607745</v>
      </c>
      <c r="D96" s="34">
        <v>0</v>
      </c>
      <c r="E96" s="34">
        <v>0</v>
      </c>
      <c r="F96" s="34">
        <v>1</v>
      </c>
      <c r="G96" s="34">
        <v>0</v>
      </c>
      <c r="H96" s="34">
        <v>0</v>
      </c>
      <c r="I96" s="34">
        <v>0</v>
      </c>
      <c r="J96" s="34">
        <v>0</v>
      </c>
      <c r="K96" s="34">
        <v>0</v>
      </c>
      <c r="L96" s="34">
        <v>0</v>
      </c>
      <c r="M96" s="34">
        <v>0</v>
      </c>
      <c r="N96" s="34">
        <v>0</v>
      </c>
      <c r="O96" s="34">
        <v>0</v>
      </c>
      <c r="P96" s="34">
        <v>0</v>
      </c>
      <c r="Q96" s="34">
        <v>0</v>
      </c>
      <c r="R96" s="34">
        <v>0</v>
      </c>
      <c r="S96" s="34">
        <v>0</v>
      </c>
      <c r="T96" s="34">
        <v>0</v>
      </c>
      <c r="U96" s="34">
        <v>0</v>
      </c>
      <c r="V96" s="34">
        <v>2</v>
      </c>
      <c r="W96" s="34">
        <v>0</v>
      </c>
      <c r="X96" s="34">
        <v>0</v>
      </c>
      <c r="Y96" s="34">
        <v>0</v>
      </c>
      <c r="Z96" s="34">
        <v>1</v>
      </c>
      <c r="AA96" s="34">
        <v>0</v>
      </c>
      <c r="AB96" s="34">
        <v>0</v>
      </c>
      <c r="AC96" s="34">
        <v>2</v>
      </c>
      <c r="AD96" s="34">
        <v>0</v>
      </c>
      <c r="AE96" s="34">
        <v>0</v>
      </c>
      <c r="AF96" s="34">
        <v>0</v>
      </c>
      <c r="AG96" s="34">
        <v>0</v>
      </c>
      <c r="AH96" s="34">
        <v>1</v>
      </c>
      <c r="AI96" s="34">
        <v>3</v>
      </c>
      <c r="AJ96" s="34">
        <v>0</v>
      </c>
      <c r="AK96" s="34">
        <v>0</v>
      </c>
      <c r="AL96" s="34">
        <v>1</v>
      </c>
      <c r="AM96" s="34">
        <v>0</v>
      </c>
      <c r="AN96" s="34">
        <v>0</v>
      </c>
      <c r="AO96" s="34">
        <v>0</v>
      </c>
      <c r="AP96" s="34">
        <v>0</v>
      </c>
      <c r="AQ96" s="34">
        <v>0</v>
      </c>
      <c r="AR96" s="34">
        <v>0</v>
      </c>
      <c r="AS96" s="34">
        <v>0</v>
      </c>
      <c r="AT96" s="34">
        <v>0</v>
      </c>
      <c r="AU96" s="34">
        <v>0</v>
      </c>
      <c r="AV96" s="34">
        <v>0</v>
      </c>
      <c r="AW96" s="34">
        <v>0</v>
      </c>
      <c r="AX96" s="34">
        <v>0</v>
      </c>
      <c r="AY96" s="34">
        <v>0</v>
      </c>
      <c r="AZ96" s="34">
        <v>0</v>
      </c>
      <c r="BA96" s="34">
        <v>0</v>
      </c>
      <c r="BB96" s="34">
        <v>0</v>
      </c>
      <c r="BC96" s="34">
        <v>0</v>
      </c>
      <c r="BD96" s="34">
        <v>0</v>
      </c>
      <c r="BE96" s="21"/>
    </row>
    <row r="97" spans="1:57" x14ac:dyDescent="0.35">
      <c r="A97" s="33" t="s">
        <v>88</v>
      </c>
      <c r="B97" s="34">
        <v>37</v>
      </c>
      <c r="C97" s="35">
        <v>183.17738501906035</v>
      </c>
      <c r="D97" s="34">
        <v>0</v>
      </c>
      <c r="E97" s="34">
        <v>1</v>
      </c>
      <c r="F97" s="34">
        <v>0</v>
      </c>
      <c r="G97" s="34">
        <v>0</v>
      </c>
      <c r="H97" s="34">
        <v>2</v>
      </c>
      <c r="I97" s="34">
        <v>0</v>
      </c>
      <c r="J97" s="34">
        <v>0</v>
      </c>
      <c r="K97" s="34">
        <v>0</v>
      </c>
      <c r="L97" s="34">
        <v>1</v>
      </c>
      <c r="M97" s="34">
        <v>0</v>
      </c>
      <c r="N97" s="34">
        <v>0</v>
      </c>
      <c r="O97" s="34">
        <v>1</v>
      </c>
      <c r="P97" s="34">
        <v>1</v>
      </c>
      <c r="Q97" s="34">
        <v>0</v>
      </c>
      <c r="R97" s="34">
        <v>0</v>
      </c>
      <c r="S97" s="34">
        <v>0</v>
      </c>
      <c r="T97" s="34">
        <v>0</v>
      </c>
      <c r="U97" s="34">
        <v>0</v>
      </c>
      <c r="V97" s="34">
        <v>0</v>
      </c>
      <c r="W97" s="34">
        <v>0</v>
      </c>
      <c r="X97" s="34">
        <v>0</v>
      </c>
      <c r="Y97" s="34">
        <v>0</v>
      </c>
      <c r="Z97" s="34">
        <v>1</v>
      </c>
      <c r="AA97" s="34">
        <v>1</v>
      </c>
      <c r="AB97" s="34">
        <v>0</v>
      </c>
      <c r="AC97" s="34">
        <v>1</v>
      </c>
      <c r="AD97" s="34">
        <v>2</v>
      </c>
      <c r="AE97" s="34">
        <v>0</v>
      </c>
      <c r="AF97" s="34">
        <v>1</v>
      </c>
      <c r="AG97" s="34">
        <v>0</v>
      </c>
      <c r="AH97" s="34">
        <v>2</v>
      </c>
      <c r="AI97" s="34">
        <v>2</v>
      </c>
      <c r="AJ97" s="34">
        <v>0</v>
      </c>
      <c r="AK97" s="34">
        <v>1</v>
      </c>
      <c r="AL97" s="34">
        <v>1</v>
      </c>
      <c r="AM97" s="34">
        <v>2</v>
      </c>
      <c r="AN97" s="34">
        <v>2</v>
      </c>
      <c r="AO97" s="34">
        <v>2</v>
      </c>
      <c r="AP97" s="34">
        <v>1</v>
      </c>
      <c r="AQ97" s="34">
        <v>2</v>
      </c>
      <c r="AR97" s="34">
        <v>0</v>
      </c>
      <c r="AS97" s="34">
        <v>2</v>
      </c>
      <c r="AT97" s="34">
        <v>1</v>
      </c>
      <c r="AU97" s="34">
        <v>2</v>
      </c>
      <c r="AV97" s="34">
        <v>1</v>
      </c>
      <c r="AW97" s="34">
        <v>0</v>
      </c>
      <c r="AX97" s="34">
        <v>1</v>
      </c>
      <c r="AY97" s="34">
        <v>0</v>
      </c>
      <c r="AZ97" s="34">
        <v>1</v>
      </c>
      <c r="BA97" s="34">
        <v>0</v>
      </c>
      <c r="BB97" s="34">
        <v>1</v>
      </c>
      <c r="BC97" s="34">
        <v>1</v>
      </c>
      <c r="BD97" s="34">
        <v>0</v>
      </c>
      <c r="BE97" s="21"/>
    </row>
    <row r="98" spans="1:57" x14ac:dyDescent="0.35">
      <c r="A98" s="33" t="s">
        <v>89</v>
      </c>
      <c r="B98" s="34">
        <v>605</v>
      </c>
      <c r="C98" s="35">
        <v>1154.1616589404607</v>
      </c>
      <c r="D98" s="34">
        <v>2</v>
      </c>
      <c r="E98" s="34">
        <v>2</v>
      </c>
      <c r="F98" s="34">
        <v>2</v>
      </c>
      <c r="G98" s="34">
        <v>8</v>
      </c>
      <c r="H98" s="34">
        <v>3</v>
      </c>
      <c r="I98" s="34">
        <v>5</v>
      </c>
      <c r="J98" s="34">
        <v>5</v>
      </c>
      <c r="K98" s="34">
        <v>15</v>
      </c>
      <c r="L98" s="34">
        <v>6</v>
      </c>
      <c r="M98" s="34">
        <v>13</v>
      </c>
      <c r="N98" s="34">
        <v>6</v>
      </c>
      <c r="O98" s="34">
        <v>4</v>
      </c>
      <c r="P98" s="34">
        <v>3</v>
      </c>
      <c r="Q98" s="34">
        <v>11</v>
      </c>
      <c r="R98" s="34">
        <v>7</v>
      </c>
      <c r="S98" s="34">
        <v>13</v>
      </c>
      <c r="T98" s="34">
        <v>15</v>
      </c>
      <c r="U98" s="34">
        <v>20</v>
      </c>
      <c r="V98" s="34">
        <v>22</v>
      </c>
      <c r="W98" s="34">
        <v>14</v>
      </c>
      <c r="X98" s="34">
        <v>28</v>
      </c>
      <c r="Y98" s="34">
        <v>29</v>
      </c>
      <c r="Z98" s="34">
        <v>45</v>
      </c>
      <c r="AA98" s="34">
        <v>54</v>
      </c>
      <c r="AB98" s="34">
        <v>37</v>
      </c>
      <c r="AC98" s="34">
        <v>32</v>
      </c>
      <c r="AD98" s="34">
        <v>19</v>
      </c>
      <c r="AE98" s="34">
        <v>11</v>
      </c>
      <c r="AF98" s="34">
        <v>8</v>
      </c>
      <c r="AG98" s="34">
        <v>18</v>
      </c>
      <c r="AH98" s="34">
        <v>16</v>
      </c>
      <c r="AI98" s="34">
        <v>18</v>
      </c>
      <c r="AJ98" s="34">
        <v>19</v>
      </c>
      <c r="AK98" s="34">
        <v>6</v>
      </c>
      <c r="AL98" s="34">
        <v>8</v>
      </c>
      <c r="AM98" s="34">
        <v>6</v>
      </c>
      <c r="AN98" s="34">
        <v>9</v>
      </c>
      <c r="AO98" s="34">
        <v>8</v>
      </c>
      <c r="AP98" s="34">
        <v>10</v>
      </c>
      <c r="AQ98" s="34">
        <v>7</v>
      </c>
      <c r="AR98" s="34">
        <v>6</v>
      </c>
      <c r="AS98" s="34">
        <v>3</v>
      </c>
      <c r="AT98" s="34">
        <v>5</v>
      </c>
      <c r="AU98" s="34">
        <v>6</v>
      </c>
      <c r="AV98" s="34">
        <v>3</v>
      </c>
      <c r="AW98" s="34">
        <v>4</v>
      </c>
      <c r="AX98" s="34">
        <v>8</v>
      </c>
      <c r="AY98" s="34">
        <v>0</v>
      </c>
      <c r="AZ98" s="34">
        <v>2</v>
      </c>
      <c r="BA98" s="34">
        <v>2</v>
      </c>
      <c r="BB98" s="34">
        <v>0</v>
      </c>
      <c r="BC98" s="34">
        <v>2</v>
      </c>
      <c r="BD98" s="34">
        <v>0</v>
      </c>
      <c r="BE98" s="21"/>
    </row>
    <row r="99" spans="1:57" x14ac:dyDescent="0.35">
      <c r="A99" s="33" t="s">
        <v>90</v>
      </c>
      <c r="B99" s="34">
        <v>28</v>
      </c>
      <c r="C99" s="35">
        <v>107.57645612417396</v>
      </c>
      <c r="D99" s="34">
        <v>0</v>
      </c>
      <c r="E99" s="34">
        <v>1</v>
      </c>
      <c r="F99" s="34">
        <v>2</v>
      </c>
      <c r="G99" s="34">
        <v>1</v>
      </c>
      <c r="H99" s="34">
        <v>0</v>
      </c>
      <c r="I99" s="34">
        <v>2</v>
      </c>
      <c r="J99" s="34">
        <v>0</v>
      </c>
      <c r="K99" s="34">
        <v>2</v>
      </c>
      <c r="L99" s="34">
        <v>2</v>
      </c>
      <c r="M99" s="34">
        <v>3</v>
      </c>
      <c r="N99" s="34">
        <v>0</v>
      </c>
      <c r="O99" s="34">
        <v>1</v>
      </c>
      <c r="P99" s="34">
        <v>0</v>
      </c>
      <c r="Q99" s="34">
        <v>0</v>
      </c>
      <c r="R99" s="34">
        <v>0</v>
      </c>
      <c r="S99" s="34">
        <v>0</v>
      </c>
      <c r="T99" s="34">
        <v>0</v>
      </c>
      <c r="U99" s="34">
        <v>0</v>
      </c>
      <c r="V99" s="34">
        <v>0</v>
      </c>
      <c r="W99" s="34">
        <v>0</v>
      </c>
      <c r="X99" s="34">
        <v>0</v>
      </c>
      <c r="Y99" s="34">
        <v>0</v>
      </c>
      <c r="Z99" s="34">
        <v>0</v>
      </c>
      <c r="AA99" s="34">
        <v>0</v>
      </c>
      <c r="AB99" s="34">
        <v>0</v>
      </c>
      <c r="AC99" s="34">
        <v>0</v>
      </c>
      <c r="AD99" s="34">
        <v>0</v>
      </c>
      <c r="AE99" s="34">
        <v>0</v>
      </c>
      <c r="AF99" s="34">
        <v>0</v>
      </c>
      <c r="AG99" s="34">
        <v>0</v>
      </c>
      <c r="AH99" s="34">
        <v>0</v>
      </c>
      <c r="AI99" s="34">
        <v>0</v>
      </c>
      <c r="AJ99" s="34">
        <v>0</v>
      </c>
      <c r="AK99" s="34">
        <v>0</v>
      </c>
      <c r="AL99" s="34">
        <v>0</v>
      </c>
      <c r="AM99" s="34">
        <v>0</v>
      </c>
      <c r="AN99" s="34">
        <v>0</v>
      </c>
      <c r="AO99" s="34">
        <v>0</v>
      </c>
      <c r="AP99" s="34">
        <v>1</v>
      </c>
      <c r="AQ99" s="34">
        <v>0</v>
      </c>
      <c r="AR99" s="34">
        <v>0</v>
      </c>
      <c r="AS99" s="34">
        <v>0</v>
      </c>
      <c r="AT99" s="34">
        <v>0</v>
      </c>
      <c r="AU99" s="34">
        <v>0</v>
      </c>
      <c r="AV99" s="34">
        <v>2</v>
      </c>
      <c r="AW99" s="34">
        <v>1</v>
      </c>
      <c r="AX99" s="34">
        <v>4</v>
      </c>
      <c r="AY99" s="34">
        <v>0</v>
      </c>
      <c r="AZ99" s="34">
        <v>1</v>
      </c>
      <c r="BA99" s="34">
        <v>2</v>
      </c>
      <c r="BB99" s="34">
        <v>2</v>
      </c>
      <c r="BC99" s="34">
        <v>1</v>
      </c>
      <c r="BD99" s="34">
        <v>0</v>
      </c>
      <c r="BE99" s="21"/>
    </row>
    <row r="100" spans="1:57" x14ac:dyDescent="0.35">
      <c r="A100" s="33"/>
      <c r="B100" s="31"/>
      <c r="C100" s="32"/>
      <c r="D100" s="21"/>
      <c r="E100" s="21"/>
      <c r="F100" s="21"/>
      <c r="G100" s="21"/>
      <c r="H100" s="21"/>
      <c r="I100" s="21"/>
      <c r="J100" s="21"/>
      <c r="K100" s="21"/>
      <c r="L100" s="21"/>
      <c r="M100" s="21"/>
      <c r="N100" s="21"/>
      <c r="O100" s="21"/>
      <c r="P100" s="21"/>
      <c r="Q100" s="21"/>
      <c r="R100" s="21"/>
      <c r="S100" s="21"/>
      <c r="T100" s="21"/>
      <c r="U100" s="21"/>
      <c r="V100" s="21"/>
      <c r="W100" s="21"/>
      <c r="X100" s="21"/>
      <c r="Y100" s="21"/>
      <c r="Z100" s="21"/>
      <c r="AA100" s="21"/>
      <c r="AB100" s="21"/>
      <c r="AC100" s="21"/>
      <c r="AD100" s="21"/>
      <c r="AE100" s="21"/>
      <c r="AF100" s="21"/>
      <c r="AG100" s="21"/>
      <c r="AH100" s="21"/>
      <c r="AI100" s="21"/>
      <c r="AJ100" s="21"/>
      <c r="AK100" s="21"/>
      <c r="AL100" s="21"/>
      <c r="AM100" s="21"/>
      <c r="AN100" s="21"/>
      <c r="AO100" s="21"/>
      <c r="AP100" s="21"/>
      <c r="AQ100" s="21"/>
      <c r="AR100" s="21"/>
      <c r="AS100" s="21"/>
      <c r="AT100" s="21"/>
      <c r="AU100" s="21"/>
      <c r="AV100" s="21"/>
      <c r="AW100" s="21"/>
      <c r="AX100" s="21"/>
      <c r="AY100" s="21"/>
      <c r="AZ100" s="21"/>
      <c r="BA100" s="21"/>
      <c r="BB100" s="21"/>
      <c r="BC100" s="21"/>
      <c r="BD100" s="21"/>
      <c r="BE100" s="21"/>
    </row>
    <row r="101" spans="1:57" x14ac:dyDescent="0.35">
      <c r="A101" s="20" t="s">
        <v>91</v>
      </c>
      <c r="B101" s="29">
        <v>4587</v>
      </c>
      <c r="C101" s="30">
        <v>996.99402064410117</v>
      </c>
      <c r="D101" s="29">
        <v>49</v>
      </c>
      <c r="E101" s="29">
        <v>52</v>
      </c>
      <c r="F101" s="29">
        <v>35</v>
      </c>
      <c r="G101" s="29">
        <v>30</v>
      </c>
      <c r="H101" s="29">
        <v>44</v>
      </c>
      <c r="I101" s="29">
        <v>37</v>
      </c>
      <c r="J101" s="29">
        <v>40</v>
      </c>
      <c r="K101" s="29">
        <v>51</v>
      </c>
      <c r="L101" s="29">
        <v>44</v>
      </c>
      <c r="M101" s="29">
        <v>45</v>
      </c>
      <c r="N101" s="29">
        <v>48</v>
      </c>
      <c r="O101" s="29">
        <v>45</v>
      </c>
      <c r="P101" s="29">
        <v>41</v>
      </c>
      <c r="Q101" s="29">
        <v>42</v>
      </c>
      <c r="R101" s="29">
        <v>47</v>
      </c>
      <c r="S101" s="29">
        <v>65</v>
      </c>
      <c r="T101" s="29">
        <v>89</v>
      </c>
      <c r="U101" s="29">
        <v>77</v>
      </c>
      <c r="V101" s="29">
        <v>76</v>
      </c>
      <c r="W101" s="29">
        <v>100</v>
      </c>
      <c r="X101" s="29">
        <v>114</v>
      </c>
      <c r="Y101" s="29">
        <v>143</v>
      </c>
      <c r="Z101" s="29">
        <v>161</v>
      </c>
      <c r="AA101" s="29">
        <v>178</v>
      </c>
      <c r="AB101" s="29">
        <v>211</v>
      </c>
      <c r="AC101" s="29">
        <v>190</v>
      </c>
      <c r="AD101" s="29">
        <v>254</v>
      </c>
      <c r="AE101" s="29">
        <v>215</v>
      </c>
      <c r="AF101" s="29">
        <v>231</v>
      </c>
      <c r="AG101" s="29">
        <v>251</v>
      </c>
      <c r="AH101" s="29">
        <v>229</v>
      </c>
      <c r="AI101" s="29">
        <v>243</v>
      </c>
      <c r="AJ101" s="29">
        <v>157</v>
      </c>
      <c r="AK101" s="29">
        <v>116</v>
      </c>
      <c r="AL101" s="29">
        <v>97</v>
      </c>
      <c r="AM101" s="29">
        <v>103</v>
      </c>
      <c r="AN101" s="29">
        <v>75</v>
      </c>
      <c r="AO101" s="29">
        <v>55</v>
      </c>
      <c r="AP101" s="29">
        <v>49</v>
      </c>
      <c r="AQ101" s="29">
        <v>43</v>
      </c>
      <c r="AR101" s="29">
        <v>33</v>
      </c>
      <c r="AS101" s="29">
        <v>37</v>
      </c>
      <c r="AT101" s="29">
        <v>57</v>
      </c>
      <c r="AU101" s="29">
        <v>44</v>
      </c>
      <c r="AV101" s="29">
        <v>40</v>
      </c>
      <c r="AW101" s="29">
        <v>38</v>
      </c>
      <c r="AX101" s="29">
        <v>35</v>
      </c>
      <c r="AY101" s="29">
        <v>27</v>
      </c>
      <c r="AZ101" s="29">
        <v>24</v>
      </c>
      <c r="BA101" s="29">
        <v>34</v>
      </c>
      <c r="BB101" s="29">
        <v>22</v>
      </c>
      <c r="BC101" s="29">
        <v>18</v>
      </c>
      <c r="BD101" s="29">
        <v>6</v>
      </c>
      <c r="BE101" s="21"/>
    </row>
    <row r="102" spans="1:57" x14ac:dyDescent="0.35">
      <c r="A102" s="33" t="s">
        <v>92</v>
      </c>
      <c r="B102" s="34">
        <v>322</v>
      </c>
      <c r="C102" s="35">
        <v>322.5289474738571</v>
      </c>
      <c r="D102" s="34">
        <v>3</v>
      </c>
      <c r="E102" s="34">
        <v>5</v>
      </c>
      <c r="F102" s="34">
        <v>0</v>
      </c>
      <c r="G102" s="34">
        <v>4</v>
      </c>
      <c r="H102" s="34">
        <v>4</v>
      </c>
      <c r="I102" s="34">
        <v>2</v>
      </c>
      <c r="J102" s="34">
        <v>6</v>
      </c>
      <c r="K102" s="34">
        <v>3</v>
      </c>
      <c r="L102" s="34">
        <v>4</v>
      </c>
      <c r="M102" s="34">
        <v>4</v>
      </c>
      <c r="N102" s="34">
        <v>3</v>
      </c>
      <c r="O102" s="34">
        <v>4</v>
      </c>
      <c r="P102" s="34">
        <v>4</v>
      </c>
      <c r="Q102" s="34">
        <v>3</v>
      </c>
      <c r="R102" s="34">
        <v>6</v>
      </c>
      <c r="S102" s="34">
        <v>7</v>
      </c>
      <c r="T102" s="34">
        <v>13</v>
      </c>
      <c r="U102" s="34">
        <v>6</v>
      </c>
      <c r="V102" s="34">
        <v>12</v>
      </c>
      <c r="W102" s="34">
        <v>16</v>
      </c>
      <c r="X102" s="34">
        <v>7</v>
      </c>
      <c r="Y102" s="34">
        <v>8</v>
      </c>
      <c r="Z102" s="34">
        <v>15</v>
      </c>
      <c r="AA102" s="34">
        <v>8</v>
      </c>
      <c r="AB102" s="34">
        <v>11</v>
      </c>
      <c r="AC102" s="34">
        <v>10</v>
      </c>
      <c r="AD102" s="34">
        <v>19</v>
      </c>
      <c r="AE102" s="34">
        <v>8</v>
      </c>
      <c r="AF102" s="34">
        <v>15</v>
      </c>
      <c r="AG102" s="34">
        <v>17</v>
      </c>
      <c r="AH102" s="34">
        <v>6</v>
      </c>
      <c r="AI102" s="34">
        <v>5</v>
      </c>
      <c r="AJ102" s="34">
        <v>2</v>
      </c>
      <c r="AK102" s="34">
        <v>2</v>
      </c>
      <c r="AL102" s="34">
        <v>1</v>
      </c>
      <c r="AM102" s="34">
        <v>0</v>
      </c>
      <c r="AN102" s="34">
        <v>6</v>
      </c>
      <c r="AO102" s="34">
        <v>4</v>
      </c>
      <c r="AP102" s="34">
        <v>5</v>
      </c>
      <c r="AQ102" s="34">
        <v>4</v>
      </c>
      <c r="AR102" s="34">
        <v>3</v>
      </c>
      <c r="AS102" s="34">
        <v>6</v>
      </c>
      <c r="AT102" s="34">
        <v>9</v>
      </c>
      <c r="AU102" s="34">
        <v>9</v>
      </c>
      <c r="AV102" s="34">
        <v>5</v>
      </c>
      <c r="AW102" s="34">
        <v>3</v>
      </c>
      <c r="AX102" s="34">
        <v>5</v>
      </c>
      <c r="AY102" s="34">
        <v>0</v>
      </c>
      <c r="AZ102" s="34">
        <v>5</v>
      </c>
      <c r="BA102" s="34">
        <v>6</v>
      </c>
      <c r="BB102" s="34">
        <v>4</v>
      </c>
      <c r="BC102" s="34">
        <v>3</v>
      </c>
      <c r="BD102" s="34">
        <v>2</v>
      </c>
      <c r="BE102" s="21"/>
    </row>
    <row r="103" spans="1:57" x14ac:dyDescent="0.35">
      <c r="A103" s="33" t="s">
        <v>93</v>
      </c>
      <c r="B103" s="34">
        <v>647</v>
      </c>
      <c r="C103" s="35">
        <v>429.43237933414753</v>
      </c>
      <c r="D103" s="34">
        <v>19</v>
      </c>
      <c r="E103" s="34">
        <v>25</v>
      </c>
      <c r="F103" s="34">
        <v>16</v>
      </c>
      <c r="G103" s="34">
        <v>9</v>
      </c>
      <c r="H103" s="34">
        <v>13</v>
      </c>
      <c r="I103" s="34">
        <v>8</v>
      </c>
      <c r="J103" s="34">
        <v>11</v>
      </c>
      <c r="K103" s="34">
        <v>14</v>
      </c>
      <c r="L103" s="34">
        <v>9</v>
      </c>
      <c r="M103" s="34">
        <v>13</v>
      </c>
      <c r="N103" s="34">
        <v>10</v>
      </c>
      <c r="O103" s="34">
        <v>4</v>
      </c>
      <c r="P103" s="34">
        <v>3</v>
      </c>
      <c r="Q103" s="34">
        <v>7</v>
      </c>
      <c r="R103" s="34">
        <v>5</v>
      </c>
      <c r="S103" s="34">
        <v>10</v>
      </c>
      <c r="T103" s="34">
        <v>14</v>
      </c>
      <c r="U103" s="34">
        <v>12</v>
      </c>
      <c r="V103" s="34">
        <v>7</v>
      </c>
      <c r="W103" s="34">
        <v>10</v>
      </c>
      <c r="X103" s="34">
        <v>13</v>
      </c>
      <c r="Y103" s="34">
        <v>19</v>
      </c>
      <c r="Z103" s="34">
        <v>20</v>
      </c>
      <c r="AA103" s="34">
        <v>12</v>
      </c>
      <c r="AB103" s="34">
        <v>13</v>
      </c>
      <c r="AC103" s="34">
        <v>25</v>
      </c>
      <c r="AD103" s="34">
        <v>22</v>
      </c>
      <c r="AE103" s="34">
        <v>14</v>
      </c>
      <c r="AF103" s="34">
        <v>16</v>
      </c>
      <c r="AG103" s="34">
        <v>28</v>
      </c>
      <c r="AH103" s="34">
        <v>21</v>
      </c>
      <c r="AI103" s="34">
        <v>18</v>
      </c>
      <c r="AJ103" s="34">
        <v>19</v>
      </c>
      <c r="AK103" s="34">
        <v>14</v>
      </c>
      <c r="AL103" s="34">
        <v>17</v>
      </c>
      <c r="AM103" s="34">
        <v>23</v>
      </c>
      <c r="AN103" s="34">
        <v>15</v>
      </c>
      <c r="AO103" s="34">
        <v>13</v>
      </c>
      <c r="AP103" s="34">
        <v>10</v>
      </c>
      <c r="AQ103" s="34">
        <v>10</v>
      </c>
      <c r="AR103" s="34">
        <v>3</v>
      </c>
      <c r="AS103" s="34">
        <v>7</v>
      </c>
      <c r="AT103" s="34">
        <v>16</v>
      </c>
      <c r="AU103" s="34">
        <v>13</v>
      </c>
      <c r="AV103" s="34">
        <v>4</v>
      </c>
      <c r="AW103" s="34">
        <v>11</v>
      </c>
      <c r="AX103" s="34">
        <v>11</v>
      </c>
      <c r="AY103" s="34">
        <v>10</v>
      </c>
      <c r="AZ103" s="34">
        <v>2</v>
      </c>
      <c r="BA103" s="34">
        <v>7</v>
      </c>
      <c r="BB103" s="34">
        <v>2</v>
      </c>
      <c r="BC103" s="34">
        <v>0</v>
      </c>
      <c r="BD103" s="34">
        <v>0</v>
      </c>
      <c r="BE103" s="21"/>
    </row>
    <row r="104" spans="1:57" x14ac:dyDescent="0.35">
      <c r="A104" s="33" t="s">
        <v>94</v>
      </c>
      <c r="B104" s="34">
        <v>914</v>
      </c>
      <c r="C104" s="35">
        <v>1407.8215732483095</v>
      </c>
      <c r="D104" s="34">
        <v>12</v>
      </c>
      <c r="E104" s="34">
        <v>8</v>
      </c>
      <c r="F104" s="34">
        <v>3</v>
      </c>
      <c r="G104" s="34">
        <v>7</v>
      </c>
      <c r="H104" s="34">
        <v>16</v>
      </c>
      <c r="I104" s="34">
        <v>13</v>
      </c>
      <c r="J104" s="34">
        <v>8</v>
      </c>
      <c r="K104" s="34">
        <v>19</v>
      </c>
      <c r="L104" s="34">
        <v>10</v>
      </c>
      <c r="M104" s="34">
        <v>16</v>
      </c>
      <c r="N104" s="34">
        <v>20</v>
      </c>
      <c r="O104" s="34">
        <v>16</v>
      </c>
      <c r="P104" s="34">
        <v>16</v>
      </c>
      <c r="Q104" s="34">
        <v>17</v>
      </c>
      <c r="R104" s="34">
        <v>8</v>
      </c>
      <c r="S104" s="34">
        <v>14</v>
      </c>
      <c r="T104" s="34">
        <v>17</v>
      </c>
      <c r="U104" s="34">
        <v>16</v>
      </c>
      <c r="V104" s="34">
        <v>20</v>
      </c>
      <c r="W104" s="34">
        <v>26</v>
      </c>
      <c r="X104" s="34">
        <v>52</v>
      </c>
      <c r="Y104" s="34">
        <v>43</v>
      </c>
      <c r="Z104" s="34">
        <v>42</v>
      </c>
      <c r="AA104" s="34">
        <v>43</v>
      </c>
      <c r="AB104" s="34">
        <v>66</v>
      </c>
      <c r="AC104" s="34">
        <v>42</v>
      </c>
      <c r="AD104" s="34">
        <v>60</v>
      </c>
      <c r="AE104" s="34">
        <v>34</v>
      </c>
      <c r="AF104" s="34">
        <v>36</v>
      </c>
      <c r="AG104" s="34">
        <v>34</v>
      </c>
      <c r="AH104" s="34">
        <v>40</v>
      </c>
      <c r="AI104" s="34">
        <v>38</v>
      </c>
      <c r="AJ104" s="34">
        <v>14</v>
      </c>
      <c r="AK104" s="34">
        <v>14</v>
      </c>
      <c r="AL104" s="34">
        <v>10</v>
      </c>
      <c r="AM104" s="34">
        <v>3</v>
      </c>
      <c r="AN104" s="34">
        <v>8</v>
      </c>
      <c r="AO104" s="34">
        <v>7</v>
      </c>
      <c r="AP104" s="34">
        <v>6</v>
      </c>
      <c r="AQ104" s="34">
        <v>3</v>
      </c>
      <c r="AR104" s="34">
        <v>3</v>
      </c>
      <c r="AS104" s="34">
        <v>1</v>
      </c>
      <c r="AT104" s="34">
        <v>2</v>
      </c>
      <c r="AU104" s="34">
        <v>4</v>
      </c>
      <c r="AV104" s="34">
        <v>5</v>
      </c>
      <c r="AW104" s="34">
        <v>3</v>
      </c>
      <c r="AX104" s="34">
        <v>5</v>
      </c>
      <c r="AY104" s="34">
        <v>2</v>
      </c>
      <c r="AZ104" s="34">
        <v>1</v>
      </c>
      <c r="BA104" s="34">
        <v>7</v>
      </c>
      <c r="BB104" s="34">
        <v>2</v>
      </c>
      <c r="BC104" s="34">
        <v>2</v>
      </c>
      <c r="BD104" s="34">
        <v>0</v>
      </c>
      <c r="BE104" s="21"/>
    </row>
    <row r="105" spans="1:57" x14ac:dyDescent="0.35">
      <c r="A105" s="33" t="s">
        <v>95</v>
      </c>
      <c r="B105" s="34">
        <v>1079</v>
      </c>
      <c r="C105" s="35">
        <v>2500.4055337983455</v>
      </c>
      <c r="D105" s="34">
        <v>5</v>
      </c>
      <c r="E105" s="34">
        <v>3</v>
      </c>
      <c r="F105" s="34">
        <v>1</v>
      </c>
      <c r="G105" s="34">
        <v>3</v>
      </c>
      <c r="H105" s="34">
        <v>1</v>
      </c>
      <c r="I105" s="34">
        <v>6</v>
      </c>
      <c r="J105" s="34">
        <v>3</v>
      </c>
      <c r="K105" s="34">
        <v>7</v>
      </c>
      <c r="L105" s="34">
        <v>14</v>
      </c>
      <c r="M105" s="34">
        <v>8</v>
      </c>
      <c r="N105" s="34">
        <v>5</v>
      </c>
      <c r="O105" s="34">
        <v>6</v>
      </c>
      <c r="P105" s="34">
        <v>3</v>
      </c>
      <c r="Q105" s="34">
        <v>1</v>
      </c>
      <c r="R105" s="34">
        <v>1</v>
      </c>
      <c r="S105" s="34">
        <v>6</v>
      </c>
      <c r="T105" s="34">
        <v>8</v>
      </c>
      <c r="U105" s="34">
        <v>16</v>
      </c>
      <c r="V105" s="34">
        <v>8</v>
      </c>
      <c r="W105" s="34">
        <v>15</v>
      </c>
      <c r="X105" s="34">
        <v>13</v>
      </c>
      <c r="Y105" s="34">
        <v>21</v>
      </c>
      <c r="Z105" s="34">
        <v>26</v>
      </c>
      <c r="AA105" s="34">
        <v>41</v>
      </c>
      <c r="AB105" s="34">
        <v>38</v>
      </c>
      <c r="AC105" s="34">
        <v>45</v>
      </c>
      <c r="AD105" s="34">
        <v>68</v>
      </c>
      <c r="AE105" s="34">
        <v>50</v>
      </c>
      <c r="AF105" s="34">
        <v>68</v>
      </c>
      <c r="AG105" s="34">
        <v>63</v>
      </c>
      <c r="AH105" s="34">
        <v>62</v>
      </c>
      <c r="AI105" s="34">
        <v>68</v>
      </c>
      <c r="AJ105" s="34">
        <v>52</v>
      </c>
      <c r="AK105" s="34">
        <v>35</v>
      </c>
      <c r="AL105" s="34">
        <v>34</v>
      </c>
      <c r="AM105" s="34">
        <v>55</v>
      </c>
      <c r="AN105" s="34">
        <v>36</v>
      </c>
      <c r="AO105" s="34">
        <v>27</v>
      </c>
      <c r="AP105" s="34">
        <v>14</v>
      </c>
      <c r="AQ105" s="34">
        <v>12</v>
      </c>
      <c r="AR105" s="34">
        <v>16</v>
      </c>
      <c r="AS105" s="34">
        <v>18</v>
      </c>
      <c r="AT105" s="34">
        <v>15</v>
      </c>
      <c r="AU105" s="34">
        <v>10</v>
      </c>
      <c r="AV105" s="34">
        <v>12</v>
      </c>
      <c r="AW105" s="34">
        <v>13</v>
      </c>
      <c r="AX105" s="34">
        <v>10</v>
      </c>
      <c r="AY105" s="34">
        <v>12</v>
      </c>
      <c r="AZ105" s="34">
        <v>9</v>
      </c>
      <c r="BA105" s="34">
        <v>5</v>
      </c>
      <c r="BB105" s="34">
        <v>6</v>
      </c>
      <c r="BC105" s="34">
        <v>5</v>
      </c>
      <c r="BD105" s="34">
        <v>0</v>
      </c>
      <c r="BE105" s="21"/>
    </row>
    <row r="106" spans="1:57" x14ac:dyDescent="0.35">
      <c r="A106" s="33" t="s">
        <v>96</v>
      </c>
      <c r="B106" s="34">
        <v>1040</v>
      </c>
      <c r="C106" s="35">
        <v>2242.3941870242998</v>
      </c>
      <c r="D106" s="34">
        <v>1</v>
      </c>
      <c r="E106" s="34">
        <v>2</v>
      </c>
      <c r="F106" s="34">
        <v>2</v>
      </c>
      <c r="G106" s="34">
        <v>2</v>
      </c>
      <c r="H106" s="34">
        <v>0</v>
      </c>
      <c r="I106" s="34">
        <v>3</v>
      </c>
      <c r="J106" s="34">
        <v>3</v>
      </c>
      <c r="K106" s="34">
        <v>3</v>
      </c>
      <c r="L106" s="34">
        <v>1</v>
      </c>
      <c r="M106" s="34">
        <v>1</v>
      </c>
      <c r="N106" s="34">
        <v>5</v>
      </c>
      <c r="O106" s="34">
        <v>11</v>
      </c>
      <c r="P106" s="34">
        <v>9</v>
      </c>
      <c r="Q106" s="34">
        <v>8</v>
      </c>
      <c r="R106" s="34">
        <v>12</v>
      </c>
      <c r="S106" s="34">
        <v>20</v>
      </c>
      <c r="T106" s="34">
        <v>22</v>
      </c>
      <c r="U106" s="34">
        <v>13</v>
      </c>
      <c r="V106" s="34">
        <v>15</v>
      </c>
      <c r="W106" s="34">
        <v>16</v>
      </c>
      <c r="X106" s="34">
        <v>16</v>
      </c>
      <c r="Y106" s="34">
        <v>37</v>
      </c>
      <c r="Z106" s="34">
        <v>40</v>
      </c>
      <c r="AA106" s="34">
        <v>45</v>
      </c>
      <c r="AB106" s="34">
        <v>63</v>
      </c>
      <c r="AC106" s="34">
        <v>47</v>
      </c>
      <c r="AD106" s="34">
        <v>58</v>
      </c>
      <c r="AE106" s="34">
        <v>93</v>
      </c>
      <c r="AF106" s="34">
        <v>76</v>
      </c>
      <c r="AG106" s="34">
        <v>92</v>
      </c>
      <c r="AH106" s="34">
        <v>73</v>
      </c>
      <c r="AI106" s="34">
        <v>90</v>
      </c>
      <c r="AJ106" s="34">
        <v>56</v>
      </c>
      <c r="AK106" s="34">
        <v>42</v>
      </c>
      <c r="AL106" s="34">
        <v>23</v>
      </c>
      <c r="AM106" s="34">
        <v>7</v>
      </c>
      <c r="AN106" s="34">
        <v>4</v>
      </c>
      <c r="AO106" s="34">
        <v>1</v>
      </c>
      <c r="AP106" s="34">
        <v>5</v>
      </c>
      <c r="AQ106" s="34">
        <v>7</v>
      </c>
      <c r="AR106" s="34">
        <v>0</v>
      </c>
      <c r="AS106" s="34">
        <v>0</v>
      </c>
      <c r="AT106" s="34">
        <v>3</v>
      </c>
      <c r="AU106" s="34">
        <v>2</v>
      </c>
      <c r="AV106" s="34">
        <v>0</v>
      </c>
      <c r="AW106" s="34">
        <v>0</v>
      </c>
      <c r="AX106" s="34">
        <v>3</v>
      </c>
      <c r="AY106" s="34">
        <v>0</v>
      </c>
      <c r="AZ106" s="34">
        <v>0</v>
      </c>
      <c r="BA106" s="34">
        <v>4</v>
      </c>
      <c r="BB106" s="34">
        <v>3</v>
      </c>
      <c r="BC106" s="34">
        <v>1</v>
      </c>
      <c r="BD106" s="34">
        <v>0</v>
      </c>
      <c r="BE106" s="21"/>
    </row>
    <row r="107" spans="1:57" x14ac:dyDescent="0.35">
      <c r="A107" s="33" t="s">
        <v>97</v>
      </c>
      <c r="B107" s="34">
        <v>585</v>
      </c>
      <c r="C107" s="35">
        <v>1061.1667392250761</v>
      </c>
      <c r="D107" s="34">
        <v>9</v>
      </c>
      <c r="E107" s="34">
        <v>9</v>
      </c>
      <c r="F107" s="34">
        <v>13</v>
      </c>
      <c r="G107" s="34">
        <v>5</v>
      </c>
      <c r="H107" s="34">
        <v>10</v>
      </c>
      <c r="I107" s="34">
        <v>5</v>
      </c>
      <c r="J107" s="34">
        <v>9</v>
      </c>
      <c r="K107" s="34">
        <v>5</v>
      </c>
      <c r="L107" s="34">
        <v>6</v>
      </c>
      <c r="M107" s="34">
        <v>3</v>
      </c>
      <c r="N107" s="34">
        <v>5</v>
      </c>
      <c r="O107" s="34">
        <v>4</v>
      </c>
      <c r="P107" s="34">
        <v>6</v>
      </c>
      <c r="Q107" s="34">
        <v>6</v>
      </c>
      <c r="R107" s="34">
        <v>15</v>
      </c>
      <c r="S107" s="34">
        <v>8</v>
      </c>
      <c r="T107" s="34">
        <v>15</v>
      </c>
      <c r="U107" s="34">
        <v>14</v>
      </c>
      <c r="V107" s="34">
        <v>14</v>
      </c>
      <c r="W107" s="34">
        <v>17</v>
      </c>
      <c r="X107" s="34">
        <v>13</v>
      </c>
      <c r="Y107" s="34">
        <v>15</v>
      </c>
      <c r="Z107" s="34">
        <v>18</v>
      </c>
      <c r="AA107" s="34">
        <v>29</v>
      </c>
      <c r="AB107" s="34">
        <v>20</v>
      </c>
      <c r="AC107" s="34">
        <v>21</v>
      </c>
      <c r="AD107" s="34">
        <v>27</v>
      </c>
      <c r="AE107" s="34">
        <v>16</v>
      </c>
      <c r="AF107" s="34">
        <v>20</v>
      </c>
      <c r="AG107" s="34">
        <v>17</v>
      </c>
      <c r="AH107" s="34">
        <v>27</v>
      </c>
      <c r="AI107" s="34">
        <v>24</v>
      </c>
      <c r="AJ107" s="34">
        <v>14</v>
      </c>
      <c r="AK107" s="34">
        <v>9</v>
      </c>
      <c r="AL107" s="34">
        <v>12</v>
      </c>
      <c r="AM107" s="34">
        <v>15</v>
      </c>
      <c r="AN107" s="34">
        <v>6</v>
      </c>
      <c r="AO107" s="34">
        <v>3</v>
      </c>
      <c r="AP107" s="34">
        <v>9</v>
      </c>
      <c r="AQ107" s="34">
        <v>7</v>
      </c>
      <c r="AR107" s="34">
        <v>8</v>
      </c>
      <c r="AS107" s="34">
        <v>5</v>
      </c>
      <c r="AT107" s="34">
        <v>12</v>
      </c>
      <c r="AU107" s="34">
        <v>6</v>
      </c>
      <c r="AV107" s="34">
        <v>14</v>
      </c>
      <c r="AW107" s="34">
        <v>8</v>
      </c>
      <c r="AX107" s="34">
        <v>1</v>
      </c>
      <c r="AY107" s="34">
        <v>3</v>
      </c>
      <c r="AZ107" s="34">
        <v>7</v>
      </c>
      <c r="BA107" s="34">
        <v>5</v>
      </c>
      <c r="BB107" s="34">
        <v>5</v>
      </c>
      <c r="BC107" s="34">
        <v>7</v>
      </c>
      <c r="BD107" s="34">
        <v>4</v>
      </c>
      <c r="BE107" s="21"/>
    </row>
    <row r="108" spans="1:57" x14ac:dyDescent="0.35">
      <c r="A108" s="33"/>
      <c r="B108" s="31"/>
      <c r="C108" s="32"/>
      <c r="D108" s="21"/>
      <c r="E108" s="21"/>
      <c r="F108" s="21"/>
      <c r="G108" s="21"/>
      <c r="H108" s="21"/>
      <c r="I108" s="21"/>
      <c r="J108" s="21"/>
      <c r="K108" s="21"/>
      <c r="L108" s="21"/>
      <c r="M108" s="21"/>
      <c r="N108" s="21"/>
      <c r="O108" s="21"/>
      <c r="P108" s="21"/>
      <c r="Q108" s="21"/>
      <c r="R108" s="21"/>
      <c r="S108" s="21"/>
      <c r="T108" s="21"/>
      <c r="U108" s="21"/>
      <c r="V108" s="21"/>
      <c r="W108" s="21"/>
      <c r="X108" s="21"/>
      <c r="Y108" s="21"/>
      <c r="Z108" s="21"/>
      <c r="AA108" s="21"/>
      <c r="AB108" s="21"/>
      <c r="AC108" s="21"/>
      <c r="AD108" s="21"/>
      <c r="AE108" s="21"/>
      <c r="AF108" s="21"/>
      <c r="AG108" s="21"/>
      <c r="AH108" s="21"/>
      <c r="AI108" s="21"/>
      <c r="AJ108" s="21"/>
      <c r="AK108" s="21"/>
      <c r="AL108" s="21"/>
      <c r="AM108" s="21"/>
      <c r="AN108" s="21"/>
      <c r="AO108" s="21"/>
      <c r="AP108" s="21"/>
      <c r="AQ108" s="21"/>
      <c r="AR108" s="21"/>
      <c r="AS108" s="21"/>
      <c r="AT108" s="21"/>
      <c r="AU108" s="21"/>
      <c r="AV108" s="21"/>
      <c r="AW108" s="21"/>
      <c r="AX108" s="21"/>
      <c r="AY108" s="21"/>
      <c r="AZ108" s="21"/>
      <c r="BA108" s="21"/>
      <c r="BB108" s="21"/>
      <c r="BC108" s="21"/>
      <c r="BD108" s="21"/>
      <c r="BE108" s="21"/>
    </row>
    <row r="109" spans="1:57" x14ac:dyDescent="0.35">
      <c r="A109" s="33" t="s">
        <v>98</v>
      </c>
      <c r="B109" s="29">
        <v>0</v>
      </c>
      <c r="C109" s="32"/>
      <c r="D109" s="34">
        <v>0</v>
      </c>
      <c r="E109" s="34">
        <v>0</v>
      </c>
      <c r="F109" s="34">
        <v>0</v>
      </c>
      <c r="G109" s="34">
        <v>0</v>
      </c>
      <c r="H109" s="34">
        <v>0</v>
      </c>
      <c r="I109" s="34">
        <v>0</v>
      </c>
      <c r="J109" s="34">
        <v>0</v>
      </c>
      <c r="K109" s="34">
        <v>0</v>
      </c>
      <c r="L109" s="34">
        <v>0</v>
      </c>
      <c r="M109" s="34">
        <v>0</v>
      </c>
      <c r="N109" s="34">
        <v>0</v>
      </c>
      <c r="O109" s="34">
        <v>0</v>
      </c>
      <c r="P109" s="34">
        <v>0</v>
      </c>
      <c r="Q109" s="34">
        <v>0</v>
      </c>
      <c r="R109" s="34">
        <v>0</v>
      </c>
      <c r="S109" s="34">
        <v>0</v>
      </c>
      <c r="T109" s="34">
        <v>0</v>
      </c>
      <c r="U109" s="34">
        <v>0</v>
      </c>
      <c r="V109" s="34">
        <v>0</v>
      </c>
      <c r="W109" s="34">
        <v>0</v>
      </c>
      <c r="X109" s="34">
        <v>0</v>
      </c>
      <c r="Y109" s="34">
        <v>0</v>
      </c>
      <c r="Z109" s="34">
        <v>0</v>
      </c>
      <c r="AA109" s="34">
        <v>0</v>
      </c>
      <c r="AB109" s="34">
        <v>0</v>
      </c>
      <c r="AC109" s="34">
        <v>0</v>
      </c>
      <c r="AD109" s="34">
        <v>0</v>
      </c>
      <c r="AE109" s="34">
        <v>0</v>
      </c>
      <c r="AF109" s="34">
        <v>0</v>
      </c>
      <c r="AG109" s="34">
        <v>0</v>
      </c>
      <c r="AH109" s="34">
        <v>0</v>
      </c>
      <c r="AI109" s="34">
        <v>0</v>
      </c>
      <c r="AJ109" s="34">
        <v>0</v>
      </c>
      <c r="AK109" s="34">
        <v>0</v>
      </c>
      <c r="AL109" s="34">
        <v>0</v>
      </c>
      <c r="AM109" s="34">
        <v>0</v>
      </c>
      <c r="AN109" s="34">
        <v>0</v>
      </c>
      <c r="AO109" s="34">
        <v>0</v>
      </c>
      <c r="AP109" s="34">
        <v>0</v>
      </c>
      <c r="AQ109" s="34">
        <v>0</v>
      </c>
      <c r="AR109" s="34">
        <v>0</v>
      </c>
      <c r="AS109" s="34">
        <v>0</v>
      </c>
      <c r="AT109" s="34">
        <v>0</v>
      </c>
      <c r="AU109" s="34">
        <v>0</v>
      </c>
      <c r="AV109" s="34">
        <v>0</v>
      </c>
      <c r="AW109" s="34">
        <v>0</v>
      </c>
      <c r="AX109" s="34">
        <v>0</v>
      </c>
      <c r="AY109" s="34">
        <v>0</v>
      </c>
      <c r="AZ109" s="34">
        <v>0</v>
      </c>
      <c r="BA109" s="34">
        <v>0</v>
      </c>
      <c r="BB109" s="34">
        <v>0</v>
      </c>
      <c r="BC109" s="34">
        <v>0</v>
      </c>
      <c r="BD109" s="34">
        <v>0</v>
      </c>
      <c r="BE109" s="21"/>
    </row>
    <row r="110" spans="1:57" x14ac:dyDescent="0.35">
      <c r="A110" s="33" t="s">
        <v>99</v>
      </c>
      <c r="B110" s="29">
        <v>0</v>
      </c>
      <c r="C110" s="32"/>
      <c r="D110" s="34">
        <v>0</v>
      </c>
      <c r="E110" s="34">
        <v>0</v>
      </c>
      <c r="F110" s="34">
        <v>0</v>
      </c>
      <c r="G110" s="34">
        <v>0</v>
      </c>
      <c r="H110" s="34">
        <v>0</v>
      </c>
      <c r="I110" s="34">
        <v>0</v>
      </c>
      <c r="J110" s="34">
        <v>0</v>
      </c>
      <c r="K110" s="34">
        <v>0</v>
      </c>
      <c r="L110" s="34">
        <v>0</v>
      </c>
      <c r="M110" s="34">
        <v>0</v>
      </c>
      <c r="N110" s="34">
        <v>0</v>
      </c>
      <c r="O110" s="34">
        <v>0</v>
      </c>
      <c r="P110" s="34">
        <v>0</v>
      </c>
      <c r="Q110" s="34">
        <v>0</v>
      </c>
      <c r="R110" s="34">
        <v>0</v>
      </c>
      <c r="S110" s="34">
        <v>0</v>
      </c>
      <c r="T110" s="34">
        <v>0</v>
      </c>
      <c r="U110" s="34">
        <v>0</v>
      </c>
      <c r="V110" s="34">
        <v>0</v>
      </c>
      <c r="W110" s="34">
        <v>0</v>
      </c>
      <c r="X110" s="34">
        <v>0</v>
      </c>
      <c r="Y110" s="34">
        <v>0</v>
      </c>
      <c r="Z110" s="34">
        <v>0</v>
      </c>
      <c r="AA110" s="34">
        <v>0</v>
      </c>
      <c r="AB110" s="34">
        <v>0</v>
      </c>
      <c r="AC110" s="34">
        <v>0</v>
      </c>
      <c r="AD110" s="34">
        <v>0</v>
      </c>
      <c r="AE110" s="34">
        <v>0</v>
      </c>
      <c r="AF110" s="34">
        <v>0</v>
      </c>
      <c r="AG110" s="34">
        <v>0</v>
      </c>
      <c r="AH110" s="34">
        <v>0</v>
      </c>
      <c r="AI110" s="34">
        <v>0</v>
      </c>
      <c r="AJ110" s="34">
        <v>0</v>
      </c>
      <c r="AK110" s="34">
        <v>0</v>
      </c>
      <c r="AL110" s="34">
        <v>0</v>
      </c>
      <c r="AM110" s="34">
        <v>0</v>
      </c>
      <c r="AN110" s="34">
        <v>0</v>
      </c>
      <c r="AO110" s="34">
        <v>0</v>
      </c>
      <c r="AP110" s="34">
        <v>0</v>
      </c>
      <c r="AQ110" s="34">
        <v>0</v>
      </c>
      <c r="AR110" s="34">
        <v>0</v>
      </c>
      <c r="AS110" s="34">
        <v>0</v>
      </c>
      <c r="AT110" s="34">
        <v>0</v>
      </c>
      <c r="AU110" s="34">
        <v>0</v>
      </c>
      <c r="AV110" s="34">
        <v>0</v>
      </c>
      <c r="AW110" s="34">
        <v>0</v>
      </c>
      <c r="AX110" s="34">
        <v>0</v>
      </c>
      <c r="AY110" s="34">
        <v>0</v>
      </c>
      <c r="AZ110" s="34">
        <v>0</v>
      </c>
      <c r="BA110" s="34">
        <v>0</v>
      </c>
      <c r="BB110" s="34">
        <v>0</v>
      </c>
      <c r="BC110" s="34">
        <v>0</v>
      </c>
      <c r="BD110" s="34">
        <v>0</v>
      </c>
      <c r="BE110" s="21"/>
    </row>
    <row r="111" spans="1:57" x14ac:dyDescent="0.35">
      <c r="A111" s="37" t="s">
        <v>100</v>
      </c>
      <c r="B111" s="38"/>
      <c r="C111" s="38"/>
      <c r="D111" s="38"/>
      <c r="E111" s="38"/>
      <c r="F111" s="38"/>
      <c r="G111" s="38"/>
      <c r="H111" s="38"/>
      <c r="I111" s="38"/>
      <c r="J111" s="38"/>
      <c r="K111" s="38"/>
      <c r="L111" s="38"/>
      <c r="M111" s="38"/>
      <c r="N111" s="38"/>
      <c r="O111" s="38"/>
      <c r="P111" s="38"/>
      <c r="Q111" s="38"/>
      <c r="R111" s="38"/>
      <c r="S111" s="38"/>
      <c r="T111" s="38"/>
      <c r="U111" s="38"/>
      <c r="V111" s="38"/>
      <c r="W111" s="38"/>
      <c r="X111" s="38"/>
      <c r="Y111" s="38"/>
      <c r="Z111" s="38"/>
      <c r="AA111" s="38"/>
      <c r="AB111" s="38"/>
      <c r="AC111" s="38"/>
      <c r="AD111" s="38"/>
      <c r="AE111" s="38"/>
      <c r="AF111" s="38"/>
      <c r="AG111" s="38"/>
      <c r="AH111" s="38"/>
      <c r="AI111" s="38"/>
      <c r="AJ111" s="38"/>
      <c r="AK111" s="38"/>
      <c r="AL111" s="38"/>
      <c r="AM111" s="38"/>
      <c r="AN111" s="38"/>
      <c r="AO111" s="38"/>
      <c r="AP111" s="38"/>
      <c r="AQ111" s="38"/>
      <c r="AR111" s="38"/>
      <c r="AS111" s="38"/>
      <c r="AT111" s="38"/>
      <c r="AU111" s="38"/>
      <c r="AV111" s="38"/>
      <c r="AW111" s="38"/>
      <c r="AX111" s="38"/>
      <c r="AY111" s="38"/>
      <c r="AZ111" s="38"/>
      <c r="BA111" s="38"/>
      <c r="BB111" s="38"/>
      <c r="BC111" s="38"/>
      <c r="BD111" s="38"/>
      <c r="BE111" s="21"/>
    </row>
    <row r="112" spans="1:57" x14ac:dyDescent="0.35">
      <c r="A112" s="33" t="s">
        <v>103</v>
      </c>
      <c r="B112" s="21"/>
      <c r="C112" s="21"/>
      <c r="D112" s="21"/>
      <c r="E112" s="21"/>
      <c r="F112" s="21"/>
      <c r="G112" s="21"/>
      <c r="H112" s="21"/>
      <c r="I112" s="21"/>
      <c r="J112" s="21"/>
      <c r="K112" s="21"/>
      <c r="L112" s="21"/>
      <c r="M112" s="21"/>
      <c r="N112" s="21"/>
      <c r="O112" s="21"/>
      <c r="P112" s="21"/>
      <c r="Q112" s="21"/>
      <c r="R112" s="21"/>
      <c r="S112" s="21"/>
      <c r="T112" s="21"/>
      <c r="U112" s="21"/>
      <c r="V112" s="21"/>
      <c r="W112" s="21"/>
      <c r="X112" s="21"/>
      <c r="Y112" s="21"/>
      <c r="Z112" s="21"/>
      <c r="AA112" s="21"/>
      <c r="AB112" s="21"/>
      <c r="AC112" s="21"/>
      <c r="AD112" s="21"/>
      <c r="AE112" s="21"/>
      <c r="AF112" s="21"/>
      <c r="AG112" s="21"/>
      <c r="AH112" s="21"/>
      <c r="AI112" s="21"/>
      <c r="AJ112" s="21"/>
      <c r="AK112" s="21"/>
      <c r="AL112" s="21"/>
      <c r="AM112" s="21"/>
      <c r="AN112" s="21"/>
      <c r="AO112" s="21"/>
      <c r="AP112" s="21"/>
      <c r="AQ112" s="21"/>
      <c r="AR112" s="21"/>
      <c r="AS112" s="21"/>
      <c r="AT112" s="21"/>
      <c r="AU112" s="21"/>
      <c r="AV112" s="21"/>
      <c r="AW112" s="21"/>
      <c r="AX112" s="21"/>
      <c r="AY112" s="21"/>
      <c r="AZ112" s="21"/>
      <c r="BA112" s="21"/>
      <c r="BB112" s="21"/>
      <c r="BC112" s="21"/>
      <c r="BD112" s="21"/>
      <c r="BE112" s="21"/>
    </row>
    <row r="113" spans="1:57" x14ac:dyDescent="0.35">
      <c r="A113" s="33"/>
      <c r="B113" s="21"/>
      <c r="C113" s="21"/>
      <c r="D113" s="21"/>
      <c r="E113" s="21"/>
      <c r="F113" s="21"/>
      <c r="G113" s="21"/>
      <c r="H113" s="21"/>
      <c r="I113" s="21"/>
      <c r="J113" s="21"/>
      <c r="K113" s="21"/>
      <c r="L113" s="21"/>
      <c r="M113" s="21"/>
      <c r="N113" s="21"/>
      <c r="O113" s="21"/>
      <c r="P113" s="21"/>
      <c r="Q113" s="21"/>
      <c r="R113" s="21"/>
      <c r="S113" s="21"/>
      <c r="T113" s="21"/>
      <c r="U113" s="21"/>
      <c r="V113" s="21"/>
      <c r="W113" s="21"/>
      <c r="X113" s="21"/>
      <c r="Y113" s="21"/>
      <c r="Z113" s="21"/>
      <c r="AA113" s="21"/>
      <c r="AB113" s="21"/>
      <c r="AC113" s="21"/>
      <c r="AD113" s="21"/>
      <c r="AE113" s="21"/>
      <c r="AF113" s="21"/>
      <c r="AG113" s="21"/>
      <c r="AH113" s="21"/>
      <c r="AI113" s="21"/>
      <c r="AJ113" s="21"/>
      <c r="AK113" s="21"/>
      <c r="AL113" s="21"/>
      <c r="AM113" s="21"/>
      <c r="AN113" s="21"/>
      <c r="AO113" s="21"/>
      <c r="AP113" s="21"/>
      <c r="AQ113" s="21"/>
      <c r="AR113" s="21"/>
      <c r="AS113" s="21"/>
      <c r="AT113" s="21"/>
      <c r="AU113" s="21"/>
      <c r="AV113" s="21"/>
      <c r="AW113" s="21"/>
      <c r="AX113" s="21"/>
      <c r="AY113" s="21"/>
      <c r="AZ113" s="21"/>
      <c r="BA113" s="21"/>
      <c r="BB113" s="21"/>
      <c r="BC113" s="21"/>
      <c r="BD113" s="21"/>
      <c r="BE113" s="21"/>
    </row>
  </sheetData>
  <mergeCells count="58">
    <mergeCell ref="BD8:BD9"/>
    <mergeCell ref="AS8:AS9"/>
    <mergeCell ref="AT8:AT9"/>
    <mergeCell ref="AU8:AU9"/>
    <mergeCell ref="AV8:AV9"/>
    <mergeCell ref="AW8:AW9"/>
    <mergeCell ref="AX8:AX9"/>
    <mergeCell ref="AY8:AY9"/>
    <mergeCell ref="AZ8:AZ9"/>
    <mergeCell ref="BA8:BA9"/>
    <mergeCell ref="BB8:BB9"/>
    <mergeCell ref="BC8:BC9"/>
    <mergeCell ref="AR8:AR9"/>
    <mergeCell ref="AG8:AG9"/>
    <mergeCell ref="AH8:AH9"/>
    <mergeCell ref="AI8:AI9"/>
    <mergeCell ref="AJ8:AJ9"/>
    <mergeCell ref="AK8:AK9"/>
    <mergeCell ref="AL8:AL9"/>
    <mergeCell ref="AM8:AM9"/>
    <mergeCell ref="AN8:AN9"/>
    <mergeCell ref="AO8:AO9"/>
    <mergeCell ref="AP8:AP9"/>
    <mergeCell ref="AQ8:AQ9"/>
    <mergeCell ref="S8:S9"/>
    <mergeCell ref="AF8:AF9"/>
    <mergeCell ref="U8:U9"/>
    <mergeCell ref="V8:V9"/>
    <mergeCell ref="W8:W9"/>
    <mergeCell ref="X8:X9"/>
    <mergeCell ref="Y8:Y9"/>
    <mergeCell ref="Z8:Z9"/>
    <mergeCell ref="AA8:AA9"/>
    <mergeCell ref="AB8:AB9"/>
    <mergeCell ref="AC8:AC9"/>
    <mergeCell ref="AD8:AD9"/>
    <mergeCell ref="AE8:AE9"/>
    <mergeCell ref="N8:N9"/>
    <mergeCell ref="O8:O9"/>
    <mergeCell ref="P8:P9"/>
    <mergeCell ref="Q8:Q9"/>
    <mergeCell ref="R8:R9"/>
    <mergeCell ref="A7:A9"/>
    <mergeCell ref="B7:C7"/>
    <mergeCell ref="D7:BD7"/>
    <mergeCell ref="B8:B9"/>
    <mergeCell ref="C8:C9"/>
    <mergeCell ref="D8:D9"/>
    <mergeCell ref="E8:E9"/>
    <mergeCell ref="F8:F9"/>
    <mergeCell ref="G8:G9"/>
    <mergeCell ref="H8:H9"/>
    <mergeCell ref="T8:T9"/>
    <mergeCell ref="I8:I9"/>
    <mergeCell ref="J8:J9"/>
    <mergeCell ref="K8:K9"/>
    <mergeCell ref="L8:L9"/>
    <mergeCell ref="M8:M9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9841B8-74B6-4D7D-A7BB-342CFCAAF5C5}">
  <dimension ref="A1:BD113"/>
  <sheetViews>
    <sheetView topLeftCell="A103" workbookViewId="0">
      <selection activeCell="D116" sqref="D116"/>
    </sheetView>
  </sheetViews>
  <sheetFormatPr baseColWidth="10" defaultColWidth="11.453125" defaultRowHeight="14.5" x14ac:dyDescent="0.35"/>
  <sheetData>
    <row r="1" spans="1:56" x14ac:dyDescent="0.35">
      <c r="A1" s="1"/>
      <c r="B1" s="2"/>
      <c r="C1" s="3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</row>
    <row r="2" spans="1:56" x14ac:dyDescent="0.35">
      <c r="A2" s="1" t="s">
        <v>0</v>
      </c>
      <c r="B2" s="2"/>
      <c r="C2" s="3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</row>
    <row r="3" spans="1:56" x14ac:dyDescent="0.35">
      <c r="A3" s="1" t="s">
        <v>1</v>
      </c>
      <c r="B3" s="2"/>
      <c r="C3" s="3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</row>
    <row r="4" spans="1:56" x14ac:dyDescent="0.35">
      <c r="A4" s="4" t="s">
        <v>2</v>
      </c>
      <c r="B4" s="2"/>
      <c r="C4" s="3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  <c r="AU4" s="2"/>
      <c r="AV4" s="2"/>
      <c r="AW4" s="2"/>
      <c r="AX4" s="2"/>
      <c r="AY4" s="2"/>
      <c r="AZ4" s="2"/>
      <c r="BA4" s="2"/>
      <c r="BB4" s="2"/>
      <c r="BC4" s="2"/>
      <c r="BD4" s="2"/>
    </row>
    <row r="5" spans="1:56" x14ac:dyDescent="0.35">
      <c r="A5" s="1" t="s">
        <v>107</v>
      </c>
      <c r="B5" s="2"/>
      <c r="C5" s="3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  <c r="AN5" s="2"/>
      <c r="AO5" s="2"/>
      <c r="AP5" s="2"/>
      <c r="AQ5" s="2"/>
      <c r="AR5" s="2"/>
      <c r="AS5" s="2"/>
      <c r="AT5" s="2"/>
      <c r="AU5" s="2"/>
      <c r="AV5" s="2"/>
      <c r="AW5" s="2"/>
      <c r="AX5" s="2"/>
      <c r="AY5" s="2"/>
      <c r="AZ5" s="2"/>
      <c r="BA5" s="2"/>
      <c r="BB5" s="2"/>
      <c r="BC5" s="2"/>
      <c r="BD5" s="2"/>
    </row>
    <row r="6" spans="1:56" x14ac:dyDescent="0.35">
      <c r="A6" s="5"/>
      <c r="B6" s="6"/>
      <c r="C6" s="7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  <c r="AM6" s="2"/>
      <c r="AN6" s="2"/>
      <c r="AO6" s="2"/>
      <c r="AP6" s="2"/>
      <c r="AQ6" s="2"/>
      <c r="AR6" s="2"/>
      <c r="AS6" s="2"/>
      <c r="AT6" s="2"/>
      <c r="AU6" s="2"/>
      <c r="AV6" s="2"/>
      <c r="AW6" s="2"/>
      <c r="AX6" s="2"/>
      <c r="AY6" s="2"/>
      <c r="AZ6" s="2"/>
      <c r="BA6" s="2"/>
      <c r="BB6" s="2"/>
      <c r="BC6" s="2"/>
      <c r="BD6" s="2"/>
    </row>
    <row r="7" spans="1:56" x14ac:dyDescent="0.35">
      <c r="A7" s="77" t="s">
        <v>4</v>
      </c>
      <c r="B7" s="80" t="s">
        <v>5</v>
      </c>
      <c r="C7" s="80"/>
      <c r="D7" s="81" t="s">
        <v>6</v>
      </c>
      <c r="E7" s="81"/>
      <c r="F7" s="81"/>
      <c r="G7" s="81"/>
      <c r="H7" s="81"/>
      <c r="I7" s="81"/>
      <c r="J7" s="81"/>
      <c r="K7" s="81"/>
      <c r="L7" s="81"/>
      <c r="M7" s="81"/>
      <c r="N7" s="81"/>
      <c r="O7" s="81"/>
      <c r="P7" s="81"/>
      <c r="Q7" s="81"/>
      <c r="R7" s="81"/>
      <c r="S7" s="81"/>
      <c r="T7" s="81"/>
      <c r="U7" s="81"/>
      <c r="V7" s="81"/>
      <c r="W7" s="81"/>
      <c r="X7" s="81"/>
      <c r="Y7" s="81"/>
      <c r="Z7" s="81"/>
      <c r="AA7" s="81"/>
      <c r="AB7" s="81"/>
      <c r="AC7" s="81"/>
      <c r="AD7" s="81"/>
      <c r="AE7" s="81"/>
      <c r="AF7" s="81"/>
      <c r="AG7" s="81"/>
      <c r="AH7" s="81"/>
      <c r="AI7" s="81"/>
      <c r="AJ7" s="81"/>
      <c r="AK7" s="81"/>
      <c r="AL7" s="81"/>
      <c r="AM7" s="81"/>
      <c r="AN7" s="81"/>
      <c r="AO7" s="81"/>
      <c r="AP7" s="81"/>
      <c r="AQ7" s="81"/>
      <c r="AR7" s="81"/>
      <c r="AS7" s="81"/>
      <c r="AT7" s="81"/>
      <c r="AU7" s="81"/>
      <c r="AV7" s="81"/>
      <c r="AW7" s="81"/>
      <c r="AX7" s="81"/>
      <c r="AY7" s="81"/>
      <c r="AZ7" s="81"/>
      <c r="BA7" s="81"/>
      <c r="BB7" s="81"/>
      <c r="BC7" s="81"/>
      <c r="BD7" s="81"/>
    </row>
    <row r="8" spans="1:56" x14ac:dyDescent="0.35">
      <c r="A8" s="78"/>
      <c r="B8" s="82" t="s">
        <v>7</v>
      </c>
      <c r="C8" s="84" t="s">
        <v>8</v>
      </c>
      <c r="D8" s="75">
        <v>1</v>
      </c>
      <c r="E8" s="75">
        <v>2</v>
      </c>
      <c r="F8" s="75">
        <v>3</v>
      </c>
      <c r="G8" s="75">
        <v>4</v>
      </c>
      <c r="H8" s="75">
        <v>5</v>
      </c>
      <c r="I8" s="75">
        <v>6</v>
      </c>
      <c r="J8" s="75">
        <v>7</v>
      </c>
      <c r="K8" s="75">
        <v>8</v>
      </c>
      <c r="L8" s="75">
        <v>9</v>
      </c>
      <c r="M8" s="75">
        <v>10</v>
      </c>
      <c r="N8" s="75">
        <v>11</v>
      </c>
      <c r="O8" s="75">
        <v>12</v>
      </c>
      <c r="P8" s="75">
        <v>13</v>
      </c>
      <c r="Q8" s="75">
        <v>14</v>
      </c>
      <c r="R8" s="75">
        <v>15</v>
      </c>
      <c r="S8" s="75">
        <v>16</v>
      </c>
      <c r="T8" s="75">
        <v>17</v>
      </c>
      <c r="U8" s="75">
        <v>18</v>
      </c>
      <c r="V8" s="75">
        <v>19</v>
      </c>
      <c r="W8" s="75">
        <v>20</v>
      </c>
      <c r="X8" s="75">
        <v>21</v>
      </c>
      <c r="Y8" s="75">
        <v>22</v>
      </c>
      <c r="Z8" s="75">
        <v>23</v>
      </c>
      <c r="AA8" s="75">
        <v>24</v>
      </c>
      <c r="AB8" s="75">
        <v>25</v>
      </c>
      <c r="AC8" s="75">
        <v>26</v>
      </c>
      <c r="AD8" s="75">
        <v>27</v>
      </c>
      <c r="AE8" s="75">
        <v>28</v>
      </c>
      <c r="AF8" s="75">
        <v>29</v>
      </c>
      <c r="AG8" s="75">
        <v>30</v>
      </c>
      <c r="AH8" s="75">
        <v>31</v>
      </c>
      <c r="AI8" s="75">
        <v>32</v>
      </c>
      <c r="AJ8" s="75">
        <v>33</v>
      </c>
      <c r="AK8" s="75">
        <v>34</v>
      </c>
      <c r="AL8" s="75">
        <v>35</v>
      </c>
      <c r="AM8" s="75">
        <v>36</v>
      </c>
      <c r="AN8" s="75">
        <v>37</v>
      </c>
      <c r="AO8" s="75">
        <v>38</v>
      </c>
      <c r="AP8" s="75">
        <v>39</v>
      </c>
      <c r="AQ8" s="75">
        <v>40</v>
      </c>
      <c r="AR8" s="75">
        <v>41</v>
      </c>
      <c r="AS8" s="75">
        <v>42</v>
      </c>
      <c r="AT8" s="75">
        <v>43</v>
      </c>
      <c r="AU8" s="75">
        <v>44</v>
      </c>
      <c r="AV8" s="75">
        <v>45</v>
      </c>
      <c r="AW8" s="75">
        <v>46</v>
      </c>
      <c r="AX8" s="75">
        <v>47</v>
      </c>
      <c r="AY8" s="75">
        <v>48</v>
      </c>
      <c r="AZ8" s="75">
        <v>49</v>
      </c>
      <c r="BA8" s="75">
        <v>50</v>
      </c>
      <c r="BB8" s="75">
        <v>51</v>
      </c>
      <c r="BC8" s="75">
        <v>52</v>
      </c>
      <c r="BD8" s="75">
        <v>53</v>
      </c>
    </row>
    <row r="9" spans="1:56" x14ac:dyDescent="0.35">
      <c r="A9" s="79"/>
      <c r="B9" s="83"/>
      <c r="C9" s="85"/>
      <c r="D9" s="76"/>
      <c r="E9" s="76"/>
      <c r="F9" s="76"/>
      <c r="G9" s="76"/>
      <c r="H9" s="76"/>
      <c r="I9" s="76"/>
      <c r="J9" s="76"/>
      <c r="K9" s="76"/>
      <c r="L9" s="76"/>
      <c r="M9" s="76"/>
      <c r="N9" s="76"/>
      <c r="O9" s="76"/>
      <c r="P9" s="76"/>
      <c r="Q9" s="76"/>
      <c r="R9" s="76"/>
      <c r="S9" s="76"/>
      <c r="T9" s="76"/>
      <c r="U9" s="76"/>
      <c r="V9" s="76"/>
      <c r="W9" s="76"/>
      <c r="X9" s="76"/>
      <c r="Y9" s="76"/>
      <c r="Z9" s="76"/>
      <c r="AA9" s="76"/>
      <c r="AB9" s="76"/>
      <c r="AC9" s="76"/>
      <c r="AD9" s="76"/>
      <c r="AE9" s="76"/>
      <c r="AF9" s="76"/>
      <c r="AG9" s="76"/>
      <c r="AH9" s="76"/>
      <c r="AI9" s="76"/>
      <c r="AJ9" s="76"/>
      <c r="AK9" s="76"/>
      <c r="AL9" s="76"/>
      <c r="AM9" s="76"/>
      <c r="AN9" s="76"/>
      <c r="AO9" s="76"/>
      <c r="AP9" s="76"/>
      <c r="AQ9" s="76"/>
      <c r="AR9" s="76"/>
      <c r="AS9" s="76"/>
      <c r="AT9" s="76"/>
      <c r="AU9" s="76"/>
      <c r="AV9" s="76"/>
      <c r="AW9" s="76"/>
      <c r="AX9" s="76"/>
      <c r="AY9" s="76"/>
      <c r="AZ9" s="76"/>
      <c r="BA9" s="76"/>
      <c r="BB9" s="76"/>
      <c r="BC9" s="76"/>
      <c r="BD9" s="76"/>
    </row>
    <row r="10" spans="1:56" x14ac:dyDescent="0.35">
      <c r="A10" s="8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2"/>
      <c r="AL10" s="2"/>
      <c r="AM10" s="2"/>
      <c r="AN10" s="2"/>
      <c r="AO10" s="2"/>
      <c r="AP10" s="2"/>
      <c r="AQ10" s="2"/>
      <c r="AR10" s="2"/>
      <c r="AS10" s="2"/>
      <c r="AT10" s="2"/>
      <c r="AU10" s="2"/>
      <c r="AV10" s="2"/>
      <c r="AW10" s="2"/>
      <c r="AX10" s="2"/>
      <c r="AY10" s="2"/>
      <c r="AZ10" s="2"/>
      <c r="BA10" s="2"/>
      <c r="BB10" s="2"/>
      <c r="BC10" s="2"/>
      <c r="BD10" s="2"/>
    </row>
    <row r="11" spans="1:56" x14ac:dyDescent="0.35">
      <c r="A11" s="9" t="s">
        <v>9</v>
      </c>
      <c r="B11" s="10">
        <v>5175</v>
      </c>
      <c r="C11" s="11">
        <v>100.23201532591094</v>
      </c>
      <c r="D11" s="10">
        <v>88</v>
      </c>
      <c r="E11" s="10">
        <v>49</v>
      </c>
      <c r="F11" s="10">
        <v>71</v>
      </c>
      <c r="G11" s="10">
        <v>85</v>
      </c>
      <c r="H11" s="10">
        <v>76</v>
      </c>
      <c r="I11" s="10">
        <v>64</v>
      </c>
      <c r="J11" s="10">
        <v>78</v>
      </c>
      <c r="K11" s="10">
        <v>81</v>
      </c>
      <c r="L11" s="10">
        <v>64</v>
      </c>
      <c r="M11" s="10">
        <v>80</v>
      </c>
      <c r="N11" s="10">
        <v>67</v>
      </c>
      <c r="O11" s="10">
        <v>76</v>
      </c>
      <c r="P11" s="10">
        <v>46</v>
      </c>
      <c r="Q11" s="10">
        <v>51</v>
      </c>
      <c r="R11" s="10">
        <v>44</v>
      </c>
      <c r="S11" s="10">
        <v>44</v>
      </c>
      <c r="T11" s="10">
        <v>46</v>
      </c>
      <c r="U11" s="10">
        <v>45</v>
      </c>
      <c r="V11" s="10">
        <v>47</v>
      </c>
      <c r="W11" s="10">
        <v>52</v>
      </c>
      <c r="X11" s="10">
        <v>48</v>
      </c>
      <c r="Y11" s="10">
        <v>54</v>
      </c>
      <c r="Z11" s="10">
        <v>48</v>
      </c>
      <c r="AA11" s="10">
        <v>84</v>
      </c>
      <c r="AB11" s="10">
        <v>99</v>
      </c>
      <c r="AC11" s="10">
        <v>102</v>
      </c>
      <c r="AD11" s="10">
        <v>132</v>
      </c>
      <c r="AE11" s="10">
        <v>137</v>
      </c>
      <c r="AF11" s="10">
        <v>110</v>
      </c>
      <c r="AG11" s="10">
        <v>107</v>
      </c>
      <c r="AH11" s="10">
        <v>164</v>
      </c>
      <c r="AI11" s="10">
        <v>131</v>
      </c>
      <c r="AJ11" s="10">
        <v>107</v>
      </c>
      <c r="AK11" s="10">
        <v>139</v>
      </c>
      <c r="AL11" s="10">
        <v>139</v>
      </c>
      <c r="AM11" s="10">
        <v>131</v>
      </c>
      <c r="AN11" s="10">
        <v>169</v>
      </c>
      <c r="AO11" s="10">
        <v>188</v>
      </c>
      <c r="AP11" s="10">
        <v>218</v>
      </c>
      <c r="AQ11" s="10">
        <v>197</v>
      </c>
      <c r="AR11" s="10">
        <v>147</v>
      </c>
      <c r="AS11" s="10">
        <v>191</v>
      </c>
      <c r="AT11" s="10">
        <v>139</v>
      </c>
      <c r="AU11" s="10">
        <v>156</v>
      </c>
      <c r="AV11" s="10">
        <v>157</v>
      </c>
      <c r="AW11" s="10">
        <v>115</v>
      </c>
      <c r="AX11" s="10">
        <v>86</v>
      </c>
      <c r="AY11" s="10">
        <v>118</v>
      </c>
      <c r="AZ11" s="10">
        <v>98</v>
      </c>
      <c r="BA11" s="10">
        <v>88</v>
      </c>
      <c r="BB11" s="10">
        <v>77</v>
      </c>
      <c r="BC11" s="10">
        <v>45</v>
      </c>
      <c r="BD11" s="10">
        <v>0</v>
      </c>
    </row>
    <row r="12" spans="1:56" x14ac:dyDescent="0.35">
      <c r="A12" s="1"/>
      <c r="B12" s="12"/>
      <c r="C12" s="13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/>
      <c r="AK12" s="2"/>
      <c r="AL12" s="2"/>
      <c r="AM12" s="2"/>
      <c r="AN12" s="2"/>
      <c r="AO12" s="2"/>
      <c r="AP12" s="2"/>
      <c r="AQ12" s="2"/>
      <c r="AR12" s="2"/>
      <c r="AS12" s="2"/>
      <c r="AT12" s="2"/>
      <c r="AU12" s="2"/>
      <c r="AV12" s="2"/>
      <c r="AW12" s="2"/>
      <c r="AX12" s="2"/>
      <c r="AY12" s="2"/>
      <c r="AZ12" s="2"/>
      <c r="BA12" s="2"/>
      <c r="BB12" s="2"/>
      <c r="BC12" s="2"/>
      <c r="BD12" s="2"/>
    </row>
    <row r="13" spans="1:56" x14ac:dyDescent="0.35">
      <c r="A13" s="1" t="s">
        <v>10</v>
      </c>
      <c r="B13" s="10">
        <v>246</v>
      </c>
      <c r="C13" s="11">
        <v>14.698123838265667</v>
      </c>
      <c r="D13" s="10">
        <v>10</v>
      </c>
      <c r="E13" s="10">
        <v>5</v>
      </c>
      <c r="F13" s="10">
        <v>6</v>
      </c>
      <c r="G13" s="10">
        <v>5</v>
      </c>
      <c r="H13" s="10">
        <v>8</v>
      </c>
      <c r="I13" s="10">
        <v>5</v>
      </c>
      <c r="J13" s="10">
        <v>3</v>
      </c>
      <c r="K13" s="10">
        <v>5</v>
      </c>
      <c r="L13" s="10">
        <v>5</v>
      </c>
      <c r="M13" s="10">
        <v>7</v>
      </c>
      <c r="N13" s="10">
        <v>6</v>
      </c>
      <c r="O13" s="10">
        <v>4</v>
      </c>
      <c r="P13" s="10">
        <v>3</v>
      </c>
      <c r="Q13" s="10">
        <v>1</v>
      </c>
      <c r="R13" s="10">
        <v>1</v>
      </c>
      <c r="S13" s="10">
        <v>4</v>
      </c>
      <c r="T13" s="10">
        <v>2</v>
      </c>
      <c r="U13" s="10">
        <v>4</v>
      </c>
      <c r="V13" s="10">
        <v>2</v>
      </c>
      <c r="W13" s="10">
        <v>2</v>
      </c>
      <c r="X13" s="10">
        <v>3</v>
      </c>
      <c r="Y13" s="10">
        <v>3</v>
      </c>
      <c r="Z13" s="10">
        <v>3</v>
      </c>
      <c r="AA13" s="10">
        <v>5</v>
      </c>
      <c r="AB13" s="10">
        <v>8</v>
      </c>
      <c r="AC13" s="10">
        <v>5</v>
      </c>
      <c r="AD13" s="10">
        <v>5</v>
      </c>
      <c r="AE13" s="10">
        <v>3</v>
      </c>
      <c r="AF13" s="10">
        <v>2</v>
      </c>
      <c r="AG13" s="10">
        <v>2</v>
      </c>
      <c r="AH13" s="10">
        <v>7</v>
      </c>
      <c r="AI13" s="10">
        <v>8</v>
      </c>
      <c r="AJ13" s="10">
        <v>1</v>
      </c>
      <c r="AK13" s="10">
        <v>7</v>
      </c>
      <c r="AL13" s="10">
        <v>4</v>
      </c>
      <c r="AM13" s="10">
        <v>3</v>
      </c>
      <c r="AN13" s="10">
        <v>9</v>
      </c>
      <c r="AO13" s="10">
        <v>6</v>
      </c>
      <c r="AP13" s="10">
        <v>6</v>
      </c>
      <c r="AQ13" s="10">
        <v>3</v>
      </c>
      <c r="AR13" s="10">
        <v>4</v>
      </c>
      <c r="AS13" s="10">
        <v>5</v>
      </c>
      <c r="AT13" s="10">
        <v>7</v>
      </c>
      <c r="AU13" s="10">
        <v>8</v>
      </c>
      <c r="AV13" s="10">
        <v>2</v>
      </c>
      <c r="AW13" s="10">
        <v>7</v>
      </c>
      <c r="AX13" s="10">
        <v>6</v>
      </c>
      <c r="AY13" s="10">
        <v>4</v>
      </c>
      <c r="AZ13" s="10">
        <v>8</v>
      </c>
      <c r="BA13" s="10">
        <v>6</v>
      </c>
      <c r="BB13" s="10">
        <v>6</v>
      </c>
      <c r="BC13" s="10">
        <v>2</v>
      </c>
      <c r="BD13" s="10">
        <v>0</v>
      </c>
    </row>
    <row r="14" spans="1:56" x14ac:dyDescent="0.35">
      <c r="A14" s="14" t="s">
        <v>11</v>
      </c>
      <c r="B14" s="15">
        <v>43</v>
      </c>
      <c r="C14" s="16">
        <v>12.297027551061261</v>
      </c>
      <c r="D14" s="15">
        <v>5</v>
      </c>
      <c r="E14" s="15">
        <v>0</v>
      </c>
      <c r="F14" s="15">
        <v>1</v>
      </c>
      <c r="G14" s="15">
        <v>0</v>
      </c>
      <c r="H14" s="15">
        <v>1</v>
      </c>
      <c r="I14" s="15">
        <v>0</v>
      </c>
      <c r="J14" s="15">
        <v>0</v>
      </c>
      <c r="K14" s="15">
        <v>1</v>
      </c>
      <c r="L14" s="15">
        <v>0</v>
      </c>
      <c r="M14" s="15">
        <v>3</v>
      </c>
      <c r="N14" s="15">
        <v>1</v>
      </c>
      <c r="O14" s="15">
        <v>0</v>
      </c>
      <c r="P14" s="15">
        <v>1</v>
      </c>
      <c r="Q14" s="15">
        <v>0</v>
      </c>
      <c r="R14" s="15">
        <v>1</v>
      </c>
      <c r="S14" s="15">
        <v>2</v>
      </c>
      <c r="T14" s="15">
        <v>1</v>
      </c>
      <c r="U14" s="15">
        <v>1</v>
      </c>
      <c r="V14" s="15">
        <v>0</v>
      </c>
      <c r="W14" s="15">
        <v>0</v>
      </c>
      <c r="X14" s="15">
        <v>0</v>
      </c>
      <c r="Y14" s="15">
        <v>0</v>
      </c>
      <c r="Z14" s="15">
        <v>1</v>
      </c>
      <c r="AA14" s="15">
        <v>0</v>
      </c>
      <c r="AB14" s="15">
        <v>1</v>
      </c>
      <c r="AC14" s="15">
        <v>0</v>
      </c>
      <c r="AD14" s="15">
        <v>2</v>
      </c>
      <c r="AE14" s="15">
        <v>0</v>
      </c>
      <c r="AF14" s="15">
        <v>0</v>
      </c>
      <c r="AG14" s="15">
        <v>1</v>
      </c>
      <c r="AH14" s="15">
        <v>0</v>
      </c>
      <c r="AI14" s="15">
        <v>2</v>
      </c>
      <c r="AJ14" s="15">
        <v>0</v>
      </c>
      <c r="AK14" s="15">
        <v>1</v>
      </c>
      <c r="AL14" s="15">
        <v>0</v>
      </c>
      <c r="AM14" s="15">
        <v>1</v>
      </c>
      <c r="AN14" s="15">
        <v>1</v>
      </c>
      <c r="AO14" s="15">
        <v>0</v>
      </c>
      <c r="AP14" s="15">
        <v>2</v>
      </c>
      <c r="AQ14" s="15">
        <v>2</v>
      </c>
      <c r="AR14" s="15">
        <v>1</v>
      </c>
      <c r="AS14" s="15">
        <v>1</v>
      </c>
      <c r="AT14" s="15">
        <v>1</v>
      </c>
      <c r="AU14" s="15">
        <v>0</v>
      </c>
      <c r="AV14" s="15">
        <v>0</v>
      </c>
      <c r="AW14" s="15">
        <v>1</v>
      </c>
      <c r="AX14" s="15">
        <v>3</v>
      </c>
      <c r="AY14" s="15">
        <v>1</v>
      </c>
      <c r="AZ14" s="15">
        <v>1</v>
      </c>
      <c r="BA14" s="15">
        <v>1</v>
      </c>
      <c r="BB14" s="15">
        <v>1</v>
      </c>
      <c r="BC14" s="15">
        <v>0</v>
      </c>
      <c r="BD14" s="15">
        <v>0</v>
      </c>
    </row>
    <row r="15" spans="1:56" x14ac:dyDescent="0.35">
      <c r="A15" s="14" t="s">
        <v>12</v>
      </c>
      <c r="B15" s="15">
        <v>0</v>
      </c>
      <c r="C15" s="16">
        <v>0</v>
      </c>
      <c r="D15" s="15">
        <v>0</v>
      </c>
      <c r="E15" s="15">
        <v>0</v>
      </c>
      <c r="F15" s="15">
        <v>0</v>
      </c>
      <c r="G15" s="15">
        <v>0</v>
      </c>
      <c r="H15" s="15">
        <v>0</v>
      </c>
      <c r="I15" s="15">
        <v>0</v>
      </c>
      <c r="J15" s="15">
        <v>0</v>
      </c>
      <c r="K15" s="15">
        <v>0</v>
      </c>
      <c r="L15" s="15">
        <v>0</v>
      </c>
      <c r="M15" s="15">
        <v>0</v>
      </c>
      <c r="N15" s="15">
        <v>0</v>
      </c>
      <c r="O15" s="15">
        <v>0</v>
      </c>
      <c r="P15" s="15">
        <v>0</v>
      </c>
      <c r="Q15" s="15">
        <v>0</v>
      </c>
      <c r="R15" s="15">
        <v>0</v>
      </c>
      <c r="S15" s="15">
        <v>0</v>
      </c>
      <c r="T15" s="15">
        <v>0</v>
      </c>
      <c r="U15" s="15">
        <v>0</v>
      </c>
      <c r="V15" s="15">
        <v>0</v>
      </c>
      <c r="W15" s="15">
        <v>0</v>
      </c>
      <c r="X15" s="15">
        <v>0</v>
      </c>
      <c r="Y15" s="15">
        <v>0</v>
      </c>
      <c r="Z15" s="15">
        <v>0</v>
      </c>
      <c r="AA15" s="15">
        <v>0</v>
      </c>
      <c r="AB15" s="15">
        <v>0</v>
      </c>
      <c r="AC15" s="15">
        <v>0</v>
      </c>
      <c r="AD15" s="15">
        <v>0</v>
      </c>
      <c r="AE15" s="15">
        <v>0</v>
      </c>
      <c r="AF15" s="15">
        <v>0</v>
      </c>
      <c r="AG15" s="15">
        <v>0</v>
      </c>
      <c r="AH15" s="15">
        <v>0</v>
      </c>
      <c r="AI15" s="15">
        <v>0</v>
      </c>
      <c r="AJ15" s="15">
        <v>0</v>
      </c>
      <c r="AK15" s="15">
        <v>0</v>
      </c>
      <c r="AL15" s="15">
        <v>0</v>
      </c>
      <c r="AM15" s="15">
        <v>0</v>
      </c>
      <c r="AN15" s="15">
        <v>0</v>
      </c>
      <c r="AO15" s="15">
        <v>0</v>
      </c>
      <c r="AP15" s="15">
        <v>0</v>
      </c>
      <c r="AQ15" s="15">
        <v>0</v>
      </c>
      <c r="AR15" s="15">
        <v>0</v>
      </c>
      <c r="AS15" s="15">
        <v>0</v>
      </c>
      <c r="AT15" s="15">
        <v>0</v>
      </c>
      <c r="AU15" s="15">
        <v>0</v>
      </c>
      <c r="AV15" s="15">
        <v>0</v>
      </c>
      <c r="AW15" s="15">
        <v>0</v>
      </c>
      <c r="AX15" s="15">
        <v>0</v>
      </c>
      <c r="AY15" s="15">
        <v>0</v>
      </c>
      <c r="AZ15" s="15">
        <v>0</v>
      </c>
      <c r="BA15" s="15">
        <v>0</v>
      </c>
      <c r="BB15" s="15">
        <v>0</v>
      </c>
      <c r="BC15" s="15">
        <v>0</v>
      </c>
      <c r="BD15" s="15">
        <v>0</v>
      </c>
    </row>
    <row r="16" spans="1:56" x14ac:dyDescent="0.35">
      <c r="A16" s="14" t="s">
        <v>13</v>
      </c>
      <c r="B16" s="15">
        <v>34</v>
      </c>
      <c r="C16" s="16">
        <v>13.746704833988323</v>
      </c>
      <c r="D16" s="15">
        <v>0</v>
      </c>
      <c r="E16" s="15">
        <v>1</v>
      </c>
      <c r="F16" s="15">
        <v>1</v>
      </c>
      <c r="G16" s="15">
        <v>1</v>
      </c>
      <c r="H16" s="15">
        <v>0</v>
      </c>
      <c r="I16" s="15">
        <v>0</v>
      </c>
      <c r="J16" s="15">
        <v>2</v>
      </c>
      <c r="K16" s="15">
        <v>3</v>
      </c>
      <c r="L16" s="15">
        <v>0</v>
      </c>
      <c r="M16" s="15">
        <v>1</v>
      </c>
      <c r="N16" s="15">
        <v>0</v>
      </c>
      <c r="O16" s="15">
        <v>1</v>
      </c>
      <c r="P16" s="15">
        <v>1</v>
      </c>
      <c r="Q16" s="15">
        <v>1</v>
      </c>
      <c r="R16" s="15">
        <v>0</v>
      </c>
      <c r="S16" s="15">
        <v>0</v>
      </c>
      <c r="T16" s="15">
        <v>0</v>
      </c>
      <c r="U16" s="15">
        <v>1</v>
      </c>
      <c r="V16" s="15">
        <v>0</v>
      </c>
      <c r="W16" s="15">
        <v>2</v>
      </c>
      <c r="X16" s="15">
        <v>0</v>
      </c>
      <c r="Y16" s="15">
        <v>0</v>
      </c>
      <c r="Z16" s="15">
        <v>0</v>
      </c>
      <c r="AA16" s="15">
        <v>1</v>
      </c>
      <c r="AB16" s="15">
        <v>1</v>
      </c>
      <c r="AC16" s="15">
        <v>0</v>
      </c>
      <c r="AD16" s="15">
        <v>0</v>
      </c>
      <c r="AE16" s="15">
        <v>0</v>
      </c>
      <c r="AF16" s="15">
        <v>0</v>
      </c>
      <c r="AG16" s="15">
        <v>0</v>
      </c>
      <c r="AH16" s="15">
        <v>0</v>
      </c>
      <c r="AI16" s="15">
        <v>5</v>
      </c>
      <c r="AJ16" s="15">
        <v>0</v>
      </c>
      <c r="AK16" s="15">
        <v>1</v>
      </c>
      <c r="AL16" s="15">
        <v>0</v>
      </c>
      <c r="AM16" s="15">
        <v>1</v>
      </c>
      <c r="AN16" s="15">
        <v>5</v>
      </c>
      <c r="AO16" s="15">
        <v>1</v>
      </c>
      <c r="AP16" s="15">
        <v>0</v>
      </c>
      <c r="AQ16" s="15">
        <v>0</v>
      </c>
      <c r="AR16" s="15">
        <v>0</v>
      </c>
      <c r="AS16" s="15">
        <v>2</v>
      </c>
      <c r="AT16" s="15">
        <v>0</v>
      </c>
      <c r="AU16" s="15">
        <v>1</v>
      </c>
      <c r="AV16" s="15">
        <v>1</v>
      </c>
      <c r="AW16" s="15">
        <v>0</v>
      </c>
      <c r="AX16" s="15">
        <v>0</v>
      </c>
      <c r="AY16" s="15">
        <v>0</v>
      </c>
      <c r="AZ16" s="15">
        <v>0</v>
      </c>
      <c r="BA16" s="15">
        <v>0</v>
      </c>
      <c r="BB16" s="15">
        <v>0</v>
      </c>
      <c r="BC16" s="15">
        <v>0</v>
      </c>
      <c r="BD16" s="15">
        <v>0</v>
      </c>
    </row>
    <row r="17" spans="1:56" x14ac:dyDescent="0.35">
      <c r="A17" s="14" t="s">
        <v>14</v>
      </c>
      <c r="B17" s="15">
        <v>0</v>
      </c>
      <c r="C17" s="16">
        <v>0</v>
      </c>
      <c r="D17" s="15">
        <v>0</v>
      </c>
      <c r="E17" s="15">
        <v>0</v>
      </c>
      <c r="F17" s="15">
        <v>0</v>
      </c>
      <c r="G17" s="15">
        <v>0</v>
      </c>
      <c r="H17" s="15">
        <v>0</v>
      </c>
      <c r="I17" s="15">
        <v>0</v>
      </c>
      <c r="J17" s="15">
        <v>0</v>
      </c>
      <c r="K17" s="15">
        <v>0</v>
      </c>
      <c r="L17" s="15">
        <v>0</v>
      </c>
      <c r="M17" s="15">
        <v>0</v>
      </c>
      <c r="N17" s="15">
        <v>0</v>
      </c>
      <c r="O17" s="15">
        <v>0</v>
      </c>
      <c r="P17" s="15">
        <v>0</v>
      </c>
      <c r="Q17" s="15">
        <v>0</v>
      </c>
      <c r="R17" s="15">
        <v>0</v>
      </c>
      <c r="S17" s="15">
        <v>0</v>
      </c>
      <c r="T17" s="15">
        <v>0</v>
      </c>
      <c r="U17" s="15">
        <v>0</v>
      </c>
      <c r="V17" s="15">
        <v>0</v>
      </c>
      <c r="W17" s="15">
        <v>0</v>
      </c>
      <c r="X17" s="15">
        <v>0</v>
      </c>
      <c r="Y17" s="15">
        <v>0</v>
      </c>
      <c r="Z17" s="15">
        <v>0</v>
      </c>
      <c r="AA17" s="15">
        <v>0</v>
      </c>
      <c r="AB17" s="15">
        <v>0</v>
      </c>
      <c r="AC17" s="15">
        <v>0</v>
      </c>
      <c r="AD17" s="15">
        <v>0</v>
      </c>
      <c r="AE17" s="15">
        <v>0</v>
      </c>
      <c r="AF17" s="15">
        <v>0</v>
      </c>
      <c r="AG17" s="15">
        <v>0</v>
      </c>
      <c r="AH17" s="15">
        <v>0</v>
      </c>
      <c r="AI17" s="15">
        <v>0</v>
      </c>
      <c r="AJ17" s="15">
        <v>0</v>
      </c>
      <c r="AK17" s="15">
        <v>0</v>
      </c>
      <c r="AL17" s="15">
        <v>0</v>
      </c>
      <c r="AM17" s="15">
        <v>0</v>
      </c>
      <c r="AN17" s="15">
        <v>0</v>
      </c>
      <c r="AO17" s="15">
        <v>0</v>
      </c>
      <c r="AP17" s="15">
        <v>0</v>
      </c>
      <c r="AQ17" s="15">
        <v>0</v>
      </c>
      <c r="AR17" s="15">
        <v>0</v>
      </c>
      <c r="AS17" s="15">
        <v>0</v>
      </c>
      <c r="AT17" s="15">
        <v>0</v>
      </c>
      <c r="AU17" s="15">
        <v>0</v>
      </c>
      <c r="AV17" s="15">
        <v>0</v>
      </c>
      <c r="AW17" s="15">
        <v>0</v>
      </c>
      <c r="AX17" s="15">
        <v>0</v>
      </c>
      <c r="AY17" s="15">
        <v>0</v>
      </c>
      <c r="AZ17" s="15">
        <v>0</v>
      </c>
      <c r="BA17" s="15">
        <v>0</v>
      </c>
      <c r="BB17" s="15">
        <v>0</v>
      </c>
      <c r="BC17" s="15">
        <v>0</v>
      </c>
      <c r="BD17" s="15">
        <v>0</v>
      </c>
    </row>
    <row r="18" spans="1:56" x14ac:dyDescent="0.35">
      <c r="A18" s="14" t="s">
        <v>15</v>
      </c>
      <c r="B18" s="15">
        <v>1</v>
      </c>
      <c r="C18" s="16">
        <v>5.3573341905068039</v>
      </c>
      <c r="D18" s="15">
        <v>0</v>
      </c>
      <c r="E18" s="15">
        <v>0</v>
      </c>
      <c r="F18" s="15">
        <v>0</v>
      </c>
      <c r="G18" s="15">
        <v>0</v>
      </c>
      <c r="H18" s="15">
        <v>0</v>
      </c>
      <c r="I18" s="15">
        <v>0</v>
      </c>
      <c r="J18" s="15">
        <v>0</v>
      </c>
      <c r="K18" s="15">
        <v>0</v>
      </c>
      <c r="L18" s="15">
        <v>0</v>
      </c>
      <c r="M18" s="15">
        <v>0</v>
      </c>
      <c r="N18" s="15">
        <v>0</v>
      </c>
      <c r="O18" s="15">
        <v>0</v>
      </c>
      <c r="P18" s="15">
        <v>0</v>
      </c>
      <c r="Q18" s="15">
        <v>0</v>
      </c>
      <c r="R18" s="15">
        <v>0</v>
      </c>
      <c r="S18" s="15">
        <v>0</v>
      </c>
      <c r="T18" s="15">
        <v>0</v>
      </c>
      <c r="U18" s="15">
        <v>0</v>
      </c>
      <c r="V18" s="15">
        <v>0</v>
      </c>
      <c r="W18" s="15">
        <v>0</v>
      </c>
      <c r="X18" s="15">
        <v>0</v>
      </c>
      <c r="Y18" s="15">
        <v>0</v>
      </c>
      <c r="Z18" s="15">
        <v>0</v>
      </c>
      <c r="AA18" s="15">
        <v>0</v>
      </c>
      <c r="AB18" s="15">
        <v>0</v>
      </c>
      <c r="AC18" s="15">
        <v>0</v>
      </c>
      <c r="AD18" s="15">
        <v>0</v>
      </c>
      <c r="AE18" s="15">
        <v>0</v>
      </c>
      <c r="AF18" s="15">
        <v>0</v>
      </c>
      <c r="AG18" s="15">
        <v>0</v>
      </c>
      <c r="AH18" s="15">
        <v>0</v>
      </c>
      <c r="AI18" s="15">
        <v>0</v>
      </c>
      <c r="AJ18" s="15">
        <v>0</v>
      </c>
      <c r="AK18" s="15">
        <v>0</v>
      </c>
      <c r="AL18" s="15">
        <v>0</v>
      </c>
      <c r="AM18" s="15">
        <v>0</v>
      </c>
      <c r="AN18" s="15">
        <v>0</v>
      </c>
      <c r="AO18" s="15">
        <v>0</v>
      </c>
      <c r="AP18" s="15">
        <v>1</v>
      </c>
      <c r="AQ18" s="15">
        <v>0</v>
      </c>
      <c r="AR18" s="15">
        <v>0</v>
      </c>
      <c r="AS18" s="15">
        <v>0</v>
      </c>
      <c r="AT18" s="15">
        <v>0</v>
      </c>
      <c r="AU18" s="15">
        <v>0</v>
      </c>
      <c r="AV18" s="15">
        <v>0</v>
      </c>
      <c r="AW18" s="15">
        <v>0</v>
      </c>
      <c r="AX18" s="15">
        <v>0</v>
      </c>
      <c r="AY18" s="15">
        <v>0</v>
      </c>
      <c r="AZ18" s="15">
        <v>0</v>
      </c>
      <c r="BA18" s="15">
        <v>0</v>
      </c>
      <c r="BB18" s="15">
        <v>0</v>
      </c>
      <c r="BC18" s="15">
        <v>0</v>
      </c>
      <c r="BD18" s="15">
        <v>0</v>
      </c>
    </row>
    <row r="19" spans="1:56" x14ac:dyDescent="0.35">
      <c r="A19" s="14" t="s">
        <v>16</v>
      </c>
      <c r="B19" s="15">
        <v>10</v>
      </c>
      <c r="C19" s="16">
        <v>15.619630751929025</v>
      </c>
      <c r="D19" s="15">
        <v>0</v>
      </c>
      <c r="E19" s="15">
        <v>0</v>
      </c>
      <c r="F19" s="15">
        <v>0</v>
      </c>
      <c r="G19" s="15">
        <v>0</v>
      </c>
      <c r="H19" s="15">
        <v>0</v>
      </c>
      <c r="I19" s="15">
        <v>2</v>
      </c>
      <c r="J19" s="15">
        <v>0</v>
      </c>
      <c r="K19" s="15">
        <v>1</v>
      </c>
      <c r="L19" s="15">
        <v>3</v>
      </c>
      <c r="M19" s="15">
        <v>1</v>
      </c>
      <c r="N19" s="15">
        <v>0</v>
      </c>
      <c r="O19" s="15">
        <v>0</v>
      </c>
      <c r="P19" s="15">
        <v>0</v>
      </c>
      <c r="Q19" s="15">
        <v>0</v>
      </c>
      <c r="R19" s="15">
        <v>0</v>
      </c>
      <c r="S19" s="15">
        <v>0</v>
      </c>
      <c r="T19" s="15">
        <v>0</v>
      </c>
      <c r="U19" s="15">
        <v>0</v>
      </c>
      <c r="V19" s="15">
        <v>0</v>
      </c>
      <c r="W19" s="15">
        <v>0</v>
      </c>
      <c r="X19" s="15">
        <v>0</v>
      </c>
      <c r="Y19" s="15">
        <v>0</v>
      </c>
      <c r="Z19" s="15">
        <v>0</v>
      </c>
      <c r="AA19" s="15">
        <v>0</v>
      </c>
      <c r="AB19" s="15">
        <v>0</v>
      </c>
      <c r="AC19" s="15">
        <v>0</v>
      </c>
      <c r="AD19" s="15">
        <v>0</v>
      </c>
      <c r="AE19" s="15">
        <v>0</v>
      </c>
      <c r="AF19" s="15">
        <v>0</v>
      </c>
      <c r="AG19" s="15">
        <v>0</v>
      </c>
      <c r="AH19" s="15">
        <v>0</v>
      </c>
      <c r="AI19" s="15">
        <v>0</v>
      </c>
      <c r="AJ19" s="15">
        <v>0</v>
      </c>
      <c r="AK19" s="15">
        <v>0</v>
      </c>
      <c r="AL19" s="15">
        <v>0</v>
      </c>
      <c r="AM19" s="15">
        <v>0</v>
      </c>
      <c r="AN19" s="15">
        <v>1</v>
      </c>
      <c r="AO19" s="15">
        <v>0</v>
      </c>
      <c r="AP19" s="15">
        <v>0</v>
      </c>
      <c r="AQ19" s="15">
        <v>1</v>
      </c>
      <c r="AR19" s="15">
        <v>0</v>
      </c>
      <c r="AS19" s="15">
        <v>0</v>
      </c>
      <c r="AT19" s="15">
        <v>1</v>
      </c>
      <c r="AU19" s="15">
        <v>0</v>
      </c>
      <c r="AV19" s="15">
        <v>0</v>
      </c>
      <c r="AW19" s="15">
        <v>0</v>
      </c>
      <c r="AX19" s="15">
        <v>0</v>
      </c>
      <c r="AY19" s="15">
        <v>0</v>
      </c>
      <c r="AZ19" s="15">
        <v>0</v>
      </c>
      <c r="BA19" s="15">
        <v>0</v>
      </c>
      <c r="BB19" s="15">
        <v>0</v>
      </c>
      <c r="BC19" s="15">
        <v>0</v>
      </c>
      <c r="BD19" s="15">
        <v>0</v>
      </c>
    </row>
    <row r="20" spans="1:56" x14ac:dyDescent="0.35">
      <c r="A20" s="14" t="s">
        <v>17</v>
      </c>
      <c r="B20" s="15">
        <v>25</v>
      </c>
      <c r="C20" s="16">
        <v>81.843776599227397</v>
      </c>
      <c r="D20" s="15">
        <v>0</v>
      </c>
      <c r="E20" s="15">
        <v>0</v>
      </c>
      <c r="F20" s="15">
        <v>0</v>
      </c>
      <c r="G20" s="15">
        <v>0</v>
      </c>
      <c r="H20" s="15">
        <v>0</v>
      </c>
      <c r="I20" s="15">
        <v>0</v>
      </c>
      <c r="J20" s="15">
        <v>0</v>
      </c>
      <c r="K20" s="15">
        <v>0</v>
      </c>
      <c r="L20" s="15">
        <v>0</v>
      </c>
      <c r="M20" s="15">
        <v>0</v>
      </c>
      <c r="N20" s="15">
        <v>0</v>
      </c>
      <c r="O20" s="15">
        <v>0</v>
      </c>
      <c r="P20" s="15">
        <v>0</v>
      </c>
      <c r="Q20" s="15">
        <v>0</v>
      </c>
      <c r="R20" s="15">
        <v>0</v>
      </c>
      <c r="S20" s="15">
        <v>0</v>
      </c>
      <c r="T20" s="15">
        <v>0</v>
      </c>
      <c r="U20" s="15">
        <v>0</v>
      </c>
      <c r="V20" s="15">
        <v>0</v>
      </c>
      <c r="W20" s="15">
        <v>0</v>
      </c>
      <c r="X20" s="15">
        <v>1</v>
      </c>
      <c r="Y20" s="15">
        <v>3</v>
      </c>
      <c r="Z20" s="15">
        <v>2</v>
      </c>
      <c r="AA20" s="15">
        <v>3</v>
      </c>
      <c r="AB20" s="15">
        <v>5</v>
      </c>
      <c r="AC20" s="15">
        <v>4</v>
      </c>
      <c r="AD20" s="15">
        <v>1</v>
      </c>
      <c r="AE20" s="15">
        <v>2</v>
      </c>
      <c r="AF20" s="15">
        <v>1</v>
      </c>
      <c r="AG20" s="15">
        <v>0</v>
      </c>
      <c r="AH20" s="15">
        <v>0</v>
      </c>
      <c r="AI20" s="15">
        <v>0</v>
      </c>
      <c r="AJ20" s="15">
        <v>0</v>
      </c>
      <c r="AK20" s="15">
        <v>0</v>
      </c>
      <c r="AL20" s="15">
        <v>0</v>
      </c>
      <c r="AM20" s="15">
        <v>0</v>
      </c>
      <c r="AN20" s="15">
        <v>0</v>
      </c>
      <c r="AO20" s="15">
        <v>1</v>
      </c>
      <c r="AP20" s="15">
        <v>1</v>
      </c>
      <c r="AQ20" s="15">
        <v>0</v>
      </c>
      <c r="AR20" s="15">
        <v>0</v>
      </c>
      <c r="AS20" s="15">
        <v>0</v>
      </c>
      <c r="AT20" s="15">
        <v>0</v>
      </c>
      <c r="AU20" s="15">
        <v>0</v>
      </c>
      <c r="AV20" s="15">
        <v>0</v>
      </c>
      <c r="AW20" s="15">
        <v>1</v>
      </c>
      <c r="AX20" s="15">
        <v>0</v>
      </c>
      <c r="AY20" s="15">
        <v>0</v>
      </c>
      <c r="AZ20" s="15">
        <v>0</v>
      </c>
      <c r="BA20" s="15">
        <v>0</v>
      </c>
      <c r="BB20" s="15">
        <v>0</v>
      </c>
      <c r="BC20" s="15">
        <v>0</v>
      </c>
      <c r="BD20" s="15">
        <v>0</v>
      </c>
    </row>
    <row r="21" spans="1:56" x14ac:dyDescent="0.35">
      <c r="A21" s="14" t="s">
        <v>18</v>
      </c>
      <c r="B21" s="15">
        <v>11</v>
      </c>
      <c r="C21" s="16">
        <v>7.8752559458182381</v>
      </c>
      <c r="D21" s="15">
        <v>2</v>
      </c>
      <c r="E21" s="15">
        <v>0</v>
      </c>
      <c r="F21" s="15">
        <v>0</v>
      </c>
      <c r="G21" s="15">
        <v>0</v>
      </c>
      <c r="H21" s="15">
        <v>0</v>
      </c>
      <c r="I21" s="15">
        <v>0</v>
      </c>
      <c r="J21" s="15">
        <v>0</v>
      </c>
      <c r="K21" s="15">
        <v>0</v>
      </c>
      <c r="L21" s="15">
        <v>0</v>
      </c>
      <c r="M21" s="15">
        <v>0</v>
      </c>
      <c r="N21" s="15">
        <v>0</v>
      </c>
      <c r="O21" s="15">
        <v>0</v>
      </c>
      <c r="P21" s="15">
        <v>0</v>
      </c>
      <c r="Q21" s="15">
        <v>0</v>
      </c>
      <c r="R21" s="15">
        <v>0</v>
      </c>
      <c r="S21" s="15">
        <v>0</v>
      </c>
      <c r="T21" s="15">
        <v>0</v>
      </c>
      <c r="U21" s="15">
        <v>0</v>
      </c>
      <c r="V21" s="15">
        <v>0</v>
      </c>
      <c r="W21" s="15">
        <v>0</v>
      </c>
      <c r="X21" s="15">
        <v>2</v>
      </c>
      <c r="Y21" s="15">
        <v>0</v>
      </c>
      <c r="Z21" s="15">
        <v>0</v>
      </c>
      <c r="AA21" s="15">
        <v>0</v>
      </c>
      <c r="AB21" s="15">
        <v>0</v>
      </c>
      <c r="AC21" s="15">
        <v>0</v>
      </c>
      <c r="AD21" s="15">
        <v>1</v>
      </c>
      <c r="AE21" s="15">
        <v>0</v>
      </c>
      <c r="AF21" s="15">
        <v>0</v>
      </c>
      <c r="AG21" s="15">
        <v>0</v>
      </c>
      <c r="AH21" s="15">
        <v>0</v>
      </c>
      <c r="AI21" s="15">
        <v>0</v>
      </c>
      <c r="AJ21" s="15">
        <v>0</v>
      </c>
      <c r="AK21" s="15">
        <v>0</v>
      </c>
      <c r="AL21" s="15">
        <v>0</v>
      </c>
      <c r="AM21" s="15">
        <v>0</v>
      </c>
      <c r="AN21" s="15">
        <v>1</v>
      </c>
      <c r="AO21" s="15">
        <v>0</v>
      </c>
      <c r="AP21" s="15">
        <v>0</v>
      </c>
      <c r="AQ21" s="15">
        <v>0</v>
      </c>
      <c r="AR21" s="15">
        <v>2</v>
      </c>
      <c r="AS21" s="15">
        <v>0</v>
      </c>
      <c r="AT21" s="15">
        <v>1</v>
      </c>
      <c r="AU21" s="15">
        <v>0</v>
      </c>
      <c r="AV21" s="15">
        <v>0</v>
      </c>
      <c r="AW21" s="15">
        <v>1</v>
      </c>
      <c r="AX21" s="15">
        <v>0</v>
      </c>
      <c r="AY21" s="15">
        <v>1</v>
      </c>
      <c r="AZ21" s="15">
        <v>0</v>
      </c>
      <c r="BA21" s="15">
        <v>0</v>
      </c>
      <c r="BB21" s="15">
        <v>0</v>
      </c>
      <c r="BC21" s="15">
        <v>0</v>
      </c>
      <c r="BD21" s="15">
        <v>0</v>
      </c>
    </row>
    <row r="22" spans="1:56" x14ac:dyDescent="0.35">
      <c r="A22" s="14" t="s">
        <v>19</v>
      </c>
      <c r="B22" s="15">
        <v>5</v>
      </c>
      <c r="C22" s="16">
        <v>8.1750106275138155</v>
      </c>
      <c r="D22" s="15">
        <v>0</v>
      </c>
      <c r="E22" s="15">
        <v>1</v>
      </c>
      <c r="F22" s="15">
        <v>0</v>
      </c>
      <c r="G22" s="15">
        <v>1</v>
      </c>
      <c r="H22" s="15">
        <v>0</v>
      </c>
      <c r="I22" s="15">
        <v>0</v>
      </c>
      <c r="J22" s="15">
        <v>0</v>
      </c>
      <c r="K22" s="15">
        <v>0</v>
      </c>
      <c r="L22" s="15">
        <v>0</v>
      </c>
      <c r="M22" s="15">
        <v>0</v>
      </c>
      <c r="N22" s="15">
        <v>0</v>
      </c>
      <c r="O22" s="15">
        <v>0</v>
      </c>
      <c r="P22" s="15">
        <v>0</v>
      </c>
      <c r="Q22" s="15">
        <v>0</v>
      </c>
      <c r="R22" s="15">
        <v>0</v>
      </c>
      <c r="S22" s="15">
        <v>0</v>
      </c>
      <c r="T22" s="15">
        <v>0</v>
      </c>
      <c r="U22" s="15">
        <v>0</v>
      </c>
      <c r="V22" s="15">
        <v>0</v>
      </c>
      <c r="W22" s="15">
        <v>0</v>
      </c>
      <c r="X22" s="15">
        <v>0</v>
      </c>
      <c r="Y22" s="15">
        <v>0</v>
      </c>
      <c r="Z22" s="15">
        <v>0</v>
      </c>
      <c r="AA22" s="15">
        <v>1</v>
      </c>
      <c r="AB22" s="15">
        <v>0</v>
      </c>
      <c r="AC22" s="15">
        <v>0</v>
      </c>
      <c r="AD22" s="15">
        <v>0</v>
      </c>
      <c r="AE22" s="15">
        <v>0</v>
      </c>
      <c r="AF22" s="15">
        <v>0</v>
      </c>
      <c r="AG22" s="15">
        <v>0</v>
      </c>
      <c r="AH22" s="15">
        <v>0</v>
      </c>
      <c r="AI22" s="15">
        <v>0</v>
      </c>
      <c r="AJ22" s="15">
        <v>0</v>
      </c>
      <c r="AK22" s="15">
        <v>0</v>
      </c>
      <c r="AL22" s="15">
        <v>0</v>
      </c>
      <c r="AM22" s="15">
        <v>0</v>
      </c>
      <c r="AN22" s="15">
        <v>0</v>
      </c>
      <c r="AO22" s="15">
        <v>1</v>
      </c>
      <c r="AP22" s="15">
        <v>0</v>
      </c>
      <c r="AQ22" s="15">
        <v>0</v>
      </c>
      <c r="AR22" s="15">
        <v>0</v>
      </c>
      <c r="AS22" s="15">
        <v>0</v>
      </c>
      <c r="AT22" s="15">
        <v>0</v>
      </c>
      <c r="AU22" s="15">
        <v>0</v>
      </c>
      <c r="AV22" s="15">
        <v>0</v>
      </c>
      <c r="AW22" s="15">
        <v>0</v>
      </c>
      <c r="AX22" s="15">
        <v>0</v>
      </c>
      <c r="AY22" s="15">
        <v>0</v>
      </c>
      <c r="AZ22" s="15">
        <v>0</v>
      </c>
      <c r="BA22" s="15">
        <v>1</v>
      </c>
      <c r="BB22" s="15">
        <v>0</v>
      </c>
      <c r="BC22" s="15">
        <v>0</v>
      </c>
      <c r="BD22" s="15">
        <v>0</v>
      </c>
    </row>
    <row r="23" spans="1:56" x14ac:dyDescent="0.35">
      <c r="A23" s="14" t="s">
        <v>20</v>
      </c>
      <c r="B23" s="15">
        <v>14</v>
      </c>
      <c r="C23" s="16">
        <v>14.603413026244418</v>
      </c>
      <c r="D23" s="15">
        <v>1</v>
      </c>
      <c r="E23" s="15">
        <v>2</v>
      </c>
      <c r="F23" s="15">
        <v>1</v>
      </c>
      <c r="G23" s="15">
        <v>0</v>
      </c>
      <c r="H23" s="15">
        <v>5</v>
      </c>
      <c r="I23" s="15">
        <v>1</v>
      </c>
      <c r="J23" s="15">
        <v>0</v>
      </c>
      <c r="K23" s="15">
        <v>0</v>
      </c>
      <c r="L23" s="15">
        <v>0</v>
      </c>
      <c r="M23" s="15">
        <v>0</v>
      </c>
      <c r="N23" s="15">
        <v>3</v>
      </c>
      <c r="O23" s="15">
        <v>0</v>
      </c>
      <c r="P23" s="15">
        <v>1</v>
      </c>
      <c r="Q23" s="15">
        <v>0</v>
      </c>
      <c r="R23" s="15">
        <v>0</v>
      </c>
      <c r="S23" s="15">
        <v>0</v>
      </c>
      <c r="T23" s="15">
        <v>0</v>
      </c>
      <c r="U23" s="15">
        <v>0</v>
      </c>
      <c r="V23" s="15">
        <v>0</v>
      </c>
      <c r="W23" s="15">
        <v>0</v>
      </c>
      <c r="X23" s="15">
        <v>0</v>
      </c>
      <c r="Y23" s="15">
        <v>0</v>
      </c>
      <c r="Z23" s="15">
        <v>0</v>
      </c>
      <c r="AA23" s="15">
        <v>0</v>
      </c>
      <c r="AB23" s="15">
        <v>0</v>
      </c>
      <c r="AC23" s="15">
        <v>0</v>
      </c>
      <c r="AD23" s="15">
        <v>0</v>
      </c>
      <c r="AE23" s="15">
        <v>0</v>
      </c>
      <c r="AF23" s="15">
        <v>0</v>
      </c>
      <c r="AG23" s="15">
        <v>0</v>
      </c>
      <c r="AH23" s="15">
        <v>0</v>
      </c>
      <c r="AI23" s="15">
        <v>0</v>
      </c>
      <c r="AJ23" s="15">
        <v>0</v>
      </c>
      <c r="AK23" s="15">
        <v>0</v>
      </c>
      <c r="AL23" s="15">
        <v>0</v>
      </c>
      <c r="AM23" s="15">
        <v>0</v>
      </c>
      <c r="AN23" s="15">
        <v>0</v>
      </c>
      <c r="AO23" s="15">
        <v>0</v>
      </c>
      <c r="AP23" s="15">
        <v>0</v>
      </c>
      <c r="AQ23" s="15">
        <v>0</v>
      </c>
      <c r="AR23" s="15">
        <v>0</v>
      </c>
      <c r="AS23" s="15">
        <v>0</v>
      </c>
      <c r="AT23" s="15">
        <v>0</v>
      </c>
      <c r="AU23" s="15">
        <v>0</v>
      </c>
      <c r="AV23" s="15">
        <v>0</v>
      </c>
      <c r="AW23" s="15">
        <v>0</v>
      </c>
      <c r="AX23" s="15">
        <v>0</v>
      </c>
      <c r="AY23" s="15">
        <v>0</v>
      </c>
      <c r="AZ23" s="15">
        <v>0</v>
      </c>
      <c r="BA23" s="15">
        <v>0</v>
      </c>
      <c r="BB23" s="15">
        <v>0</v>
      </c>
      <c r="BC23" s="15">
        <v>0</v>
      </c>
      <c r="BD23" s="15">
        <v>0</v>
      </c>
    </row>
    <row r="24" spans="1:56" x14ac:dyDescent="0.35">
      <c r="A24" s="14" t="s">
        <v>21</v>
      </c>
      <c r="B24" s="15">
        <v>5</v>
      </c>
      <c r="C24" s="16">
        <v>6.914577311888924</v>
      </c>
      <c r="D24" s="15">
        <v>0</v>
      </c>
      <c r="E24" s="15">
        <v>0</v>
      </c>
      <c r="F24" s="15">
        <v>0</v>
      </c>
      <c r="G24" s="15">
        <v>0</v>
      </c>
      <c r="H24" s="15">
        <v>0</v>
      </c>
      <c r="I24" s="15">
        <v>0</v>
      </c>
      <c r="J24" s="15">
        <v>0</v>
      </c>
      <c r="K24" s="15">
        <v>0</v>
      </c>
      <c r="L24" s="15">
        <v>0</v>
      </c>
      <c r="M24" s="15">
        <v>0</v>
      </c>
      <c r="N24" s="15">
        <v>0</v>
      </c>
      <c r="O24" s="15">
        <v>1</v>
      </c>
      <c r="P24" s="15">
        <v>0</v>
      </c>
      <c r="Q24" s="15">
        <v>0</v>
      </c>
      <c r="R24" s="15">
        <v>0</v>
      </c>
      <c r="S24" s="15">
        <v>0</v>
      </c>
      <c r="T24" s="15">
        <v>0</v>
      </c>
      <c r="U24" s="15">
        <v>0</v>
      </c>
      <c r="V24" s="15">
        <v>0</v>
      </c>
      <c r="W24" s="15">
        <v>0</v>
      </c>
      <c r="X24" s="15">
        <v>0</v>
      </c>
      <c r="Y24" s="15">
        <v>0</v>
      </c>
      <c r="Z24" s="15">
        <v>0</v>
      </c>
      <c r="AA24" s="15">
        <v>0</v>
      </c>
      <c r="AB24" s="15">
        <v>1</v>
      </c>
      <c r="AC24" s="15">
        <v>0</v>
      </c>
      <c r="AD24" s="15">
        <v>0</v>
      </c>
      <c r="AE24" s="15">
        <v>0</v>
      </c>
      <c r="AF24" s="15">
        <v>0</v>
      </c>
      <c r="AG24" s="15">
        <v>0</v>
      </c>
      <c r="AH24" s="15">
        <v>0</v>
      </c>
      <c r="AI24" s="15">
        <v>0</v>
      </c>
      <c r="AJ24" s="15">
        <v>0</v>
      </c>
      <c r="AK24" s="15">
        <v>0</v>
      </c>
      <c r="AL24" s="15">
        <v>0</v>
      </c>
      <c r="AM24" s="15">
        <v>0</v>
      </c>
      <c r="AN24" s="15">
        <v>0</v>
      </c>
      <c r="AO24" s="15">
        <v>0</v>
      </c>
      <c r="AP24" s="15">
        <v>0</v>
      </c>
      <c r="AQ24" s="15">
        <v>0</v>
      </c>
      <c r="AR24" s="15">
        <v>0</v>
      </c>
      <c r="AS24" s="15">
        <v>0</v>
      </c>
      <c r="AT24" s="15">
        <v>0</v>
      </c>
      <c r="AU24" s="15">
        <v>3</v>
      </c>
      <c r="AV24" s="15">
        <v>0</v>
      </c>
      <c r="AW24" s="15">
        <v>0</v>
      </c>
      <c r="AX24" s="15">
        <v>0</v>
      </c>
      <c r="AY24" s="15">
        <v>0</v>
      </c>
      <c r="AZ24" s="15">
        <v>0</v>
      </c>
      <c r="BA24" s="15">
        <v>0</v>
      </c>
      <c r="BB24" s="15">
        <v>0</v>
      </c>
      <c r="BC24" s="15">
        <v>0</v>
      </c>
      <c r="BD24" s="15">
        <v>0</v>
      </c>
    </row>
    <row r="25" spans="1:56" x14ac:dyDescent="0.35">
      <c r="A25" s="14" t="s">
        <v>22</v>
      </c>
      <c r="B25" s="15">
        <v>5</v>
      </c>
      <c r="C25" s="16">
        <v>22.610111241747308</v>
      </c>
      <c r="D25" s="15">
        <v>0</v>
      </c>
      <c r="E25" s="15">
        <v>0</v>
      </c>
      <c r="F25" s="15">
        <v>0</v>
      </c>
      <c r="G25" s="15">
        <v>0</v>
      </c>
      <c r="H25" s="15">
        <v>1</v>
      </c>
      <c r="I25" s="15">
        <v>0</v>
      </c>
      <c r="J25" s="15">
        <v>0</v>
      </c>
      <c r="K25" s="15">
        <v>0</v>
      </c>
      <c r="L25" s="15">
        <v>0</v>
      </c>
      <c r="M25" s="15">
        <v>0</v>
      </c>
      <c r="N25" s="15">
        <v>0</v>
      </c>
      <c r="O25" s="15">
        <v>0</v>
      </c>
      <c r="P25" s="15">
        <v>0</v>
      </c>
      <c r="Q25" s="15">
        <v>0</v>
      </c>
      <c r="R25" s="15">
        <v>0</v>
      </c>
      <c r="S25" s="15">
        <v>0</v>
      </c>
      <c r="T25" s="15">
        <v>0</v>
      </c>
      <c r="U25" s="15">
        <v>0</v>
      </c>
      <c r="V25" s="15">
        <v>0</v>
      </c>
      <c r="W25" s="15">
        <v>0</v>
      </c>
      <c r="X25" s="15">
        <v>0</v>
      </c>
      <c r="Y25" s="15">
        <v>0</v>
      </c>
      <c r="Z25" s="15">
        <v>0</v>
      </c>
      <c r="AA25" s="15">
        <v>0</v>
      </c>
      <c r="AB25" s="15">
        <v>0</v>
      </c>
      <c r="AC25" s="15">
        <v>0</v>
      </c>
      <c r="AD25" s="15">
        <v>0</v>
      </c>
      <c r="AE25" s="15">
        <v>0</v>
      </c>
      <c r="AF25" s="15">
        <v>0</v>
      </c>
      <c r="AG25" s="15">
        <v>0</v>
      </c>
      <c r="AH25" s="15">
        <v>0</v>
      </c>
      <c r="AI25" s="15">
        <v>0</v>
      </c>
      <c r="AJ25" s="15">
        <v>0</v>
      </c>
      <c r="AK25" s="15">
        <v>0</v>
      </c>
      <c r="AL25" s="15">
        <v>0</v>
      </c>
      <c r="AM25" s="15">
        <v>1</v>
      </c>
      <c r="AN25" s="15">
        <v>0</v>
      </c>
      <c r="AO25" s="15">
        <v>0</v>
      </c>
      <c r="AP25" s="15">
        <v>0</v>
      </c>
      <c r="AQ25" s="15">
        <v>0</v>
      </c>
      <c r="AR25" s="15">
        <v>0</v>
      </c>
      <c r="AS25" s="15">
        <v>0</v>
      </c>
      <c r="AT25" s="15">
        <v>1</v>
      </c>
      <c r="AU25" s="15">
        <v>0</v>
      </c>
      <c r="AV25" s="15">
        <v>0</v>
      </c>
      <c r="AW25" s="15">
        <v>2</v>
      </c>
      <c r="AX25" s="15">
        <v>0</v>
      </c>
      <c r="AY25" s="15">
        <v>0</v>
      </c>
      <c r="AZ25" s="15">
        <v>0</v>
      </c>
      <c r="BA25" s="15">
        <v>0</v>
      </c>
      <c r="BB25" s="15">
        <v>0</v>
      </c>
      <c r="BC25" s="15">
        <v>0</v>
      </c>
      <c r="BD25" s="15">
        <v>0</v>
      </c>
    </row>
    <row r="26" spans="1:56" x14ac:dyDescent="0.35">
      <c r="A26" s="14" t="s">
        <v>23</v>
      </c>
      <c r="B26" s="15">
        <v>3</v>
      </c>
      <c r="C26" s="16">
        <v>3.5093465596705893</v>
      </c>
      <c r="D26" s="15">
        <v>0</v>
      </c>
      <c r="E26" s="15">
        <v>1</v>
      </c>
      <c r="F26" s="15">
        <v>1</v>
      </c>
      <c r="G26" s="15">
        <v>0</v>
      </c>
      <c r="H26" s="15">
        <v>0</v>
      </c>
      <c r="I26" s="15">
        <v>0</v>
      </c>
      <c r="J26" s="15">
        <v>0</v>
      </c>
      <c r="K26" s="15">
        <v>0</v>
      </c>
      <c r="L26" s="15">
        <v>0</v>
      </c>
      <c r="M26" s="15">
        <v>0</v>
      </c>
      <c r="N26" s="15">
        <v>0</v>
      </c>
      <c r="O26" s="15">
        <v>0</v>
      </c>
      <c r="P26" s="15">
        <v>0</v>
      </c>
      <c r="Q26" s="15">
        <v>0</v>
      </c>
      <c r="R26" s="15">
        <v>0</v>
      </c>
      <c r="S26" s="15">
        <v>0</v>
      </c>
      <c r="T26" s="15">
        <v>0</v>
      </c>
      <c r="U26" s="15">
        <v>0</v>
      </c>
      <c r="V26" s="15">
        <v>0</v>
      </c>
      <c r="W26" s="15">
        <v>0</v>
      </c>
      <c r="X26" s="15">
        <v>0</v>
      </c>
      <c r="Y26" s="15">
        <v>0</v>
      </c>
      <c r="Z26" s="15">
        <v>0</v>
      </c>
      <c r="AA26" s="15">
        <v>0</v>
      </c>
      <c r="AB26" s="15">
        <v>0</v>
      </c>
      <c r="AC26" s="15">
        <v>0</v>
      </c>
      <c r="AD26" s="15">
        <v>0</v>
      </c>
      <c r="AE26" s="15">
        <v>0</v>
      </c>
      <c r="AF26" s="15">
        <v>0</v>
      </c>
      <c r="AG26" s="15">
        <v>0</v>
      </c>
      <c r="AH26" s="15">
        <v>0</v>
      </c>
      <c r="AI26" s="15">
        <v>0</v>
      </c>
      <c r="AJ26" s="15">
        <v>0</v>
      </c>
      <c r="AK26" s="15">
        <v>0</v>
      </c>
      <c r="AL26" s="15">
        <v>0</v>
      </c>
      <c r="AM26" s="15">
        <v>0</v>
      </c>
      <c r="AN26" s="15">
        <v>1</v>
      </c>
      <c r="AO26" s="15">
        <v>0</v>
      </c>
      <c r="AP26" s="15">
        <v>0</v>
      </c>
      <c r="AQ26" s="15">
        <v>0</v>
      </c>
      <c r="AR26" s="15">
        <v>0</v>
      </c>
      <c r="AS26" s="15">
        <v>0</v>
      </c>
      <c r="AT26" s="15">
        <v>0</v>
      </c>
      <c r="AU26" s="15">
        <v>0</v>
      </c>
      <c r="AV26" s="15">
        <v>0</v>
      </c>
      <c r="AW26" s="15">
        <v>0</v>
      </c>
      <c r="AX26" s="15">
        <v>0</v>
      </c>
      <c r="AY26" s="15">
        <v>0</v>
      </c>
      <c r="AZ26" s="15">
        <v>0</v>
      </c>
      <c r="BA26" s="15">
        <v>0</v>
      </c>
      <c r="BB26" s="15">
        <v>0</v>
      </c>
      <c r="BC26" s="15">
        <v>0</v>
      </c>
      <c r="BD26" s="15">
        <v>0</v>
      </c>
    </row>
    <row r="27" spans="1:56" x14ac:dyDescent="0.35">
      <c r="A27" s="14" t="s">
        <v>24</v>
      </c>
      <c r="B27" s="15">
        <v>6</v>
      </c>
      <c r="C27" s="16">
        <v>9.527136460351235</v>
      </c>
      <c r="D27" s="15">
        <v>0</v>
      </c>
      <c r="E27" s="15">
        <v>0</v>
      </c>
      <c r="F27" s="15">
        <v>0</v>
      </c>
      <c r="G27" s="15">
        <v>0</v>
      </c>
      <c r="H27" s="15">
        <v>0</v>
      </c>
      <c r="I27" s="15">
        <v>0</v>
      </c>
      <c r="J27" s="15">
        <v>0</v>
      </c>
      <c r="K27" s="15">
        <v>0</v>
      </c>
      <c r="L27" s="15">
        <v>0</v>
      </c>
      <c r="M27" s="15">
        <v>0</v>
      </c>
      <c r="N27" s="15">
        <v>0</v>
      </c>
      <c r="O27" s="15">
        <v>0</v>
      </c>
      <c r="P27" s="15">
        <v>0</v>
      </c>
      <c r="Q27" s="15">
        <v>0</v>
      </c>
      <c r="R27" s="15">
        <v>0</v>
      </c>
      <c r="S27" s="15">
        <v>0</v>
      </c>
      <c r="T27" s="15">
        <v>0</v>
      </c>
      <c r="U27" s="15">
        <v>0</v>
      </c>
      <c r="V27" s="15">
        <v>0</v>
      </c>
      <c r="W27" s="15">
        <v>0</v>
      </c>
      <c r="X27" s="15">
        <v>0</v>
      </c>
      <c r="Y27" s="15">
        <v>0</v>
      </c>
      <c r="Z27" s="15">
        <v>0</v>
      </c>
      <c r="AA27" s="15">
        <v>0</v>
      </c>
      <c r="AB27" s="15">
        <v>0</v>
      </c>
      <c r="AC27" s="15">
        <v>0</v>
      </c>
      <c r="AD27" s="15">
        <v>0</v>
      </c>
      <c r="AE27" s="15">
        <v>0</v>
      </c>
      <c r="AF27" s="15">
        <v>0</v>
      </c>
      <c r="AG27" s="15">
        <v>0</v>
      </c>
      <c r="AH27" s="15">
        <v>0</v>
      </c>
      <c r="AI27" s="15">
        <v>0</v>
      </c>
      <c r="AJ27" s="15">
        <v>0</v>
      </c>
      <c r="AK27" s="15">
        <v>0</v>
      </c>
      <c r="AL27" s="15">
        <v>0</v>
      </c>
      <c r="AM27" s="15">
        <v>0</v>
      </c>
      <c r="AN27" s="15">
        <v>0</v>
      </c>
      <c r="AO27" s="15">
        <v>0</v>
      </c>
      <c r="AP27" s="15">
        <v>0</v>
      </c>
      <c r="AQ27" s="15">
        <v>0</v>
      </c>
      <c r="AR27" s="15">
        <v>0</v>
      </c>
      <c r="AS27" s="15">
        <v>1</v>
      </c>
      <c r="AT27" s="15">
        <v>2</v>
      </c>
      <c r="AU27" s="15">
        <v>1</v>
      </c>
      <c r="AV27" s="15">
        <v>0</v>
      </c>
      <c r="AW27" s="15">
        <v>0</v>
      </c>
      <c r="AX27" s="15">
        <v>0</v>
      </c>
      <c r="AY27" s="15">
        <v>1</v>
      </c>
      <c r="AZ27" s="15">
        <v>0</v>
      </c>
      <c r="BA27" s="15">
        <v>0</v>
      </c>
      <c r="BB27" s="15">
        <v>1</v>
      </c>
      <c r="BC27" s="15">
        <v>0</v>
      </c>
      <c r="BD27" s="15">
        <v>0</v>
      </c>
    </row>
    <row r="28" spans="1:56" x14ac:dyDescent="0.35">
      <c r="A28" s="14" t="s">
        <v>25</v>
      </c>
      <c r="B28" s="15">
        <v>1</v>
      </c>
      <c r="C28" s="16">
        <v>1.5945657200261507</v>
      </c>
      <c r="D28" s="15">
        <v>0</v>
      </c>
      <c r="E28" s="15">
        <v>0</v>
      </c>
      <c r="F28" s="15">
        <v>0</v>
      </c>
      <c r="G28" s="15">
        <v>0</v>
      </c>
      <c r="H28" s="15">
        <v>0</v>
      </c>
      <c r="I28" s="15">
        <v>0</v>
      </c>
      <c r="J28" s="15">
        <v>0</v>
      </c>
      <c r="K28" s="15">
        <v>0</v>
      </c>
      <c r="L28" s="15">
        <v>0</v>
      </c>
      <c r="M28" s="15">
        <v>0</v>
      </c>
      <c r="N28" s="15">
        <v>0</v>
      </c>
      <c r="O28" s="15">
        <v>0</v>
      </c>
      <c r="P28" s="15">
        <v>0</v>
      </c>
      <c r="Q28" s="15">
        <v>0</v>
      </c>
      <c r="R28" s="15">
        <v>0</v>
      </c>
      <c r="S28" s="15">
        <v>0</v>
      </c>
      <c r="T28" s="15">
        <v>0</v>
      </c>
      <c r="U28" s="15">
        <v>0</v>
      </c>
      <c r="V28" s="15">
        <v>0</v>
      </c>
      <c r="W28" s="15">
        <v>0</v>
      </c>
      <c r="X28" s="15">
        <v>0</v>
      </c>
      <c r="Y28" s="15">
        <v>0</v>
      </c>
      <c r="Z28" s="15">
        <v>0</v>
      </c>
      <c r="AA28" s="15">
        <v>0</v>
      </c>
      <c r="AB28" s="15">
        <v>0</v>
      </c>
      <c r="AC28" s="15">
        <v>0</v>
      </c>
      <c r="AD28" s="15">
        <v>0</v>
      </c>
      <c r="AE28" s="15">
        <v>0</v>
      </c>
      <c r="AF28" s="15">
        <v>0</v>
      </c>
      <c r="AG28" s="15">
        <v>0</v>
      </c>
      <c r="AH28" s="15">
        <v>0</v>
      </c>
      <c r="AI28" s="15">
        <v>0</v>
      </c>
      <c r="AJ28" s="15">
        <v>0</v>
      </c>
      <c r="AK28" s="15">
        <v>0</v>
      </c>
      <c r="AL28" s="15">
        <v>1</v>
      </c>
      <c r="AM28" s="15">
        <v>0</v>
      </c>
      <c r="AN28" s="15">
        <v>0</v>
      </c>
      <c r="AO28" s="15">
        <v>0</v>
      </c>
      <c r="AP28" s="15">
        <v>0</v>
      </c>
      <c r="AQ28" s="15">
        <v>0</v>
      </c>
      <c r="AR28" s="15">
        <v>0</v>
      </c>
      <c r="AS28" s="15">
        <v>0</v>
      </c>
      <c r="AT28" s="15">
        <v>0</v>
      </c>
      <c r="AU28" s="15">
        <v>0</v>
      </c>
      <c r="AV28" s="15">
        <v>0</v>
      </c>
      <c r="AW28" s="15">
        <v>0</v>
      </c>
      <c r="AX28" s="15">
        <v>0</v>
      </c>
      <c r="AY28" s="15">
        <v>0</v>
      </c>
      <c r="AZ28" s="15">
        <v>0</v>
      </c>
      <c r="BA28" s="15">
        <v>0</v>
      </c>
      <c r="BB28" s="15">
        <v>0</v>
      </c>
      <c r="BC28" s="15">
        <v>0</v>
      </c>
      <c r="BD28" s="15">
        <v>0</v>
      </c>
    </row>
    <row r="29" spans="1:56" x14ac:dyDescent="0.35">
      <c r="A29" s="14" t="s">
        <v>26</v>
      </c>
      <c r="B29" s="15">
        <v>0</v>
      </c>
      <c r="C29" s="16">
        <v>0</v>
      </c>
      <c r="D29" s="15">
        <v>0</v>
      </c>
      <c r="E29" s="15">
        <v>0</v>
      </c>
      <c r="F29" s="15">
        <v>0</v>
      </c>
      <c r="G29" s="15">
        <v>0</v>
      </c>
      <c r="H29" s="15">
        <v>0</v>
      </c>
      <c r="I29" s="15">
        <v>0</v>
      </c>
      <c r="J29" s="15">
        <v>0</v>
      </c>
      <c r="K29" s="15">
        <v>0</v>
      </c>
      <c r="L29" s="15">
        <v>0</v>
      </c>
      <c r="M29" s="15">
        <v>0</v>
      </c>
      <c r="N29" s="15">
        <v>0</v>
      </c>
      <c r="O29" s="15">
        <v>0</v>
      </c>
      <c r="P29" s="15">
        <v>0</v>
      </c>
      <c r="Q29" s="15">
        <v>0</v>
      </c>
      <c r="R29" s="15">
        <v>0</v>
      </c>
      <c r="S29" s="15">
        <v>0</v>
      </c>
      <c r="T29" s="15">
        <v>0</v>
      </c>
      <c r="U29" s="15">
        <v>0</v>
      </c>
      <c r="V29" s="15">
        <v>0</v>
      </c>
      <c r="W29" s="15">
        <v>0</v>
      </c>
      <c r="X29" s="15">
        <v>0</v>
      </c>
      <c r="Y29" s="15">
        <v>0</v>
      </c>
      <c r="Z29" s="15">
        <v>0</v>
      </c>
      <c r="AA29" s="15">
        <v>0</v>
      </c>
      <c r="AB29" s="15">
        <v>0</v>
      </c>
      <c r="AC29" s="15">
        <v>0</v>
      </c>
      <c r="AD29" s="15">
        <v>0</v>
      </c>
      <c r="AE29" s="15">
        <v>0</v>
      </c>
      <c r="AF29" s="15">
        <v>0</v>
      </c>
      <c r="AG29" s="15">
        <v>0</v>
      </c>
      <c r="AH29" s="15">
        <v>0</v>
      </c>
      <c r="AI29" s="15">
        <v>0</v>
      </c>
      <c r="AJ29" s="15">
        <v>0</v>
      </c>
      <c r="AK29" s="15">
        <v>0</v>
      </c>
      <c r="AL29" s="15">
        <v>0</v>
      </c>
      <c r="AM29" s="15">
        <v>0</v>
      </c>
      <c r="AN29" s="15">
        <v>0</v>
      </c>
      <c r="AO29" s="15">
        <v>0</v>
      </c>
      <c r="AP29" s="15">
        <v>0</v>
      </c>
      <c r="AQ29" s="15">
        <v>0</v>
      </c>
      <c r="AR29" s="15">
        <v>0</v>
      </c>
      <c r="AS29" s="15">
        <v>0</v>
      </c>
      <c r="AT29" s="15">
        <v>0</v>
      </c>
      <c r="AU29" s="15">
        <v>0</v>
      </c>
      <c r="AV29" s="15">
        <v>0</v>
      </c>
      <c r="AW29" s="15">
        <v>0</v>
      </c>
      <c r="AX29" s="15">
        <v>0</v>
      </c>
      <c r="AY29" s="15">
        <v>0</v>
      </c>
      <c r="AZ29" s="15">
        <v>0</v>
      </c>
      <c r="BA29" s="15">
        <v>0</v>
      </c>
      <c r="BB29" s="15">
        <v>0</v>
      </c>
      <c r="BC29" s="15">
        <v>0</v>
      </c>
      <c r="BD29" s="15">
        <v>0</v>
      </c>
    </row>
    <row r="30" spans="1:56" x14ac:dyDescent="0.35">
      <c r="A30" s="14" t="s">
        <v>27</v>
      </c>
      <c r="B30" s="15">
        <v>3</v>
      </c>
      <c r="C30" s="16">
        <v>37.5</v>
      </c>
      <c r="D30" s="15">
        <v>0</v>
      </c>
      <c r="E30" s="15">
        <v>0</v>
      </c>
      <c r="F30" s="15">
        <v>0</v>
      </c>
      <c r="G30" s="15">
        <v>0</v>
      </c>
      <c r="H30" s="15">
        <v>0</v>
      </c>
      <c r="I30" s="15">
        <v>1</v>
      </c>
      <c r="J30" s="15">
        <v>0</v>
      </c>
      <c r="K30" s="15">
        <v>0</v>
      </c>
      <c r="L30" s="15">
        <v>0</v>
      </c>
      <c r="M30" s="15">
        <v>0</v>
      </c>
      <c r="N30" s="15">
        <v>0</v>
      </c>
      <c r="O30" s="15">
        <v>0</v>
      </c>
      <c r="P30" s="15">
        <v>0</v>
      </c>
      <c r="Q30" s="15">
        <v>0</v>
      </c>
      <c r="R30" s="15">
        <v>0</v>
      </c>
      <c r="S30" s="15">
        <v>0</v>
      </c>
      <c r="T30" s="15">
        <v>0</v>
      </c>
      <c r="U30" s="15">
        <v>0</v>
      </c>
      <c r="V30" s="15">
        <v>0</v>
      </c>
      <c r="W30" s="15">
        <v>0</v>
      </c>
      <c r="X30" s="15">
        <v>0</v>
      </c>
      <c r="Y30" s="15">
        <v>0</v>
      </c>
      <c r="Z30" s="15">
        <v>0</v>
      </c>
      <c r="AA30" s="15">
        <v>0</v>
      </c>
      <c r="AB30" s="15">
        <v>0</v>
      </c>
      <c r="AC30" s="15">
        <v>0</v>
      </c>
      <c r="AD30" s="15">
        <v>0</v>
      </c>
      <c r="AE30" s="15">
        <v>0</v>
      </c>
      <c r="AF30" s="15">
        <v>0</v>
      </c>
      <c r="AG30" s="15">
        <v>0</v>
      </c>
      <c r="AH30" s="15">
        <v>0</v>
      </c>
      <c r="AI30" s="15">
        <v>0</v>
      </c>
      <c r="AJ30" s="15">
        <v>1</v>
      </c>
      <c r="AK30" s="15">
        <v>0</v>
      </c>
      <c r="AL30" s="15">
        <v>0</v>
      </c>
      <c r="AM30" s="15">
        <v>0</v>
      </c>
      <c r="AN30" s="15">
        <v>0</v>
      </c>
      <c r="AO30" s="15">
        <v>0</v>
      </c>
      <c r="AP30" s="15">
        <v>0</v>
      </c>
      <c r="AQ30" s="15">
        <v>0</v>
      </c>
      <c r="AR30" s="15">
        <v>0</v>
      </c>
      <c r="AS30" s="15">
        <v>0</v>
      </c>
      <c r="AT30" s="15">
        <v>0</v>
      </c>
      <c r="AU30" s="15">
        <v>0</v>
      </c>
      <c r="AV30" s="15">
        <v>1</v>
      </c>
      <c r="AW30" s="15">
        <v>0</v>
      </c>
      <c r="AX30" s="15">
        <v>0</v>
      </c>
      <c r="AY30" s="15">
        <v>0</v>
      </c>
      <c r="AZ30" s="15">
        <v>0</v>
      </c>
      <c r="BA30" s="15">
        <v>0</v>
      </c>
      <c r="BB30" s="15">
        <v>0</v>
      </c>
      <c r="BC30" s="15">
        <v>0</v>
      </c>
      <c r="BD30" s="15">
        <v>0</v>
      </c>
    </row>
    <row r="31" spans="1:56" x14ac:dyDescent="0.35">
      <c r="A31" s="14" t="s">
        <v>28</v>
      </c>
      <c r="B31" s="15">
        <v>3</v>
      </c>
      <c r="C31" s="16">
        <v>3.7433555439095603</v>
      </c>
      <c r="D31" s="15">
        <v>0</v>
      </c>
      <c r="E31" s="15">
        <v>0</v>
      </c>
      <c r="F31" s="15">
        <v>0</v>
      </c>
      <c r="G31" s="15">
        <v>1</v>
      </c>
      <c r="H31" s="15">
        <v>0</v>
      </c>
      <c r="I31" s="15">
        <v>0</v>
      </c>
      <c r="J31" s="15">
        <v>0</v>
      </c>
      <c r="K31" s="15">
        <v>0</v>
      </c>
      <c r="L31" s="15">
        <v>0</v>
      </c>
      <c r="M31" s="15">
        <v>0</v>
      </c>
      <c r="N31" s="15">
        <v>0</v>
      </c>
      <c r="O31" s="15">
        <v>1</v>
      </c>
      <c r="P31" s="15">
        <v>0</v>
      </c>
      <c r="Q31" s="15">
        <v>0</v>
      </c>
      <c r="R31" s="15">
        <v>0</v>
      </c>
      <c r="S31" s="15">
        <v>0</v>
      </c>
      <c r="T31" s="15">
        <v>0</v>
      </c>
      <c r="U31" s="15">
        <v>0</v>
      </c>
      <c r="V31" s="15">
        <v>0</v>
      </c>
      <c r="W31" s="15">
        <v>0</v>
      </c>
      <c r="X31" s="15">
        <v>0</v>
      </c>
      <c r="Y31" s="15">
        <v>0</v>
      </c>
      <c r="Z31" s="15">
        <v>0</v>
      </c>
      <c r="AA31" s="15">
        <v>0</v>
      </c>
      <c r="AB31" s="15">
        <v>0</v>
      </c>
      <c r="AC31" s="15">
        <v>0</v>
      </c>
      <c r="AD31" s="15">
        <v>0</v>
      </c>
      <c r="AE31" s="15">
        <v>0</v>
      </c>
      <c r="AF31" s="15">
        <v>0</v>
      </c>
      <c r="AG31" s="15">
        <v>0</v>
      </c>
      <c r="AH31" s="15">
        <v>0</v>
      </c>
      <c r="AI31" s="15">
        <v>0</v>
      </c>
      <c r="AJ31" s="15">
        <v>0</v>
      </c>
      <c r="AK31" s="15">
        <v>0</v>
      </c>
      <c r="AL31" s="15">
        <v>0</v>
      </c>
      <c r="AM31" s="15">
        <v>0</v>
      </c>
      <c r="AN31" s="15">
        <v>0</v>
      </c>
      <c r="AO31" s="15">
        <v>0</v>
      </c>
      <c r="AP31" s="15">
        <v>0</v>
      </c>
      <c r="AQ31" s="15">
        <v>0</v>
      </c>
      <c r="AR31" s="15">
        <v>0</v>
      </c>
      <c r="AS31" s="15">
        <v>0</v>
      </c>
      <c r="AT31" s="15">
        <v>0</v>
      </c>
      <c r="AU31" s="15">
        <v>0</v>
      </c>
      <c r="AV31" s="15">
        <v>0</v>
      </c>
      <c r="AW31" s="15">
        <v>0</v>
      </c>
      <c r="AX31" s="15">
        <v>0</v>
      </c>
      <c r="AY31" s="15">
        <v>1</v>
      </c>
      <c r="AZ31" s="15">
        <v>0</v>
      </c>
      <c r="BA31" s="15">
        <v>0</v>
      </c>
      <c r="BB31" s="15">
        <v>0</v>
      </c>
      <c r="BC31" s="15">
        <v>0</v>
      </c>
      <c r="BD31" s="15">
        <v>0</v>
      </c>
    </row>
    <row r="32" spans="1:56" x14ac:dyDescent="0.35">
      <c r="A32" s="14" t="s">
        <v>29</v>
      </c>
      <c r="B32" s="15">
        <v>75</v>
      </c>
      <c r="C32" s="16">
        <v>52.366256580692912</v>
      </c>
      <c r="D32" s="15">
        <v>2</v>
      </c>
      <c r="E32" s="15">
        <v>0</v>
      </c>
      <c r="F32" s="15">
        <v>2</v>
      </c>
      <c r="G32" s="15">
        <v>2</v>
      </c>
      <c r="H32" s="15">
        <v>1</v>
      </c>
      <c r="I32" s="15">
        <v>1</v>
      </c>
      <c r="J32" s="15">
        <v>1</v>
      </c>
      <c r="K32" s="15">
        <v>0</v>
      </c>
      <c r="L32" s="15">
        <v>2</v>
      </c>
      <c r="M32" s="15">
        <v>2</v>
      </c>
      <c r="N32" s="15">
        <v>2</v>
      </c>
      <c r="O32" s="15">
        <v>1</v>
      </c>
      <c r="P32" s="15">
        <v>0</v>
      </c>
      <c r="Q32" s="15">
        <v>0</v>
      </c>
      <c r="R32" s="15">
        <v>0</v>
      </c>
      <c r="S32" s="15">
        <v>2</v>
      </c>
      <c r="T32" s="15">
        <v>1</v>
      </c>
      <c r="U32" s="15">
        <v>2</v>
      </c>
      <c r="V32" s="15">
        <v>2</v>
      </c>
      <c r="W32" s="15">
        <v>0</v>
      </c>
      <c r="X32" s="15">
        <v>0</v>
      </c>
      <c r="Y32" s="15">
        <v>0</v>
      </c>
      <c r="Z32" s="15">
        <v>0</v>
      </c>
      <c r="AA32" s="15">
        <v>0</v>
      </c>
      <c r="AB32" s="15">
        <v>0</v>
      </c>
      <c r="AC32" s="15">
        <v>1</v>
      </c>
      <c r="AD32" s="15">
        <v>1</v>
      </c>
      <c r="AE32" s="15">
        <v>1</v>
      </c>
      <c r="AF32" s="15">
        <v>1</v>
      </c>
      <c r="AG32" s="15">
        <v>1</v>
      </c>
      <c r="AH32" s="15">
        <v>7</v>
      </c>
      <c r="AI32" s="15">
        <v>1</v>
      </c>
      <c r="AJ32" s="15">
        <v>0</v>
      </c>
      <c r="AK32" s="15">
        <v>5</v>
      </c>
      <c r="AL32" s="15">
        <v>3</v>
      </c>
      <c r="AM32" s="15">
        <v>0</v>
      </c>
      <c r="AN32" s="15">
        <v>0</v>
      </c>
      <c r="AO32" s="15">
        <v>3</v>
      </c>
      <c r="AP32" s="15">
        <v>2</v>
      </c>
      <c r="AQ32" s="15">
        <v>0</v>
      </c>
      <c r="AR32" s="15">
        <v>1</v>
      </c>
      <c r="AS32" s="15">
        <v>1</v>
      </c>
      <c r="AT32" s="15">
        <v>1</v>
      </c>
      <c r="AU32" s="15">
        <v>3</v>
      </c>
      <c r="AV32" s="15">
        <v>0</v>
      </c>
      <c r="AW32" s="15">
        <v>2</v>
      </c>
      <c r="AX32" s="15">
        <v>3</v>
      </c>
      <c r="AY32" s="15">
        <v>0</v>
      </c>
      <c r="AZ32" s="15">
        <v>5</v>
      </c>
      <c r="BA32" s="15">
        <v>4</v>
      </c>
      <c r="BB32" s="15">
        <v>4</v>
      </c>
      <c r="BC32" s="15">
        <v>2</v>
      </c>
      <c r="BD32" s="15">
        <v>0</v>
      </c>
    </row>
    <row r="33" spans="1:56" x14ac:dyDescent="0.35">
      <c r="A33" s="14" t="s">
        <v>30</v>
      </c>
      <c r="B33" s="15">
        <v>2</v>
      </c>
      <c r="C33" s="16">
        <v>14.415453366008361</v>
      </c>
      <c r="D33" s="15">
        <v>0</v>
      </c>
      <c r="E33" s="15">
        <v>0</v>
      </c>
      <c r="F33" s="15">
        <v>0</v>
      </c>
      <c r="G33" s="15">
        <v>0</v>
      </c>
      <c r="H33" s="15">
        <v>0</v>
      </c>
      <c r="I33" s="15">
        <v>0</v>
      </c>
      <c r="J33" s="15">
        <v>0</v>
      </c>
      <c r="K33" s="15">
        <v>0</v>
      </c>
      <c r="L33" s="15">
        <v>0</v>
      </c>
      <c r="M33" s="15">
        <v>0</v>
      </c>
      <c r="N33" s="15">
        <v>0</v>
      </c>
      <c r="O33" s="15">
        <v>0</v>
      </c>
      <c r="P33" s="15">
        <v>0</v>
      </c>
      <c r="Q33" s="15">
        <v>0</v>
      </c>
      <c r="R33" s="15">
        <v>0</v>
      </c>
      <c r="S33" s="15">
        <v>0</v>
      </c>
      <c r="T33" s="15">
        <v>0</v>
      </c>
      <c r="U33" s="15">
        <v>0</v>
      </c>
      <c r="V33" s="15">
        <v>0</v>
      </c>
      <c r="W33" s="15">
        <v>0</v>
      </c>
      <c r="X33" s="15">
        <v>0</v>
      </c>
      <c r="Y33" s="15">
        <v>0</v>
      </c>
      <c r="Z33" s="15">
        <v>0</v>
      </c>
      <c r="AA33" s="15">
        <v>0</v>
      </c>
      <c r="AB33" s="15">
        <v>0</v>
      </c>
      <c r="AC33" s="15">
        <v>0</v>
      </c>
      <c r="AD33" s="15">
        <v>0</v>
      </c>
      <c r="AE33" s="15">
        <v>0</v>
      </c>
      <c r="AF33" s="15">
        <v>0</v>
      </c>
      <c r="AG33" s="15">
        <v>0</v>
      </c>
      <c r="AH33" s="15">
        <v>0</v>
      </c>
      <c r="AI33" s="15">
        <v>0</v>
      </c>
      <c r="AJ33" s="15">
        <v>0</v>
      </c>
      <c r="AK33" s="15">
        <v>0</v>
      </c>
      <c r="AL33" s="15">
        <v>0</v>
      </c>
      <c r="AM33" s="15">
        <v>0</v>
      </c>
      <c r="AN33" s="15">
        <v>0</v>
      </c>
      <c r="AO33" s="15">
        <v>0</v>
      </c>
      <c r="AP33" s="15">
        <v>0</v>
      </c>
      <c r="AQ33" s="15">
        <v>0</v>
      </c>
      <c r="AR33" s="15">
        <v>0</v>
      </c>
      <c r="AS33" s="15">
        <v>0</v>
      </c>
      <c r="AT33" s="15">
        <v>0</v>
      </c>
      <c r="AU33" s="15">
        <v>0</v>
      </c>
      <c r="AV33" s="15">
        <v>0</v>
      </c>
      <c r="AW33" s="15">
        <v>0</v>
      </c>
      <c r="AX33" s="15">
        <v>0</v>
      </c>
      <c r="AY33" s="15">
        <v>0</v>
      </c>
      <c r="AZ33" s="15">
        <v>2</v>
      </c>
      <c r="BA33" s="15">
        <v>0</v>
      </c>
      <c r="BB33" s="15">
        <v>0</v>
      </c>
      <c r="BC33" s="15">
        <v>0</v>
      </c>
      <c r="BD33" s="15">
        <v>0</v>
      </c>
    </row>
    <row r="34" spans="1:56" x14ac:dyDescent="0.35">
      <c r="A34" s="14"/>
      <c r="B34" s="12"/>
      <c r="C34" s="13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2"/>
      <c r="BC34" s="2"/>
      <c r="BD34" s="2"/>
    </row>
    <row r="35" spans="1:56" x14ac:dyDescent="0.35">
      <c r="A35" s="1" t="s">
        <v>31</v>
      </c>
      <c r="B35" s="10">
        <v>1077</v>
      </c>
      <c r="C35" s="11">
        <v>103.28785279227249</v>
      </c>
      <c r="D35" s="10">
        <v>20</v>
      </c>
      <c r="E35" s="10">
        <v>13</v>
      </c>
      <c r="F35" s="10">
        <v>23</v>
      </c>
      <c r="G35" s="10">
        <v>27</v>
      </c>
      <c r="H35" s="10">
        <v>18</v>
      </c>
      <c r="I35" s="10">
        <v>25</v>
      </c>
      <c r="J35" s="10">
        <v>21</v>
      </c>
      <c r="K35" s="10">
        <v>18</v>
      </c>
      <c r="L35" s="10">
        <v>23</v>
      </c>
      <c r="M35" s="10">
        <v>28</v>
      </c>
      <c r="N35" s="10">
        <v>22</v>
      </c>
      <c r="O35" s="10">
        <v>22</v>
      </c>
      <c r="P35" s="10">
        <v>19</v>
      </c>
      <c r="Q35" s="10">
        <v>17</v>
      </c>
      <c r="R35" s="10">
        <v>11</v>
      </c>
      <c r="S35" s="10">
        <v>10</v>
      </c>
      <c r="T35" s="10">
        <v>17</v>
      </c>
      <c r="U35" s="10">
        <v>17</v>
      </c>
      <c r="V35" s="10">
        <v>11</v>
      </c>
      <c r="W35" s="10">
        <v>14</v>
      </c>
      <c r="X35" s="10">
        <v>12</v>
      </c>
      <c r="Y35" s="10">
        <v>18</v>
      </c>
      <c r="Z35" s="10">
        <v>13</v>
      </c>
      <c r="AA35" s="10">
        <v>20</v>
      </c>
      <c r="AB35" s="10">
        <v>21</v>
      </c>
      <c r="AC35" s="10">
        <v>29</v>
      </c>
      <c r="AD35" s="10">
        <v>45</v>
      </c>
      <c r="AE35" s="10">
        <v>49</v>
      </c>
      <c r="AF35" s="10">
        <v>35</v>
      </c>
      <c r="AG35" s="10">
        <v>18</v>
      </c>
      <c r="AH35" s="10">
        <v>22</v>
      </c>
      <c r="AI35" s="10">
        <v>13</v>
      </c>
      <c r="AJ35" s="10">
        <v>10</v>
      </c>
      <c r="AK35" s="10">
        <v>15</v>
      </c>
      <c r="AL35" s="10">
        <v>9</v>
      </c>
      <c r="AM35" s="10">
        <v>21</v>
      </c>
      <c r="AN35" s="10">
        <v>18</v>
      </c>
      <c r="AO35" s="10">
        <v>17</v>
      </c>
      <c r="AP35" s="10">
        <v>19</v>
      </c>
      <c r="AQ35" s="10">
        <v>24</v>
      </c>
      <c r="AR35" s="10">
        <v>23</v>
      </c>
      <c r="AS35" s="10">
        <v>30</v>
      </c>
      <c r="AT35" s="10">
        <v>25</v>
      </c>
      <c r="AU35" s="10">
        <v>27</v>
      </c>
      <c r="AV35" s="10">
        <v>27</v>
      </c>
      <c r="AW35" s="10">
        <v>26</v>
      </c>
      <c r="AX35" s="10">
        <v>29</v>
      </c>
      <c r="AY35" s="10">
        <v>39</v>
      </c>
      <c r="AZ35" s="10">
        <v>23</v>
      </c>
      <c r="BA35" s="10">
        <v>14</v>
      </c>
      <c r="BB35" s="10">
        <v>7</v>
      </c>
      <c r="BC35" s="10">
        <v>3</v>
      </c>
      <c r="BD35" s="10">
        <v>0</v>
      </c>
    </row>
    <row r="36" spans="1:56" x14ac:dyDescent="0.35">
      <c r="A36" s="14" t="s">
        <v>32</v>
      </c>
      <c r="B36" s="15">
        <v>93</v>
      </c>
      <c r="C36" s="16">
        <v>29.237284139244924</v>
      </c>
      <c r="D36" s="15">
        <v>2</v>
      </c>
      <c r="E36" s="15">
        <v>2</v>
      </c>
      <c r="F36" s="15">
        <v>5</v>
      </c>
      <c r="G36" s="15">
        <v>9</v>
      </c>
      <c r="H36" s="15">
        <v>4</v>
      </c>
      <c r="I36" s="15">
        <v>5</v>
      </c>
      <c r="J36" s="15">
        <v>3</v>
      </c>
      <c r="K36" s="15">
        <v>11</v>
      </c>
      <c r="L36" s="15">
        <v>4</v>
      </c>
      <c r="M36" s="15">
        <v>3</v>
      </c>
      <c r="N36" s="15">
        <v>3</v>
      </c>
      <c r="O36" s="15">
        <v>1</v>
      </c>
      <c r="P36" s="15">
        <v>0</v>
      </c>
      <c r="Q36" s="15">
        <v>2</v>
      </c>
      <c r="R36" s="15">
        <v>1</v>
      </c>
      <c r="S36" s="15">
        <v>0</v>
      </c>
      <c r="T36" s="15">
        <v>0</v>
      </c>
      <c r="U36" s="15">
        <v>0</v>
      </c>
      <c r="V36" s="15">
        <v>0</v>
      </c>
      <c r="W36" s="15">
        <v>3</v>
      </c>
      <c r="X36" s="15">
        <v>1</v>
      </c>
      <c r="Y36" s="15">
        <v>0</v>
      </c>
      <c r="Z36" s="15">
        <v>1</v>
      </c>
      <c r="AA36" s="15">
        <v>0</v>
      </c>
      <c r="AB36" s="15">
        <v>0</v>
      </c>
      <c r="AC36" s="15">
        <v>0</v>
      </c>
      <c r="AD36" s="15">
        <v>1</v>
      </c>
      <c r="AE36" s="15">
        <v>2</v>
      </c>
      <c r="AF36" s="15">
        <v>2</v>
      </c>
      <c r="AG36" s="15">
        <v>0</v>
      </c>
      <c r="AH36" s="15">
        <v>1</v>
      </c>
      <c r="AI36" s="15">
        <v>0</v>
      </c>
      <c r="AJ36" s="15">
        <v>0</v>
      </c>
      <c r="AK36" s="15">
        <v>1</v>
      </c>
      <c r="AL36" s="15">
        <v>0</v>
      </c>
      <c r="AM36" s="15">
        <v>0</v>
      </c>
      <c r="AN36" s="15">
        <v>0</v>
      </c>
      <c r="AO36" s="15">
        <v>1</v>
      </c>
      <c r="AP36" s="15">
        <v>2</v>
      </c>
      <c r="AQ36" s="15">
        <v>5</v>
      </c>
      <c r="AR36" s="15">
        <v>2</v>
      </c>
      <c r="AS36" s="15">
        <v>0</v>
      </c>
      <c r="AT36" s="15">
        <v>3</v>
      </c>
      <c r="AU36" s="15">
        <v>3</v>
      </c>
      <c r="AV36" s="15">
        <v>3</v>
      </c>
      <c r="AW36" s="15">
        <v>0</v>
      </c>
      <c r="AX36" s="15">
        <v>1</v>
      </c>
      <c r="AY36" s="15">
        <v>5</v>
      </c>
      <c r="AZ36" s="15">
        <v>1</v>
      </c>
      <c r="BA36" s="15">
        <v>0</v>
      </c>
      <c r="BB36" s="15">
        <v>0</v>
      </c>
      <c r="BC36" s="15">
        <v>0</v>
      </c>
      <c r="BD36" s="15">
        <v>0</v>
      </c>
    </row>
    <row r="37" spans="1:56" x14ac:dyDescent="0.35">
      <c r="A37" s="14" t="s">
        <v>33</v>
      </c>
      <c r="B37" s="15">
        <v>6</v>
      </c>
      <c r="C37" s="16">
        <v>6.3262444249971006</v>
      </c>
      <c r="D37" s="15">
        <v>0</v>
      </c>
      <c r="E37" s="15">
        <v>0</v>
      </c>
      <c r="F37" s="15">
        <v>0</v>
      </c>
      <c r="G37" s="15">
        <v>0</v>
      </c>
      <c r="H37" s="15">
        <v>0</v>
      </c>
      <c r="I37" s="15">
        <v>0</v>
      </c>
      <c r="J37" s="15">
        <v>1</v>
      </c>
      <c r="K37" s="15">
        <v>0</v>
      </c>
      <c r="L37" s="15">
        <v>0</v>
      </c>
      <c r="M37" s="15">
        <v>0</v>
      </c>
      <c r="N37" s="15">
        <v>0</v>
      </c>
      <c r="O37" s="15">
        <v>0</v>
      </c>
      <c r="P37" s="15">
        <v>0</v>
      </c>
      <c r="Q37" s="15">
        <v>0</v>
      </c>
      <c r="R37" s="15">
        <v>0</v>
      </c>
      <c r="S37" s="15">
        <v>0</v>
      </c>
      <c r="T37" s="15">
        <v>0</v>
      </c>
      <c r="U37" s="15">
        <v>0</v>
      </c>
      <c r="V37" s="15">
        <v>0</v>
      </c>
      <c r="W37" s="15">
        <v>0</v>
      </c>
      <c r="X37" s="15">
        <v>0</v>
      </c>
      <c r="Y37" s="15">
        <v>0</v>
      </c>
      <c r="Z37" s="15">
        <v>0</v>
      </c>
      <c r="AA37" s="15">
        <v>0</v>
      </c>
      <c r="AB37" s="15">
        <v>0</v>
      </c>
      <c r="AC37" s="15">
        <v>0</v>
      </c>
      <c r="AD37" s="15">
        <v>0</v>
      </c>
      <c r="AE37" s="15">
        <v>0</v>
      </c>
      <c r="AF37" s="15">
        <v>0</v>
      </c>
      <c r="AG37" s="15">
        <v>0</v>
      </c>
      <c r="AH37" s="15">
        <v>0</v>
      </c>
      <c r="AI37" s="15">
        <v>1</v>
      </c>
      <c r="AJ37" s="15">
        <v>2</v>
      </c>
      <c r="AK37" s="15">
        <v>0</v>
      </c>
      <c r="AL37" s="15">
        <v>0</v>
      </c>
      <c r="AM37" s="15">
        <v>0</v>
      </c>
      <c r="AN37" s="15">
        <v>0</v>
      </c>
      <c r="AO37" s="15">
        <v>1</v>
      </c>
      <c r="AP37" s="15">
        <v>0</v>
      </c>
      <c r="AQ37" s="15">
        <v>0</v>
      </c>
      <c r="AR37" s="15">
        <v>0</v>
      </c>
      <c r="AS37" s="15">
        <v>0</v>
      </c>
      <c r="AT37" s="15">
        <v>0</v>
      </c>
      <c r="AU37" s="15">
        <v>0</v>
      </c>
      <c r="AV37" s="15">
        <v>0</v>
      </c>
      <c r="AW37" s="15">
        <v>1</v>
      </c>
      <c r="AX37" s="15">
        <v>0</v>
      </c>
      <c r="AY37" s="15">
        <v>0</v>
      </c>
      <c r="AZ37" s="15">
        <v>0</v>
      </c>
      <c r="BA37" s="15">
        <v>0</v>
      </c>
      <c r="BB37" s="15">
        <v>0</v>
      </c>
      <c r="BC37" s="15">
        <v>0</v>
      </c>
      <c r="BD37" s="15">
        <v>0</v>
      </c>
    </row>
    <row r="38" spans="1:56" x14ac:dyDescent="0.35">
      <c r="A38" s="14" t="s">
        <v>34</v>
      </c>
      <c r="B38" s="15">
        <v>6</v>
      </c>
      <c r="C38" s="16">
        <v>6.3136627662261127</v>
      </c>
      <c r="D38" s="15">
        <v>1</v>
      </c>
      <c r="E38" s="15">
        <v>0</v>
      </c>
      <c r="F38" s="15">
        <v>1</v>
      </c>
      <c r="G38" s="15">
        <v>0</v>
      </c>
      <c r="H38" s="15">
        <v>0</v>
      </c>
      <c r="I38" s="15">
        <v>0</v>
      </c>
      <c r="J38" s="15">
        <v>0</v>
      </c>
      <c r="K38" s="15">
        <v>0</v>
      </c>
      <c r="L38" s="15">
        <v>0</v>
      </c>
      <c r="M38" s="15">
        <v>0</v>
      </c>
      <c r="N38" s="15">
        <v>0</v>
      </c>
      <c r="O38" s="15">
        <v>0</v>
      </c>
      <c r="P38" s="15">
        <v>0</v>
      </c>
      <c r="Q38" s="15">
        <v>0</v>
      </c>
      <c r="R38" s="15">
        <v>0</v>
      </c>
      <c r="S38" s="15">
        <v>0</v>
      </c>
      <c r="T38" s="15">
        <v>0</v>
      </c>
      <c r="U38" s="15">
        <v>0</v>
      </c>
      <c r="V38" s="15">
        <v>0</v>
      </c>
      <c r="W38" s="15">
        <v>0</v>
      </c>
      <c r="X38" s="15">
        <v>0</v>
      </c>
      <c r="Y38" s="15">
        <v>0</v>
      </c>
      <c r="Z38" s="15">
        <v>0</v>
      </c>
      <c r="AA38" s="15">
        <v>0</v>
      </c>
      <c r="AB38" s="15">
        <v>0</v>
      </c>
      <c r="AC38" s="15">
        <v>0</v>
      </c>
      <c r="AD38" s="15">
        <v>0</v>
      </c>
      <c r="AE38" s="15">
        <v>0</v>
      </c>
      <c r="AF38" s="15">
        <v>0</v>
      </c>
      <c r="AG38" s="15">
        <v>0</v>
      </c>
      <c r="AH38" s="15">
        <v>0</v>
      </c>
      <c r="AI38" s="15">
        <v>0</v>
      </c>
      <c r="AJ38" s="15">
        <v>0</v>
      </c>
      <c r="AK38" s="15">
        <v>0</v>
      </c>
      <c r="AL38" s="15">
        <v>0</v>
      </c>
      <c r="AM38" s="15">
        <v>0</v>
      </c>
      <c r="AN38" s="15">
        <v>1</v>
      </c>
      <c r="AO38" s="15">
        <v>0</v>
      </c>
      <c r="AP38" s="15">
        <v>0</v>
      </c>
      <c r="AQ38" s="15">
        <v>0</v>
      </c>
      <c r="AR38" s="15">
        <v>0</v>
      </c>
      <c r="AS38" s="15">
        <v>1</v>
      </c>
      <c r="AT38" s="15">
        <v>1</v>
      </c>
      <c r="AU38" s="15">
        <v>0</v>
      </c>
      <c r="AV38" s="15">
        <v>0</v>
      </c>
      <c r="AW38" s="15">
        <v>1</v>
      </c>
      <c r="AX38" s="15">
        <v>0</v>
      </c>
      <c r="AY38" s="15">
        <v>0</v>
      </c>
      <c r="AZ38" s="15">
        <v>0</v>
      </c>
      <c r="BA38" s="15">
        <v>0</v>
      </c>
      <c r="BB38" s="15">
        <v>0</v>
      </c>
      <c r="BC38" s="15">
        <v>0</v>
      </c>
      <c r="BD38" s="15">
        <v>0</v>
      </c>
    </row>
    <row r="39" spans="1:56" x14ac:dyDescent="0.35">
      <c r="A39" s="14" t="s">
        <v>35</v>
      </c>
      <c r="B39" s="15">
        <v>8</v>
      </c>
      <c r="C39" s="16">
        <v>110.98779134295228</v>
      </c>
      <c r="D39" s="15">
        <v>0</v>
      </c>
      <c r="E39" s="15">
        <v>0</v>
      </c>
      <c r="F39" s="15">
        <v>0</v>
      </c>
      <c r="G39" s="15">
        <v>0</v>
      </c>
      <c r="H39" s="15">
        <v>0</v>
      </c>
      <c r="I39" s="15">
        <v>0</v>
      </c>
      <c r="J39" s="15">
        <v>0</v>
      </c>
      <c r="K39" s="15">
        <v>1</v>
      </c>
      <c r="L39" s="15">
        <v>0</v>
      </c>
      <c r="M39" s="15">
        <v>0</v>
      </c>
      <c r="N39" s="15">
        <v>0</v>
      </c>
      <c r="O39" s="15">
        <v>0</v>
      </c>
      <c r="P39" s="15">
        <v>0</v>
      </c>
      <c r="Q39" s="15">
        <v>0</v>
      </c>
      <c r="R39" s="15">
        <v>0</v>
      </c>
      <c r="S39" s="15">
        <v>0</v>
      </c>
      <c r="T39" s="15">
        <v>3</v>
      </c>
      <c r="U39" s="15">
        <v>0</v>
      </c>
      <c r="V39" s="15">
        <v>0</v>
      </c>
      <c r="W39" s="15">
        <v>0</v>
      </c>
      <c r="X39" s="15">
        <v>0</v>
      </c>
      <c r="Y39" s="15">
        <v>0</v>
      </c>
      <c r="Z39" s="15">
        <v>0</v>
      </c>
      <c r="AA39" s="15">
        <v>0</v>
      </c>
      <c r="AB39" s="15">
        <v>0</v>
      </c>
      <c r="AC39" s="15">
        <v>0</v>
      </c>
      <c r="AD39" s="15">
        <v>0</v>
      </c>
      <c r="AE39" s="15">
        <v>0</v>
      </c>
      <c r="AF39" s="15">
        <v>1</v>
      </c>
      <c r="AG39" s="15">
        <v>0</v>
      </c>
      <c r="AH39" s="15">
        <v>0</v>
      </c>
      <c r="AI39" s="15">
        <v>0</v>
      </c>
      <c r="AJ39" s="15">
        <v>2</v>
      </c>
      <c r="AK39" s="15">
        <v>0</v>
      </c>
      <c r="AL39" s="15">
        <v>0</v>
      </c>
      <c r="AM39" s="15">
        <v>0</v>
      </c>
      <c r="AN39" s="15">
        <v>0</v>
      </c>
      <c r="AO39" s="15">
        <v>0</v>
      </c>
      <c r="AP39" s="15">
        <v>0</v>
      </c>
      <c r="AQ39" s="15">
        <v>0</v>
      </c>
      <c r="AR39" s="15">
        <v>0</v>
      </c>
      <c r="AS39" s="15">
        <v>0</v>
      </c>
      <c r="AT39" s="15">
        <v>0</v>
      </c>
      <c r="AU39" s="15">
        <v>0</v>
      </c>
      <c r="AV39" s="15">
        <v>0</v>
      </c>
      <c r="AW39" s="15">
        <v>0</v>
      </c>
      <c r="AX39" s="15">
        <v>0</v>
      </c>
      <c r="AY39" s="15">
        <v>0</v>
      </c>
      <c r="AZ39" s="15">
        <v>1</v>
      </c>
      <c r="BA39" s="15">
        <v>0</v>
      </c>
      <c r="BB39" s="15">
        <v>0</v>
      </c>
      <c r="BC39" s="15">
        <v>0</v>
      </c>
      <c r="BD39" s="15">
        <v>0</v>
      </c>
    </row>
    <row r="40" spans="1:56" x14ac:dyDescent="0.35">
      <c r="A40" s="14" t="s">
        <v>36</v>
      </c>
      <c r="B40" s="15">
        <v>25</v>
      </c>
      <c r="C40" s="16">
        <v>84.430935494765279</v>
      </c>
      <c r="D40" s="15">
        <v>1</v>
      </c>
      <c r="E40" s="15">
        <v>0</v>
      </c>
      <c r="F40" s="15">
        <v>0</v>
      </c>
      <c r="G40" s="15">
        <v>0</v>
      </c>
      <c r="H40" s="15">
        <v>0</v>
      </c>
      <c r="I40" s="15">
        <v>0</v>
      </c>
      <c r="J40" s="15">
        <v>0</v>
      </c>
      <c r="K40" s="15">
        <v>0</v>
      </c>
      <c r="L40" s="15">
        <v>0</v>
      </c>
      <c r="M40" s="15">
        <v>0</v>
      </c>
      <c r="N40" s="15">
        <v>0</v>
      </c>
      <c r="O40" s="15">
        <v>0</v>
      </c>
      <c r="P40" s="15">
        <v>0</v>
      </c>
      <c r="Q40" s="15">
        <v>0</v>
      </c>
      <c r="R40" s="15">
        <v>0</v>
      </c>
      <c r="S40" s="15">
        <v>0</v>
      </c>
      <c r="T40" s="15">
        <v>0</v>
      </c>
      <c r="U40" s="15">
        <v>0</v>
      </c>
      <c r="V40" s="15">
        <v>0</v>
      </c>
      <c r="W40" s="15">
        <v>0</v>
      </c>
      <c r="X40" s="15">
        <v>0</v>
      </c>
      <c r="Y40" s="15">
        <v>0</v>
      </c>
      <c r="Z40" s="15">
        <v>0</v>
      </c>
      <c r="AA40" s="15">
        <v>0</v>
      </c>
      <c r="AB40" s="15">
        <v>0</v>
      </c>
      <c r="AC40" s="15">
        <v>0</v>
      </c>
      <c r="AD40" s="15">
        <v>0</v>
      </c>
      <c r="AE40" s="15">
        <v>3</v>
      </c>
      <c r="AF40" s="15">
        <v>0</v>
      </c>
      <c r="AG40" s="15">
        <v>0</v>
      </c>
      <c r="AH40" s="15">
        <v>0</v>
      </c>
      <c r="AI40" s="15">
        <v>2</v>
      </c>
      <c r="AJ40" s="15">
        <v>1</v>
      </c>
      <c r="AK40" s="15">
        <v>0</v>
      </c>
      <c r="AL40" s="15">
        <v>0</v>
      </c>
      <c r="AM40" s="15">
        <v>2</v>
      </c>
      <c r="AN40" s="15">
        <v>1</v>
      </c>
      <c r="AO40" s="15">
        <v>0</v>
      </c>
      <c r="AP40" s="15">
        <v>2</v>
      </c>
      <c r="AQ40" s="15">
        <v>5</v>
      </c>
      <c r="AR40" s="15">
        <v>0</v>
      </c>
      <c r="AS40" s="15">
        <v>0</v>
      </c>
      <c r="AT40" s="15">
        <v>0</v>
      </c>
      <c r="AU40" s="15">
        <v>1</v>
      </c>
      <c r="AV40" s="15">
        <v>4</v>
      </c>
      <c r="AW40" s="15">
        <v>1</v>
      </c>
      <c r="AX40" s="15">
        <v>2</v>
      </c>
      <c r="AY40" s="15">
        <v>0</v>
      </c>
      <c r="AZ40" s="15">
        <v>0</v>
      </c>
      <c r="BA40" s="15">
        <v>0</v>
      </c>
      <c r="BB40" s="15">
        <v>0</v>
      </c>
      <c r="BC40" s="15">
        <v>0</v>
      </c>
      <c r="BD40" s="15">
        <v>0</v>
      </c>
    </row>
    <row r="41" spans="1:56" x14ac:dyDescent="0.35">
      <c r="A41" s="14" t="s">
        <v>37</v>
      </c>
      <c r="B41" s="15">
        <v>3</v>
      </c>
      <c r="C41" s="16">
        <v>6.0866742411946113</v>
      </c>
      <c r="D41" s="15">
        <v>0</v>
      </c>
      <c r="E41" s="15">
        <v>0</v>
      </c>
      <c r="F41" s="15">
        <v>0</v>
      </c>
      <c r="G41" s="15">
        <v>0</v>
      </c>
      <c r="H41" s="15">
        <v>0</v>
      </c>
      <c r="I41" s="15">
        <v>0</v>
      </c>
      <c r="J41" s="15">
        <v>0</v>
      </c>
      <c r="K41" s="15">
        <v>0</v>
      </c>
      <c r="L41" s="15">
        <v>0</v>
      </c>
      <c r="M41" s="15">
        <v>0</v>
      </c>
      <c r="N41" s="15">
        <v>1</v>
      </c>
      <c r="O41" s="15">
        <v>0</v>
      </c>
      <c r="P41" s="15">
        <v>1</v>
      </c>
      <c r="Q41" s="15">
        <v>0</v>
      </c>
      <c r="R41" s="15">
        <v>0</v>
      </c>
      <c r="S41" s="15">
        <v>0</v>
      </c>
      <c r="T41" s="15">
        <v>0</v>
      </c>
      <c r="U41" s="15">
        <v>0</v>
      </c>
      <c r="V41" s="15">
        <v>0</v>
      </c>
      <c r="W41" s="15">
        <v>0</v>
      </c>
      <c r="X41" s="15">
        <v>0</v>
      </c>
      <c r="Y41" s="15">
        <v>1</v>
      </c>
      <c r="Z41" s="15">
        <v>0</v>
      </c>
      <c r="AA41" s="15">
        <v>0</v>
      </c>
      <c r="AB41" s="15">
        <v>0</v>
      </c>
      <c r="AC41" s="15">
        <v>0</v>
      </c>
      <c r="AD41" s="15">
        <v>0</v>
      </c>
      <c r="AE41" s="15">
        <v>0</v>
      </c>
      <c r="AF41" s="15">
        <v>0</v>
      </c>
      <c r="AG41" s="15">
        <v>0</v>
      </c>
      <c r="AH41" s="15">
        <v>0</v>
      </c>
      <c r="AI41" s="15">
        <v>0</v>
      </c>
      <c r="AJ41" s="15">
        <v>0</v>
      </c>
      <c r="AK41" s="15">
        <v>0</v>
      </c>
      <c r="AL41" s="15">
        <v>0</v>
      </c>
      <c r="AM41" s="15">
        <v>0</v>
      </c>
      <c r="AN41" s="15">
        <v>0</v>
      </c>
      <c r="AO41" s="15">
        <v>0</v>
      </c>
      <c r="AP41" s="15">
        <v>0</v>
      </c>
      <c r="AQ41" s="15">
        <v>0</v>
      </c>
      <c r="AR41" s="15">
        <v>0</v>
      </c>
      <c r="AS41" s="15">
        <v>0</v>
      </c>
      <c r="AT41" s="15">
        <v>0</v>
      </c>
      <c r="AU41" s="15">
        <v>0</v>
      </c>
      <c r="AV41" s="15">
        <v>0</v>
      </c>
      <c r="AW41" s="15">
        <v>0</v>
      </c>
      <c r="AX41" s="15">
        <v>0</v>
      </c>
      <c r="AY41" s="15">
        <v>0</v>
      </c>
      <c r="AZ41" s="15">
        <v>0</v>
      </c>
      <c r="BA41" s="15">
        <v>0</v>
      </c>
      <c r="BB41" s="15">
        <v>0</v>
      </c>
      <c r="BC41" s="15">
        <v>0</v>
      </c>
      <c r="BD41" s="15">
        <v>0</v>
      </c>
    </row>
    <row r="42" spans="1:56" x14ac:dyDescent="0.35">
      <c r="A42" s="14" t="s">
        <v>38</v>
      </c>
      <c r="B42" s="15">
        <v>1</v>
      </c>
      <c r="C42" s="16">
        <v>2.4168600154679041</v>
      </c>
      <c r="D42" s="15">
        <v>0</v>
      </c>
      <c r="E42" s="15">
        <v>0</v>
      </c>
      <c r="F42" s="15">
        <v>0</v>
      </c>
      <c r="G42" s="15">
        <v>0</v>
      </c>
      <c r="H42" s="15">
        <v>0</v>
      </c>
      <c r="I42" s="15">
        <v>0</v>
      </c>
      <c r="J42" s="15">
        <v>0</v>
      </c>
      <c r="K42" s="15">
        <v>0</v>
      </c>
      <c r="L42" s="15">
        <v>0</v>
      </c>
      <c r="M42" s="15">
        <v>0</v>
      </c>
      <c r="N42" s="15">
        <v>0</v>
      </c>
      <c r="O42" s="15">
        <v>0</v>
      </c>
      <c r="P42" s="15">
        <v>1</v>
      </c>
      <c r="Q42" s="15">
        <v>0</v>
      </c>
      <c r="R42" s="15">
        <v>0</v>
      </c>
      <c r="S42" s="15">
        <v>0</v>
      </c>
      <c r="T42" s="15">
        <v>0</v>
      </c>
      <c r="U42" s="15">
        <v>0</v>
      </c>
      <c r="V42" s="15">
        <v>0</v>
      </c>
      <c r="W42" s="15">
        <v>0</v>
      </c>
      <c r="X42" s="15">
        <v>0</v>
      </c>
      <c r="Y42" s="15">
        <v>0</v>
      </c>
      <c r="Z42" s="15">
        <v>0</v>
      </c>
      <c r="AA42" s="15">
        <v>0</v>
      </c>
      <c r="AB42" s="15">
        <v>0</v>
      </c>
      <c r="AC42" s="15">
        <v>0</v>
      </c>
      <c r="AD42" s="15">
        <v>0</v>
      </c>
      <c r="AE42" s="15">
        <v>0</v>
      </c>
      <c r="AF42" s="15">
        <v>0</v>
      </c>
      <c r="AG42" s="15">
        <v>0</v>
      </c>
      <c r="AH42" s="15">
        <v>0</v>
      </c>
      <c r="AI42" s="15">
        <v>0</v>
      </c>
      <c r="AJ42" s="15">
        <v>0</v>
      </c>
      <c r="AK42" s="15">
        <v>0</v>
      </c>
      <c r="AL42" s="15">
        <v>0</v>
      </c>
      <c r="AM42" s="15">
        <v>0</v>
      </c>
      <c r="AN42" s="15">
        <v>0</v>
      </c>
      <c r="AO42" s="15">
        <v>0</v>
      </c>
      <c r="AP42" s="15">
        <v>0</v>
      </c>
      <c r="AQ42" s="15">
        <v>0</v>
      </c>
      <c r="AR42" s="15">
        <v>0</v>
      </c>
      <c r="AS42" s="15">
        <v>0</v>
      </c>
      <c r="AT42" s="15">
        <v>0</v>
      </c>
      <c r="AU42" s="15">
        <v>0</v>
      </c>
      <c r="AV42" s="15">
        <v>0</v>
      </c>
      <c r="AW42" s="15">
        <v>0</v>
      </c>
      <c r="AX42" s="15">
        <v>0</v>
      </c>
      <c r="AY42" s="15">
        <v>0</v>
      </c>
      <c r="AZ42" s="15">
        <v>0</v>
      </c>
      <c r="BA42" s="15">
        <v>0</v>
      </c>
      <c r="BB42" s="15">
        <v>0</v>
      </c>
      <c r="BC42" s="15">
        <v>0</v>
      </c>
      <c r="BD42" s="15">
        <v>0</v>
      </c>
    </row>
    <row r="43" spans="1:56" x14ac:dyDescent="0.35">
      <c r="A43" s="14" t="s">
        <v>39</v>
      </c>
      <c r="B43" s="15">
        <v>13</v>
      </c>
      <c r="C43" s="16">
        <v>37.713954163040327</v>
      </c>
      <c r="D43" s="15">
        <v>3</v>
      </c>
      <c r="E43" s="15">
        <v>0</v>
      </c>
      <c r="F43" s="15">
        <v>0</v>
      </c>
      <c r="G43" s="15">
        <v>0</v>
      </c>
      <c r="H43" s="15">
        <v>0</v>
      </c>
      <c r="I43" s="15">
        <v>0</v>
      </c>
      <c r="J43" s="15">
        <v>0</v>
      </c>
      <c r="K43" s="15">
        <v>0</v>
      </c>
      <c r="L43" s="15">
        <v>0</v>
      </c>
      <c r="M43" s="15">
        <v>0</v>
      </c>
      <c r="N43" s="15">
        <v>0</v>
      </c>
      <c r="O43" s="15">
        <v>0</v>
      </c>
      <c r="P43" s="15">
        <v>0</v>
      </c>
      <c r="Q43" s="15">
        <v>0</v>
      </c>
      <c r="R43" s="15">
        <v>0</v>
      </c>
      <c r="S43" s="15">
        <v>0</v>
      </c>
      <c r="T43" s="15">
        <v>0</v>
      </c>
      <c r="U43" s="15">
        <v>0</v>
      </c>
      <c r="V43" s="15">
        <v>0</v>
      </c>
      <c r="W43" s="15">
        <v>0</v>
      </c>
      <c r="X43" s="15">
        <v>0</v>
      </c>
      <c r="Y43" s="15">
        <v>0</v>
      </c>
      <c r="Z43" s="15">
        <v>0</v>
      </c>
      <c r="AA43" s="15">
        <v>1</v>
      </c>
      <c r="AB43" s="15">
        <v>0</v>
      </c>
      <c r="AC43" s="15">
        <v>0</v>
      </c>
      <c r="AD43" s="15">
        <v>0</v>
      </c>
      <c r="AE43" s="15">
        <v>0</v>
      </c>
      <c r="AF43" s="15">
        <v>0</v>
      </c>
      <c r="AG43" s="15">
        <v>0</v>
      </c>
      <c r="AH43" s="15">
        <v>0</v>
      </c>
      <c r="AI43" s="15">
        <v>0</v>
      </c>
      <c r="AJ43" s="15">
        <v>0</v>
      </c>
      <c r="AK43" s="15">
        <v>0</v>
      </c>
      <c r="AL43" s="15">
        <v>0</v>
      </c>
      <c r="AM43" s="15">
        <v>0</v>
      </c>
      <c r="AN43" s="15">
        <v>0</v>
      </c>
      <c r="AO43" s="15">
        <v>0</v>
      </c>
      <c r="AP43" s="15">
        <v>0</v>
      </c>
      <c r="AQ43" s="15">
        <v>0</v>
      </c>
      <c r="AR43" s="15">
        <v>0</v>
      </c>
      <c r="AS43" s="15">
        <v>1</v>
      </c>
      <c r="AT43" s="15">
        <v>1</v>
      </c>
      <c r="AU43" s="15">
        <v>1</v>
      </c>
      <c r="AV43" s="15">
        <v>0</v>
      </c>
      <c r="AW43" s="15">
        <v>6</v>
      </c>
      <c r="AX43" s="15">
        <v>0</v>
      </c>
      <c r="AY43" s="15">
        <v>0</v>
      </c>
      <c r="AZ43" s="15">
        <v>0</v>
      </c>
      <c r="BA43" s="15">
        <v>0</v>
      </c>
      <c r="BB43" s="15">
        <v>0</v>
      </c>
      <c r="BC43" s="15">
        <v>0</v>
      </c>
      <c r="BD43" s="15">
        <v>0</v>
      </c>
    </row>
    <row r="44" spans="1:56" x14ac:dyDescent="0.35">
      <c r="A44" s="14" t="s">
        <v>40</v>
      </c>
      <c r="B44" s="15">
        <v>42</v>
      </c>
      <c r="C44" s="16">
        <v>174.23048203766697</v>
      </c>
      <c r="D44" s="15">
        <v>2</v>
      </c>
      <c r="E44" s="15">
        <v>4</v>
      </c>
      <c r="F44" s="15">
        <v>1</v>
      </c>
      <c r="G44" s="15">
        <v>0</v>
      </c>
      <c r="H44" s="15">
        <v>1</v>
      </c>
      <c r="I44" s="15">
        <v>0</v>
      </c>
      <c r="J44" s="15">
        <v>4</v>
      </c>
      <c r="K44" s="15">
        <v>0</v>
      </c>
      <c r="L44" s="15">
        <v>2</v>
      </c>
      <c r="M44" s="15">
        <v>1</v>
      </c>
      <c r="N44" s="15">
        <v>0</v>
      </c>
      <c r="O44" s="15">
        <v>0</v>
      </c>
      <c r="P44" s="15">
        <v>0</v>
      </c>
      <c r="Q44" s="15">
        <v>0</v>
      </c>
      <c r="R44" s="15">
        <v>1</v>
      </c>
      <c r="S44" s="15">
        <v>1</v>
      </c>
      <c r="T44" s="15">
        <v>7</v>
      </c>
      <c r="U44" s="15">
        <v>0</v>
      </c>
      <c r="V44" s="15">
        <v>0</v>
      </c>
      <c r="W44" s="15">
        <v>2</v>
      </c>
      <c r="X44" s="15">
        <v>1</v>
      </c>
      <c r="Y44" s="15">
        <v>0</v>
      </c>
      <c r="Z44" s="15">
        <v>0</v>
      </c>
      <c r="AA44" s="15">
        <v>1</v>
      </c>
      <c r="AB44" s="15">
        <v>2</v>
      </c>
      <c r="AC44" s="15">
        <v>1</v>
      </c>
      <c r="AD44" s="15">
        <v>1</v>
      </c>
      <c r="AE44" s="15">
        <v>2</v>
      </c>
      <c r="AF44" s="15">
        <v>1</v>
      </c>
      <c r="AG44" s="15">
        <v>0</v>
      </c>
      <c r="AH44" s="15">
        <v>0</v>
      </c>
      <c r="AI44" s="15">
        <v>0</v>
      </c>
      <c r="AJ44" s="15">
        <v>0</v>
      </c>
      <c r="AK44" s="15">
        <v>1</v>
      </c>
      <c r="AL44" s="15">
        <v>0</v>
      </c>
      <c r="AM44" s="15">
        <v>2</v>
      </c>
      <c r="AN44" s="15">
        <v>0</v>
      </c>
      <c r="AO44" s="15">
        <v>0</v>
      </c>
      <c r="AP44" s="15">
        <v>0</v>
      </c>
      <c r="AQ44" s="15">
        <v>0</v>
      </c>
      <c r="AR44" s="15">
        <v>1</v>
      </c>
      <c r="AS44" s="15">
        <v>0</v>
      </c>
      <c r="AT44" s="15">
        <v>0</v>
      </c>
      <c r="AU44" s="15">
        <v>1</v>
      </c>
      <c r="AV44" s="15">
        <v>0</v>
      </c>
      <c r="AW44" s="15">
        <v>0</v>
      </c>
      <c r="AX44" s="15">
        <v>0</v>
      </c>
      <c r="AY44" s="15">
        <v>2</v>
      </c>
      <c r="AZ44" s="15">
        <v>0</v>
      </c>
      <c r="BA44" s="15">
        <v>0</v>
      </c>
      <c r="BB44" s="15">
        <v>0</v>
      </c>
      <c r="BC44" s="15">
        <v>0</v>
      </c>
      <c r="BD44" s="15">
        <v>0</v>
      </c>
    </row>
    <row r="45" spans="1:56" x14ac:dyDescent="0.35">
      <c r="A45" s="14" t="s">
        <v>41</v>
      </c>
      <c r="B45" s="15">
        <v>680</v>
      </c>
      <c r="C45" s="16">
        <v>334.72968116997868</v>
      </c>
      <c r="D45" s="15">
        <v>9</v>
      </c>
      <c r="E45" s="15">
        <v>5</v>
      </c>
      <c r="F45" s="15">
        <v>16</v>
      </c>
      <c r="G45" s="15">
        <v>12</v>
      </c>
      <c r="H45" s="15">
        <v>12</v>
      </c>
      <c r="I45" s="15">
        <v>19</v>
      </c>
      <c r="J45" s="15">
        <v>8</v>
      </c>
      <c r="K45" s="15">
        <v>6</v>
      </c>
      <c r="L45" s="15">
        <v>11</v>
      </c>
      <c r="M45" s="15">
        <v>24</v>
      </c>
      <c r="N45" s="15">
        <v>16</v>
      </c>
      <c r="O45" s="15">
        <v>21</v>
      </c>
      <c r="P45" s="15">
        <v>15</v>
      </c>
      <c r="Q45" s="15">
        <v>15</v>
      </c>
      <c r="R45" s="15">
        <v>8</v>
      </c>
      <c r="S45" s="15">
        <v>8</v>
      </c>
      <c r="T45" s="15">
        <v>6</v>
      </c>
      <c r="U45" s="15">
        <v>15</v>
      </c>
      <c r="V45" s="15">
        <v>10</v>
      </c>
      <c r="W45" s="15">
        <v>9</v>
      </c>
      <c r="X45" s="15">
        <v>10</v>
      </c>
      <c r="Y45" s="15">
        <v>17</v>
      </c>
      <c r="Z45" s="15">
        <v>11</v>
      </c>
      <c r="AA45" s="15">
        <v>17</v>
      </c>
      <c r="AB45" s="15">
        <v>17</v>
      </c>
      <c r="AC45" s="15">
        <v>26</v>
      </c>
      <c r="AD45" s="15">
        <v>40</v>
      </c>
      <c r="AE45" s="15">
        <v>42</v>
      </c>
      <c r="AF45" s="15">
        <v>27</v>
      </c>
      <c r="AG45" s="15">
        <v>18</v>
      </c>
      <c r="AH45" s="15">
        <v>18</v>
      </c>
      <c r="AI45" s="15">
        <v>10</v>
      </c>
      <c r="AJ45" s="15">
        <v>5</v>
      </c>
      <c r="AK45" s="15">
        <v>12</v>
      </c>
      <c r="AL45" s="15">
        <v>9</v>
      </c>
      <c r="AM45" s="15">
        <v>15</v>
      </c>
      <c r="AN45" s="15">
        <v>14</v>
      </c>
      <c r="AO45" s="15">
        <v>15</v>
      </c>
      <c r="AP45" s="15">
        <v>7</v>
      </c>
      <c r="AQ45" s="15">
        <v>11</v>
      </c>
      <c r="AR45" s="15">
        <v>15</v>
      </c>
      <c r="AS45" s="15">
        <v>13</v>
      </c>
      <c r="AT45" s="15">
        <v>10</v>
      </c>
      <c r="AU45" s="15">
        <v>7</v>
      </c>
      <c r="AV45" s="15">
        <v>7</v>
      </c>
      <c r="AW45" s="15">
        <v>12</v>
      </c>
      <c r="AX45" s="15">
        <v>7</v>
      </c>
      <c r="AY45" s="15">
        <v>8</v>
      </c>
      <c r="AZ45" s="15">
        <v>8</v>
      </c>
      <c r="BA45" s="15">
        <v>5</v>
      </c>
      <c r="BB45" s="15">
        <v>1</v>
      </c>
      <c r="BC45" s="15">
        <v>1</v>
      </c>
      <c r="BD45" s="15">
        <v>0</v>
      </c>
    </row>
    <row r="46" spans="1:56" x14ac:dyDescent="0.35">
      <c r="A46" s="14" t="s">
        <v>42</v>
      </c>
      <c r="B46" s="15">
        <v>0</v>
      </c>
      <c r="C46" s="16">
        <v>0</v>
      </c>
      <c r="D46" s="15">
        <v>0</v>
      </c>
      <c r="E46" s="15">
        <v>0</v>
      </c>
      <c r="F46" s="15">
        <v>0</v>
      </c>
      <c r="G46" s="15">
        <v>0</v>
      </c>
      <c r="H46" s="15">
        <v>0</v>
      </c>
      <c r="I46" s="15">
        <v>0</v>
      </c>
      <c r="J46" s="15">
        <v>0</v>
      </c>
      <c r="K46" s="15">
        <v>0</v>
      </c>
      <c r="L46" s="15">
        <v>0</v>
      </c>
      <c r="M46" s="15">
        <v>0</v>
      </c>
      <c r="N46" s="15">
        <v>0</v>
      </c>
      <c r="O46" s="15">
        <v>0</v>
      </c>
      <c r="P46" s="15">
        <v>0</v>
      </c>
      <c r="Q46" s="15">
        <v>0</v>
      </c>
      <c r="R46" s="15">
        <v>0</v>
      </c>
      <c r="S46" s="15">
        <v>0</v>
      </c>
      <c r="T46" s="15">
        <v>0</v>
      </c>
      <c r="U46" s="15">
        <v>0</v>
      </c>
      <c r="V46" s="15">
        <v>0</v>
      </c>
      <c r="W46" s="15">
        <v>0</v>
      </c>
      <c r="X46" s="15">
        <v>0</v>
      </c>
      <c r="Y46" s="15">
        <v>0</v>
      </c>
      <c r="Z46" s="15">
        <v>0</v>
      </c>
      <c r="AA46" s="15">
        <v>0</v>
      </c>
      <c r="AB46" s="15">
        <v>0</v>
      </c>
      <c r="AC46" s="15">
        <v>0</v>
      </c>
      <c r="AD46" s="15">
        <v>0</v>
      </c>
      <c r="AE46" s="15">
        <v>0</v>
      </c>
      <c r="AF46" s="15">
        <v>0</v>
      </c>
      <c r="AG46" s="15">
        <v>0</v>
      </c>
      <c r="AH46" s="15">
        <v>0</v>
      </c>
      <c r="AI46" s="15">
        <v>0</v>
      </c>
      <c r="AJ46" s="15">
        <v>0</v>
      </c>
      <c r="AK46" s="15">
        <v>0</v>
      </c>
      <c r="AL46" s="15">
        <v>0</v>
      </c>
      <c r="AM46" s="15">
        <v>0</v>
      </c>
      <c r="AN46" s="15">
        <v>0</v>
      </c>
      <c r="AO46" s="15">
        <v>0</v>
      </c>
      <c r="AP46" s="15">
        <v>0</v>
      </c>
      <c r="AQ46" s="15">
        <v>0</v>
      </c>
      <c r="AR46" s="15">
        <v>0</v>
      </c>
      <c r="AS46" s="15">
        <v>0</v>
      </c>
      <c r="AT46" s="15">
        <v>0</v>
      </c>
      <c r="AU46" s="15">
        <v>0</v>
      </c>
      <c r="AV46" s="15">
        <v>0</v>
      </c>
      <c r="AW46" s="15">
        <v>0</v>
      </c>
      <c r="AX46" s="15">
        <v>0</v>
      </c>
      <c r="AY46" s="15">
        <v>0</v>
      </c>
      <c r="AZ46" s="15">
        <v>0</v>
      </c>
      <c r="BA46" s="15">
        <v>0</v>
      </c>
      <c r="BB46" s="15">
        <v>0</v>
      </c>
      <c r="BC46" s="15">
        <v>0</v>
      </c>
      <c r="BD46" s="15">
        <v>0</v>
      </c>
    </row>
    <row r="47" spans="1:56" x14ac:dyDescent="0.35">
      <c r="A47" s="14" t="s">
        <v>43</v>
      </c>
      <c r="B47" s="15">
        <v>1</v>
      </c>
      <c r="C47" s="16">
        <v>4.4658806716684527</v>
      </c>
      <c r="D47" s="15">
        <v>0</v>
      </c>
      <c r="E47" s="15">
        <v>0</v>
      </c>
      <c r="F47" s="15">
        <v>0</v>
      </c>
      <c r="G47" s="15">
        <v>0</v>
      </c>
      <c r="H47" s="15">
        <v>0</v>
      </c>
      <c r="I47" s="15">
        <v>0</v>
      </c>
      <c r="J47" s="15">
        <v>0</v>
      </c>
      <c r="K47" s="15">
        <v>0</v>
      </c>
      <c r="L47" s="15">
        <v>0</v>
      </c>
      <c r="M47" s="15">
        <v>0</v>
      </c>
      <c r="N47" s="15">
        <v>0</v>
      </c>
      <c r="O47" s="15">
        <v>0</v>
      </c>
      <c r="P47" s="15">
        <v>0</v>
      </c>
      <c r="Q47" s="15">
        <v>0</v>
      </c>
      <c r="R47" s="15">
        <v>0</v>
      </c>
      <c r="S47" s="15">
        <v>0</v>
      </c>
      <c r="T47" s="15">
        <v>0</v>
      </c>
      <c r="U47" s="15">
        <v>0</v>
      </c>
      <c r="V47" s="15">
        <v>0</v>
      </c>
      <c r="W47" s="15">
        <v>0</v>
      </c>
      <c r="X47" s="15">
        <v>0</v>
      </c>
      <c r="Y47" s="15">
        <v>0</v>
      </c>
      <c r="Z47" s="15">
        <v>0</v>
      </c>
      <c r="AA47" s="15">
        <v>0</v>
      </c>
      <c r="AB47" s="15">
        <v>0</v>
      </c>
      <c r="AC47" s="15">
        <v>0</v>
      </c>
      <c r="AD47" s="15">
        <v>0</v>
      </c>
      <c r="AE47" s="15">
        <v>0</v>
      </c>
      <c r="AF47" s="15">
        <v>0</v>
      </c>
      <c r="AG47" s="15">
        <v>0</v>
      </c>
      <c r="AH47" s="15">
        <v>0</v>
      </c>
      <c r="AI47" s="15">
        <v>0</v>
      </c>
      <c r="AJ47" s="15">
        <v>0</v>
      </c>
      <c r="AK47" s="15">
        <v>0</v>
      </c>
      <c r="AL47" s="15">
        <v>0</v>
      </c>
      <c r="AM47" s="15">
        <v>0</v>
      </c>
      <c r="AN47" s="15">
        <v>0</v>
      </c>
      <c r="AO47" s="15">
        <v>0</v>
      </c>
      <c r="AP47" s="15">
        <v>1</v>
      </c>
      <c r="AQ47" s="15">
        <v>0</v>
      </c>
      <c r="AR47" s="15">
        <v>0</v>
      </c>
      <c r="AS47" s="15">
        <v>0</v>
      </c>
      <c r="AT47" s="15">
        <v>0</v>
      </c>
      <c r="AU47" s="15">
        <v>0</v>
      </c>
      <c r="AV47" s="15">
        <v>0</v>
      </c>
      <c r="AW47" s="15">
        <v>0</v>
      </c>
      <c r="AX47" s="15">
        <v>0</v>
      </c>
      <c r="AY47" s="15">
        <v>0</v>
      </c>
      <c r="AZ47" s="15">
        <v>0</v>
      </c>
      <c r="BA47" s="15">
        <v>0</v>
      </c>
      <c r="BB47" s="15">
        <v>0</v>
      </c>
      <c r="BC47" s="15">
        <v>0</v>
      </c>
      <c r="BD47" s="15">
        <v>0</v>
      </c>
    </row>
    <row r="48" spans="1:56" x14ac:dyDescent="0.35">
      <c r="A48" s="14" t="s">
        <v>44</v>
      </c>
      <c r="B48" s="15">
        <v>5</v>
      </c>
      <c r="C48" s="16">
        <v>9.129752035934704</v>
      </c>
      <c r="D48" s="15">
        <v>0</v>
      </c>
      <c r="E48" s="15">
        <v>0</v>
      </c>
      <c r="F48" s="15">
        <v>0</v>
      </c>
      <c r="G48" s="15">
        <v>0</v>
      </c>
      <c r="H48" s="15">
        <v>0</v>
      </c>
      <c r="I48" s="15">
        <v>0</v>
      </c>
      <c r="J48" s="15">
        <v>0</v>
      </c>
      <c r="K48" s="15">
        <v>0</v>
      </c>
      <c r="L48" s="15">
        <v>0</v>
      </c>
      <c r="M48" s="15">
        <v>0</v>
      </c>
      <c r="N48" s="15">
        <v>0</v>
      </c>
      <c r="O48" s="15">
        <v>0</v>
      </c>
      <c r="P48" s="15">
        <v>0</v>
      </c>
      <c r="Q48" s="15">
        <v>0</v>
      </c>
      <c r="R48" s="15">
        <v>0</v>
      </c>
      <c r="S48" s="15">
        <v>0</v>
      </c>
      <c r="T48" s="15">
        <v>0</v>
      </c>
      <c r="U48" s="15">
        <v>0</v>
      </c>
      <c r="V48" s="15">
        <v>1</v>
      </c>
      <c r="W48" s="15">
        <v>0</v>
      </c>
      <c r="X48" s="15">
        <v>0</v>
      </c>
      <c r="Y48" s="15">
        <v>0</v>
      </c>
      <c r="Z48" s="15">
        <v>0</v>
      </c>
      <c r="AA48" s="15">
        <v>0</v>
      </c>
      <c r="AB48" s="15">
        <v>0</v>
      </c>
      <c r="AC48" s="15">
        <v>2</v>
      </c>
      <c r="AD48" s="15">
        <v>0</v>
      </c>
      <c r="AE48" s="15">
        <v>0</v>
      </c>
      <c r="AF48" s="15">
        <v>0</v>
      </c>
      <c r="AG48" s="15">
        <v>0</v>
      </c>
      <c r="AH48" s="15">
        <v>0</v>
      </c>
      <c r="AI48" s="15">
        <v>0</v>
      </c>
      <c r="AJ48" s="15">
        <v>0</v>
      </c>
      <c r="AK48" s="15">
        <v>0</v>
      </c>
      <c r="AL48" s="15">
        <v>0</v>
      </c>
      <c r="AM48" s="15">
        <v>0</v>
      </c>
      <c r="AN48" s="15">
        <v>0</v>
      </c>
      <c r="AO48" s="15">
        <v>0</v>
      </c>
      <c r="AP48" s="15">
        <v>0</v>
      </c>
      <c r="AQ48" s="15">
        <v>0</v>
      </c>
      <c r="AR48" s="15">
        <v>1</v>
      </c>
      <c r="AS48" s="15">
        <v>1</v>
      </c>
      <c r="AT48" s="15">
        <v>0</v>
      </c>
      <c r="AU48" s="15">
        <v>0</v>
      </c>
      <c r="AV48" s="15">
        <v>0</v>
      </c>
      <c r="AW48" s="15">
        <v>0</v>
      </c>
      <c r="AX48" s="15">
        <v>0</v>
      </c>
      <c r="AY48" s="15">
        <v>0</v>
      </c>
      <c r="AZ48" s="15">
        <v>0</v>
      </c>
      <c r="BA48" s="15">
        <v>0</v>
      </c>
      <c r="BB48" s="15">
        <v>0</v>
      </c>
      <c r="BC48" s="15">
        <v>0</v>
      </c>
      <c r="BD48" s="15">
        <v>0</v>
      </c>
    </row>
    <row r="49" spans="1:56" x14ac:dyDescent="0.35">
      <c r="A49" s="14" t="s">
        <v>45</v>
      </c>
      <c r="B49" s="15">
        <v>134</v>
      </c>
      <c r="C49" s="16">
        <v>389.07116518103425</v>
      </c>
      <c r="D49" s="15">
        <v>1</v>
      </c>
      <c r="E49" s="15">
        <v>1</v>
      </c>
      <c r="F49" s="15">
        <v>0</v>
      </c>
      <c r="G49" s="15">
        <v>0</v>
      </c>
      <c r="H49" s="15">
        <v>0</v>
      </c>
      <c r="I49" s="15">
        <v>0</v>
      </c>
      <c r="J49" s="15">
        <v>0</v>
      </c>
      <c r="K49" s="15">
        <v>0</v>
      </c>
      <c r="L49" s="15">
        <v>0</v>
      </c>
      <c r="M49" s="15">
        <v>0</v>
      </c>
      <c r="N49" s="15">
        <v>0</v>
      </c>
      <c r="O49" s="15">
        <v>0</v>
      </c>
      <c r="P49" s="15">
        <v>0</v>
      </c>
      <c r="Q49" s="15">
        <v>0</v>
      </c>
      <c r="R49" s="15">
        <v>0</v>
      </c>
      <c r="S49" s="15">
        <v>0</v>
      </c>
      <c r="T49" s="15">
        <v>0</v>
      </c>
      <c r="U49" s="15">
        <v>0</v>
      </c>
      <c r="V49" s="15">
        <v>0</v>
      </c>
      <c r="W49" s="15">
        <v>0</v>
      </c>
      <c r="X49" s="15">
        <v>0</v>
      </c>
      <c r="Y49" s="15">
        <v>0</v>
      </c>
      <c r="Z49" s="15">
        <v>0</v>
      </c>
      <c r="AA49" s="15">
        <v>0</v>
      </c>
      <c r="AB49" s="15">
        <v>2</v>
      </c>
      <c r="AC49" s="15">
        <v>0</v>
      </c>
      <c r="AD49" s="15">
        <v>0</v>
      </c>
      <c r="AE49" s="15">
        <v>0</v>
      </c>
      <c r="AF49" s="15">
        <v>1</v>
      </c>
      <c r="AG49" s="15">
        <v>0</v>
      </c>
      <c r="AH49" s="15">
        <v>0</v>
      </c>
      <c r="AI49" s="15">
        <v>0</v>
      </c>
      <c r="AJ49" s="15">
        <v>0</v>
      </c>
      <c r="AK49" s="15">
        <v>0</v>
      </c>
      <c r="AL49" s="15">
        <v>0</v>
      </c>
      <c r="AM49" s="15">
        <v>0</v>
      </c>
      <c r="AN49" s="15">
        <v>0</v>
      </c>
      <c r="AO49" s="15">
        <v>0</v>
      </c>
      <c r="AP49" s="15">
        <v>2</v>
      </c>
      <c r="AQ49" s="15">
        <v>3</v>
      </c>
      <c r="AR49" s="15">
        <v>4</v>
      </c>
      <c r="AS49" s="15">
        <v>14</v>
      </c>
      <c r="AT49" s="15">
        <v>10</v>
      </c>
      <c r="AU49" s="15">
        <v>13</v>
      </c>
      <c r="AV49" s="15">
        <v>13</v>
      </c>
      <c r="AW49" s="15">
        <v>3</v>
      </c>
      <c r="AX49" s="15">
        <v>17</v>
      </c>
      <c r="AY49" s="15">
        <v>23</v>
      </c>
      <c r="AZ49" s="15">
        <v>12</v>
      </c>
      <c r="BA49" s="15">
        <v>7</v>
      </c>
      <c r="BB49" s="15">
        <v>6</v>
      </c>
      <c r="BC49" s="15">
        <v>2</v>
      </c>
      <c r="BD49" s="15">
        <v>0</v>
      </c>
    </row>
    <row r="50" spans="1:56" x14ac:dyDescent="0.35">
      <c r="A50" s="14" t="s">
        <v>46</v>
      </c>
      <c r="B50" s="15">
        <v>1</v>
      </c>
      <c r="C50" s="16">
        <v>5.1387461459403907</v>
      </c>
      <c r="D50" s="15">
        <v>0</v>
      </c>
      <c r="E50" s="15">
        <v>0</v>
      </c>
      <c r="F50" s="15">
        <v>0</v>
      </c>
      <c r="G50" s="15">
        <v>0</v>
      </c>
      <c r="H50" s="15">
        <v>0</v>
      </c>
      <c r="I50" s="15">
        <v>0</v>
      </c>
      <c r="J50" s="15">
        <v>0</v>
      </c>
      <c r="K50" s="15">
        <v>0</v>
      </c>
      <c r="L50" s="15">
        <v>0</v>
      </c>
      <c r="M50" s="15">
        <v>0</v>
      </c>
      <c r="N50" s="15">
        <v>0</v>
      </c>
      <c r="O50" s="15">
        <v>0</v>
      </c>
      <c r="P50" s="15">
        <v>0</v>
      </c>
      <c r="Q50" s="15">
        <v>0</v>
      </c>
      <c r="R50" s="15">
        <v>0</v>
      </c>
      <c r="S50" s="15">
        <v>0</v>
      </c>
      <c r="T50" s="15">
        <v>0</v>
      </c>
      <c r="U50" s="15">
        <v>0</v>
      </c>
      <c r="V50" s="15">
        <v>0</v>
      </c>
      <c r="W50" s="15">
        <v>0</v>
      </c>
      <c r="X50" s="15">
        <v>0</v>
      </c>
      <c r="Y50" s="15">
        <v>0</v>
      </c>
      <c r="Z50" s="15">
        <v>0</v>
      </c>
      <c r="AA50" s="15">
        <v>0</v>
      </c>
      <c r="AB50" s="15">
        <v>0</v>
      </c>
      <c r="AC50" s="15">
        <v>0</v>
      </c>
      <c r="AD50" s="15">
        <v>0</v>
      </c>
      <c r="AE50" s="15">
        <v>0</v>
      </c>
      <c r="AF50" s="15">
        <v>0</v>
      </c>
      <c r="AG50" s="15">
        <v>0</v>
      </c>
      <c r="AH50" s="15">
        <v>0</v>
      </c>
      <c r="AI50" s="15">
        <v>0</v>
      </c>
      <c r="AJ50" s="15">
        <v>0</v>
      </c>
      <c r="AK50" s="15">
        <v>0</v>
      </c>
      <c r="AL50" s="15">
        <v>0</v>
      </c>
      <c r="AM50" s="15">
        <v>0</v>
      </c>
      <c r="AN50" s="15">
        <v>0</v>
      </c>
      <c r="AO50" s="15">
        <v>0</v>
      </c>
      <c r="AP50" s="15">
        <v>0</v>
      </c>
      <c r="AQ50" s="15">
        <v>0</v>
      </c>
      <c r="AR50" s="15">
        <v>0</v>
      </c>
      <c r="AS50" s="15">
        <v>0</v>
      </c>
      <c r="AT50" s="15">
        <v>0</v>
      </c>
      <c r="AU50" s="15">
        <v>0</v>
      </c>
      <c r="AV50" s="15">
        <v>0</v>
      </c>
      <c r="AW50" s="15">
        <v>0</v>
      </c>
      <c r="AX50" s="15">
        <v>0</v>
      </c>
      <c r="AY50" s="15">
        <v>0</v>
      </c>
      <c r="AZ50" s="15">
        <v>1</v>
      </c>
      <c r="BA50" s="15">
        <v>0</v>
      </c>
      <c r="BB50" s="15">
        <v>0</v>
      </c>
      <c r="BC50" s="15">
        <v>0</v>
      </c>
      <c r="BD50" s="15">
        <v>0</v>
      </c>
    </row>
    <row r="51" spans="1:56" x14ac:dyDescent="0.35">
      <c r="A51" s="14" t="s">
        <v>105</v>
      </c>
      <c r="B51" s="15">
        <v>59</v>
      </c>
      <c r="C51" s="16" t="s">
        <v>106</v>
      </c>
      <c r="D51" s="15">
        <v>1</v>
      </c>
      <c r="E51" s="15">
        <v>1</v>
      </c>
      <c r="F51" s="15">
        <v>0</v>
      </c>
      <c r="G51" s="15">
        <v>6</v>
      </c>
      <c r="H51" s="15">
        <v>1</v>
      </c>
      <c r="I51" s="15">
        <v>1</v>
      </c>
      <c r="J51" s="15">
        <v>5</v>
      </c>
      <c r="K51" s="15">
        <v>0</v>
      </c>
      <c r="L51" s="15">
        <v>6</v>
      </c>
      <c r="M51" s="15">
        <v>0</v>
      </c>
      <c r="N51" s="15">
        <v>2</v>
      </c>
      <c r="O51" s="15">
        <v>0</v>
      </c>
      <c r="P51" s="15">
        <v>2</v>
      </c>
      <c r="Q51" s="15">
        <v>0</v>
      </c>
      <c r="R51" s="15">
        <v>1</v>
      </c>
      <c r="S51" s="15">
        <v>1</v>
      </c>
      <c r="T51" s="15">
        <v>1</v>
      </c>
      <c r="U51" s="15">
        <v>2</v>
      </c>
      <c r="V51" s="15">
        <v>0</v>
      </c>
      <c r="W51" s="15">
        <v>0</v>
      </c>
      <c r="X51" s="15">
        <v>0</v>
      </c>
      <c r="Y51" s="15">
        <v>0</v>
      </c>
      <c r="Z51" s="15">
        <v>1</v>
      </c>
      <c r="AA51" s="15">
        <v>1</v>
      </c>
      <c r="AB51" s="15">
        <v>0</v>
      </c>
      <c r="AC51" s="15">
        <v>0</v>
      </c>
      <c r="AD51" s="15">
        <v>3</v>
      </c>
      <c r="AE51" s="15">
        <v>0</v>
      </c>
      <c r="AF51" s="15">
        <v>3</v>
      </c>
      <c r="AG51" s="15">
        <v>0</v>
      </c>
      <c r="AH51" s="15">
        <v>3</v>
      </c>
      <c r="AI51" s="15">
        <v>0</v>
      </c>
      <c r="AJ51" s="15">
        <v>0</v>
      </c>
      <c r="AK51" s="15">
        <v>1</v>
      </c>
      <c r="AL51" s="15">
        <v>0</v>
      </c>
      <c r="AM51" s="15">
        <v>2</v>
      </c>
      <c r="AN51" s="15">
        <v>2</v>
      </c>
      <c r="AO51" s="15">
        <v>0</v>
      </c>
      <c r="AP51" s="15">
        <v>5</v>
      </c>
      <c r="AQ51" s="15">
        <v>0</v>
      </c>
      <c r="AR51" s="15">
        <v>0</v>
      </c>
      <c r="AS51" s="15">
        <v>0</v>
      </c>
      <c r="AT51" s="15">
        <v>0</v>
      </c>
      <c r="AU51" s="15">
        <v>1</v>
      </c>
      <c r="AV51" s="15">
        <v>0</v>
      </c>
      <c r="AW51" s="15">
        <v>2</v>
      </c>
      <c r="AX51" s="15">
        <v>2</v>
      </c>
      <c r="AY51" s="15">
        <v>1</v>
      </c>
      <c r="AZ51" s="15">
        <v>0</v>
      </c>
      <c r="BA51" s="15">
        <v>2</v>
      </c>
      <c r="BB51" s="15">
        <v>0</v>
      </c>
      <c r="BC51" s="15">
        <v>0</v>
      </c>
      <c r="BD51" s="15">
        <v>0</v>
      </c>
    </row>
    <row r="52" spans="1:56" x14ac:dyDescent="0.35">
      <c r="A52" s="19"/>
      <c r="B52" s="19"/>
      <c r="C52" s="19"/>
      <c r="D52" s="19"/>
      <c r="E52" s="19"/>
      <c r="F52" s="19"/>
      <c r="G52" s="19"/>
      <c r="H52" s="19"/>
      <c r="I52" s="19"/>
      <c r="J52" s="19"/>
      <c r="K52" s="19"/>
      <c r="L52" s="19"/>
      <c r="M52" s="19"/>
      <c r="N52" s="19"/>
      <c r="O52" s="19"/>
      <c r="P52" s="19"/>
      <c r="Q52" s="19"/>
      <c r="R52" s="19"/>
      <c r="S52" s="19"/>
      <c r="T52" s="19"/>
      <c r="U52" s="19"/>
      <c r="V52" s="19"/>
      <c r="W52" s="19"/>
      <c r="X52" s="19"/>
      <c r="Y52" s="19"/>
      <c r="Z52" s="19"/>
      <c r="AA52" s="19"/>
      <c r="AB52" s="19"/>
      <c r="AC52" s="19"/>
      <c r="AD52" s="19"/>
      <c r="AE52" s="19"/>
      <c r="AF52" s="19"/>
      <c r="AG52" s="19"/>
      <c r="AH52" s="19"/>
      <c r="AI52" s="19"/>
      <c r="AJ52" s="19"/>
      <c r="AK52" s="19"/>
      <c r="AL52" s="19"/>
      <c r="AM52" s="19"/>
      <c r="AN52" s="19"/>
      <c r="AO52" s="19"/>
      <c r="AP52" s="19"/>
      <c r="AQ52" s="19"/>
      <c r="AR52" s="19"/>
      <c r="AS52" s="19"/>
      <c r="AT52" s="19"/>
      <c r="AU52" s="19"/>
      <c r="AV52" s="19"/>
      <c r="AW52" s="19"/>
      <c r="AX52" s="19"/>
      <c r="AY52" s="19"/>
      <c r="AZ52" s="19"/>
      <c r="BA52" s="19"/>
      <c r="BB52" s="19"/>
      <c r="BC52" s="19"/>
      <c r="BD52" s="19"/>
    </row>
    <row r="53" spans="1:56" x14ac:dyDescent="0.35">
      <c r="A53" s="1" t="s">
        <v>47</v>
      </c>
      <c r="B53" s="10">
        <v>1645</v>
      </c>
      <c r="C53" s="11">
        <v>302.08373504042777</v>
      </c>
      <c r="D53" s="10">
        <v>0</v>
      </c>
      <c r="E53" s="10">
        <v>0</v>
      </c>
      <c r="F53" s="10">
        <v>0</v>
      </c>
      <c r="G53" s="10">
        <v>4</v>
      </c>
      <c r="H53" s="10">
        <v>4</v>
      </c>
      <c r="I53" s="10">
        <v>2</v>
      </c>
      <c r="J53" s="10">
        <v>4</v>
      </c>
      <c r="K53" s="10">
        <v>1</v>
      </c>
      <c r="L53" s="10">
        <v>1</v>
      </c>
      <c r="M53" s="10">
        <v>2</v>
      </c>
      <c r="N53" s="10">
        <v>3</v>
      </c>
      <c r="O53" s="10">
        <v>1</v>
      </c>
      <c r="P53" s="10">
        <v>2</v>
      </c>
      <c r="Q53" s="10">
        <v>2</v>
      </c>
      <c r="R53" s="10">
        <v>0</v>
      </c>
      <c r="S53" s="10">
        <v>0</v>
      </c>
      <c r="T53" s="10">
        <v>0</v>
      </c>
      <c r="U53" s="10">
        <v>0</v>
      </c>
      <c r="V53" s="10">
        <v>2</v>
      </c>
      <c r="W53" s="10">
        <v>1</v>
      </c>
      <c r="X53" s="10">
        <v>1</v>
      </c>
      <c r="Y53" s="10">
        <v>2</v>
      </c>
      <c r="Z53" s="10">
        <v>0</v>
      </c>
      <c r="AA53" s="10">
        <v>8</v>
      </c>
      <c r="AB53" s="10">
        <v>14</v>
      </c>
      <c r="AC53" s="10">
        <v>18</v>
      </c>
      <c r="AD53" s="10">
        <v>25</v>
      </c>
      <c r="AE53" s="10">
        <v>24</v>
      </c>
      <c r="AF53" s="10">
        <v>24</v>
      </c>
      <c r="AG53" s="10">
        <v>29</v>
      </c>
      <c r="AH53" s="10">
        <v>55</v>
      </c>
      <c r="AI53" s="10">
        <v>50</v>
      </c>
      <c r="AJ53" s="10">
        <v>40</v>
      </c>
      <c r="AK53" s="10">
        <v>67</v>
      </c>
      <c r="AL53" s="10">
        <v>69</v>
      </c>
      <c r="AM53" s="10">
        <v>79</v>
      </c>
      <c r="AN53" s="10">
        <v>108</v>
      </c>
      <c r="AO53" s="10">
        <v>111</v>
      </c>
      <c r="AP53" s="10">
        <v>157</v>
      </c>
      <c r="AQ53" s="10">
        <v>120</v>
      </c>
      <c r="AR53" s="10">
        <v>78</v>
      </c>
      <c r="AS53" s="10">
        <v>109</v>
      </c>
      <c r="AT53" s="10">
        <v>69</v>
      </c>
      <c r="AU53" s="10">
        <v>74</v>
      </c>
      <c r="AV53" s="10">
        <v>71</v>
      </c>
      <c r="AW53" s="10">
        <v>34</v>
      </c>
      <c r="AX53" s="10">
        <v>26</v>
      </c>
      <c r="AY53" s="10">
        <v>44</v>
      </c>
      <c r="AZ53" s="10">
        <v>40</v>
      </c>
      <c r="BA53" s="10">
        <v>30</v>
      </c>
      <c r="BB53" s="10">
        <v>22</v>
      </c>
      <c r="BC53" s="10">
        <v>18</v>
      </c>
      <c r="BD53" s="10">
        <v>0</v>
      </c>
    </row>
    <row r="54" spans="1:56" x14ac:dyDescent="0.35">
      <c r="A54" s="14" t="s">
        <v>48</v>
      </c>
      <c r="B54" s="15">
        <v>4</v>
      </c>
      <c r="C54" s="16">
        <v>2.4213807923968642</v>
      </c>
      <c r="D54" s="15">
        <v>0</v>
      </c>
      <c r="E54" s="15">
        <v>0</v>
      </c>
      <c r="F54" s="15">
        <v>0</v>
      </c>
      <c r="G54" s="15">
        <v>0</v>
      </c>
      <c r="H54" s="15">
        <v>0</v>
      </c>
      <c r="I54" s="15">
        <v>0</v>
      </c>
      <c r="J54" s="15">
        <v>0</v>
      </c>
      <c r="K54" s="15">
        <v>0</v>
      </c>
      <c r="L54" s="15">
        <v>0</v>
      </c>
      <c r="M54" s="15">
        <v>0</v>
      </c>
      <c r="N54" s="15">
        <v>0</v>
      </c>
      <c r="O54" s="15">
        <v>0</v>
      </c>
      <c r="P54" s="15">
        <v>0</v>
      </c>
      <c r="Q54" s="15">
        <v>0</v>
      </c>
      <c r="R54" s="15">
        <v>0</v>
      </c>
      <c r="S54" s="15">
        <v>0</v>
      </c>
      <c r="T54" s="15">
        <v>0</v>
      </c>
      <c r="U54" s="15">
        <v>0</v>
      </c>
      <c r="V54" s="15">
        <v>0</v>
      </c>
      <c r="W54" s="15">
        <v>0</v>
      </c>
      <c r="X54" s="15">
        <v>0</v>
      </c>
      <c r="Y54" s="15">
        <v>0</v>
      </c>
      <c r="Z54" s="15">
        <v>0</v>
      </c>
      <c r="AA54" s="15">
        <v>0</v>
      </c>
      <c r="AB54" s="15">
        <v>0</v>
      </c>
      <c r="AC54" s="15">
        <v>0</v>
      </c>
      <c r="AD54" s="15">
        <v>0</v>
      </c>
      <c r="AE54" s="15">
        <v>0</v>
      </c>
      <c r="AF54" s="15">
        <v>0</v>
      </c>
      <c r="AG54" s="15">
        <v>0</v>
      </c>
      <c r="AH54" s="15">
        <v>1</v>
      </c>
      <c r="AI54" s="15">
        <v>1</v>
      </c>
      <c r="AJ54" s="15">
        <v>0</v>
      </c>
      <c r="AK54" s="15">
        <v>0</v>
      </c>
      <c r="AL54" s="15">
        <v>0</v>
      </c>
      <c r="AM54" s="15">
        <v>0</v>
      </c>
      <c r="AN54" s="15">
        <v>0</v>
      </c>
      <c r="AO54" s="15">
        <v>0</v>
      </c>
      <c r="AP54" s="15">
        <v>0</v>
      </c>
      <c r="AQ54" s="15">
        <v>0</v>
      </c>
      <c r="AR54" s="15">
        <v>0</v>
      </c>
      <c r="AS54" s="15">
        <v>0</v>
      </c>
      <c r="AT54" s="15">
        <v>1</v>
      </c>
      <c r="AU54" s="15">
        <v>0</v>
      </c>
      <c r="AV54" s="15">
        <v>0</v>
      </c>
      <c r="AW54" s="15">
        <v>0</v>
      </c>
      <c r="AX54" s="15">
        <v>0</v>
      </c>
      <c r="AY54" s="15">
        <v>0</v>
      </c>
      <c r="AZ54" s="15">
        <v>0</v>
      </c>
      <c r="BA54" s="15">
        <v>0</v>
      </c>
      <c r="BB54" s="15">
        <v>1</v>
      </c>
      <c r="BC54" s="15">
        <v>0</v>
      </c>
      <c r="BD54" s="15">
        <v>0</v>
      </c>
    </row>
    <row r="55" spans="1:56" x14ac:dyDescent="0.35">
      <c r="A55" s="14" t="s">
        <v>49</v>
      </c>
      <c r="B55" s="15">
        <v>0</v>
      </c>
      <c r="C55" s="16">
        <v>0</v>
      </c>
      <c r="D55" s="15">
        <v>0</v>
      </c>
      <c r="E55" s="15">
        <v>0</v>
      </c>
      <c r="F55" s="15">
        <v>0</v>
      </c>
      <c r="G55" s="15">
        <v>0</v>
      </c>
      <c r="H55" s="15">
        <v>0</v>
      </c>
      <c r="I55" s="15">
        <v>0</v>
      </c>
      <c r="J55" s="15">
        <v>0</v>
      </c>
      <c r="K55" s="15">
        <v>0</v>
      </c>
      <c r="L55" s="15">
        <v>0</v>
      </c>
      <c r="M55" s="15">
        <v>0</v>
      </c>
      <c r="N55" s="15">
        <v>0</v>
      </c>
      <c r="O55" s="15">
        <v>0</v>
      </c>
      <c r="P55" s="15">
        <v>0</v>
      </c>
      <c r="Q55" s="15">
        <v>0</v>
      </c>
      <c r="R55" s="15">
        <v>0</v>
      </c>
      <c r="S55" s="15">
        <v>0</v>
      </c>
      <c r="T55" s="15">
        <v>0</v>
      </c>
      <c r="U55" s="15">
        <v>0</v>
      </c>
      <c r="V55" s="15">
        <v>0</v>
      </c>
      <c r="W55" s="15">
        <v>0</v>
      </c>
      <c r="X55" s="15">
        <v>0</v>
      </c>
      <c r="Y55" s="15">
        <v>0</v>
      </c>
      <c r="Z55" s="15">
        <v>0</v>
      </c>
      <c r="AA55" s="15">
        <v>0</v>
      </c>
      <c r="AB55" s="15">
        <v>0</v>
      </c>
      <c r="AC55" s="15">
        <v>0</v>
      </c>
      <c r="AD55" s="15">
        <v>0</v>
      </c>
      <c r="AE55" s="15">
        <v>0</v>
      </c>
      <c r="AF55" s="15">
        <v>0</v>
      </c>
      <c r="AG55" s="15">
        <v>0</v>
      </c>
      <c r="AH55" s="15">
        <v>0</v>
      </c>
      <c r="AI55" s="15">
        <v>0</v>
      </c>
      <c r="AJ55" s="15">
        <v>0</v>
      </c>
      <c r="AK55" s="15">
        <v>0</v>
      </c>
      <c r="AL55" s="15">
        <v>0</v>
      </c>
      <c r="AM55" s="15">
        <v>0</v>
      </c>
      <c r="AN55" s="15">
        <v>0</v>
      </c>
      <c r="AO55" s="15">
        <v>0</v>
      </c>
      <c r="AP55" s="15">
        <v>0</v>
      </c>
      <c r="AQ55" s="15">
        <v>0</v>
      </c>
      <c r="AR55" s="15">
        <v>0</v>
      </c>
      <c r="AS55" s="15">
        <v>0</v>
      </c>
      <c r="AT55" s="15">
        <v>0</v>
      </c>
      <c r="AU55" s="15">
        <v>0</v>
      </c>
      <c r="AV55" s="15">
        <v>0</v>
      </c>
      <c r="AW55" s="15">
        <v>0</v>
      </c>
      <c r="AX55" s="15">
        <v>0</v>
      </c>
      <c r="AY55" s="15">
        <v>0</v>
      </c>
      <c r="AZ55" s="15">
        <v>0</v>
      </c>
      <c r="BA55" s="15">
        <v>0</v>
      </c>
      <c r="BB55" s="15">
        <v>0</v>
      </c>
      <c r="BC55" s="15">
        <v>0</v>
      </c>
      <c r="BD55" s="15">
        <v>0</v>
      </c>
    </row>
    <row r="56" spans="1:56" x14ac:dyDescent="0.35">
      <c r="A56" s="14" t="s">
        <v>50</v>
      </c>
      <c r="B56" s="15">
        <v>9</v>
      </c>
      <c r="C56" s="16">
        <v>7.9237907414907296</v>
      </c>
      <c r="D56" s="15">
        <v>0</v>
      </c>
      <c r="E56" s="15">
        <v>0</v>
      </c>
      <c r="F56" s="15">
        <v>0</v>
      </c>
      <c r="G56" s="15">
        <v>0</v>
      </c>
      <c r="H56" s="15">
        <v>0</v>
      </c>
      <c r="I56" s="15">
        <v>0</v>
      </c>
      <c r="J56" s="15">
        <v>0</v>
      </c>
      <c r="K56" s="15">
        <v>0</v>
      </c>
      <c r="L56" s="15">
        <v>0</v>
      </c>
      <c r="M56" s="15">
        <v>0</v>
      </c>
      <c r="N56" s="15">
        <v>1</v>
      </c>
      <c r="O56" s="15">
        <v>0</v>
      </c>
      <c r="P56" s="15">
        <v>1</v>
      </c>
      <c r="Q56" s="15">
        <v>0</v>
      </c>
      <c r="R56" s="15">
        <v>0</v>
      </c>
      <c r="S56" s="15">
        <v>0</v>
      </c>
      <c r="T56" s="15">
        <v>0</v>
      </c>
      <c r="U56" s="15">
        <v>0</v>
      </c>
      <c r="V56" s="15">
        <v>0</v>
      </c>
      <c r="W56" s="15">
        <v>0</v>
      </c>
      <c r="X56" s="15">
        <v>0</v>
      </c>
      <c r="Y56" s="15">
        <v>0</v>
      </c>
      <c r="Z56" s="15">
        <v>0</v>
      </c>
      <c r="AA56" s="15">
        <v>0</v>
      </c>
      <c r="AB56" s="15">
        <v>0</v>
      </c>
      <c r="AC56" s="15">
        <v>0</v>
      </c>
      <c r="AD56" s="15">
        <v>0</v>
      </c>
      <c r="AE56" s="15">
        <v>0</v>
      </c>
      <c r="AF56" s="15">
        <v>0</v>
      </c>
      <c r="AG56" s="15">
        <v>0</v>
      </c>
      <c r="AH56" s="15">
        <v>0</v>
      </c>
      <c r="AI56" s="15">
        <v>2</v>
      </c>
      <c r="AJ56" s="15">
        <v>2</v>
      </c>
      <c r="AK56" s="15">
        <v>0</v>
      </c>
      <c r="AL56" s="15">
        <v>0</v>
      </c>
      <c r="AM56" s="15">
        <v>0</v>
      </c>
      <c r="AN56" s="15">
        <v>0</v>
      </c>
      <c r="AO56" s="15">
        <v>1</v>
      </c>
      <c r="AP56" s="15">
        <v>1</v>
      </c>
      <c r="AQ56" s="15">
        <v>0</v>
      </c>
      <c r="AR56" s="15">
        <v>0</v>
      </c>
      <c r="AS56" s="15">
        <v>0</v>
      </c>
      <c r="AT56" s="15">
        <v>1</v>
      </c>
      <c r="AU56" s="15">
        <v>0</v>
      </c>
      <c r="AV56" s="15">
        <v>0</v>
      </c>
      <c r="AW56" s="15">
        <v>0</v>
      </c>
      <c r="AX56" s="15">
        <v>0</v>
      </c>
      <c r="AY56" s="15">
        <v>0</v>
      </c>
      <c r="AZ56" s="15">
        <v>0</v>
      </c>
      <c r="BA56" s="15">
        <v>0</v>
      </c>
      <c r="BB56" s="15">
        <v>0</v>
      </c>
      <c r="BC56" s="15">
        <v>0</v>
      </c>
      <c r="BD56" s="15">
        <v>0</v>
      </c>
    </row>
    <row r="57" spans="1:56" x14ac:dyDescent="0.35">
      <c r="A57" s="14" t="s">
        <v>51</v>
      </c>
      <c r="B57" s="15">
        <v>78</v>
      </c>
      <c r="C57" s="16">
        <v>477.41461623209693</v>
      </c>
      <c r="D57" s="15">
        <v>0</v>
      </c>
      <c r="E57" s="15">
        <v>0</v>
      </c>
      <c r="F57" s="15">
        <v>0</v>
      </c>
      <c r="G57" s="15">
        <v>0</v>
      </c>
      <c r="H57" s="15">
        <v>0</v>
      </c>
      <c r="I57" s="15">
        <v>0</v>
      </c>
      <c r="J57" s="15">
        <v>0</v>
      </c>
      <c r="K57" s="15">
        <v>0</v>
      </c>
      <c r="L57" s="15">
        <v>0</v>
      </c>
      <c r="M57" s="15">
        <v>0</v>
      </c>
      <c r="N57" s="15">
        <v>0</v>
      </c>
      <c r="O57" s="15">
        <v>0</v>
      </c>
      <c r="P57" s="15">
        <v>0</v>
      </c>
      <c r="Q57" s="15">
        <v>0</v>
      </c>
      <c r="R57" s="15">
        <v>0</v>
      </c>
      <c r="S57" s="15">
        <v>0</v>
      </c>
      <c r="T57" s="15">
        <v>0</v>
      </c>
      <c r="U57" s="15">
        <v>0</v>
      </c>
      <c r="V57" s="15">
        <v>0</v>
      </c>
      <c r="W57" s="15">
        <v>0</v>
      </c>
      <c r="X57" s="15">
        <v>0</v>
      </c>
      <c r="Y57" s="15">
        <v>0</v>
      </c>
      <c r="Z57" s="15">
        <v>0</v>
      </c>
      <c r="AA57" s="15">
        <v>0</v>
      </c>
      <c r="AB57" s="15">
        <v>1</v>
      </c>
      <c r="AC57" s="15">
        <v>2</v>
      </c>
      <c r="AD57" s="15">
        <v>0</v>
      </c>
      <c r="AE57" s="15">
        <v>1</v>
      </c>
      <c r="AF57" s="15">
        <v>0</v>
      </c>
      <c r="AG57" s="15">
        <v>1</v>
      </c>
      <c r="AH57" s="15">
        <v>2</v>
      </c>
      <c r="AI57" s="15">
        <v>2</v>
      </c>
      <c r="AJ57" s="15">
        <v>1</v>
      </c>
      <c r="AK57" s="15">
        <v>3</v>
      </c>
      <c r="AL57" s="15">
        <v>5</v>
      </c>
      <c r="AM57" s="15">
        <v>2</v>
      </c>
      <c r="AN57" s="15">
        <v>9</v>
      </c>
      <c r="AO57" s="15">
        <v>9</v>
      </c>
      <c r="AP57" s="15">
        <v>6</v>
      </c>
      <c r="AQ57" s="15">
        <v>7</v>
      </c>
      <c r="AR57" s="15">
        <v>2</v>
      </c>
      <c r="AS57" s="15">
        <v>4</v>
      </c>
      <c r="AT57" s="15">
        <v>1</v>
      </c>
      <c r="AU57" s="15">
        <v>5</v>
      </c>
      <c r="AV57" s="15">
        <v>5</v>
      </c>
      <c r="AW57" s="15">
        <v>0</v>
      </c>
      <c r="AX57" s="15">
        <v>0</v>
      </c>
      <c r="AY57" s="15">
        <v>3</v>
      </c>
      <c r="AZ57" s="15">
        <v>3</v>
      </c>
      <c r="BA57" s="15">
        <v>3</v>
      </c>
      <c r="BB57" s="15">
        <v>0</v>
      </c>
      <c r="BC57" s="15">
        <v>1</v>
      </c>
      <c r="BD57" s="15">
        <v>0</v>
      </c>
    </row>
    <row r="58" spans="1:56" x14ac:dyDescent="0.35">
      <c r="A58" s="14" t="s">
        <v>52</v>
      </c>
      <c r="B58" s="15">
        <v>1552</v>
      </c>
      <c r="C58" s="16">
        <v>2108.5237616498653</v>
      </c>
      <c r="D58" s="15">
        <v>0</v>
      </c>
      <c r="E58" s="15">
        <v>0</v>
      </c>
      <c r="F58" s="15">
        <v>0</v>
      </c>
      <c r="G58" s="15">
        <v>4</v>
      </c>
      <c r="H58" s="15">
        <v>4</v>
      </c>
      <c r="I58" s="15">
        <v>2</v>
      </c>
      <c r="J58" s="15">
        <v>4</v>
      </c>
      <c r="K58" s="15">
        <v>1</v>
      </c>
      <c r="L58" s="15">
        <v>1</v>
      </c>
      <c r="M58" s="15">
        <v>2</v>
      </c>
      <c r="N58" s="15">
        <v>2</v>
      </c>
      <c r="O58" s="15">
        <v>1</v>
      </c>
      <c r="P58" s="15">
        <v>1</v>
      </c>
      <c r="Q58" s="15">
        <v>2</v>
      </c>
      <c r="R58" s="15">
        <v>0</v>
      </c>
      <c r="S58" s="15">
        <v>0</v>
      </c>
      <c r="T58" s="15">
        <v>0</v>
      </c>
      <c r="U58" s="15">
        <v>0</v>
      </c>
      <c r="V58" s="15">
        <v>2</v>
      </c>
      <c r="W58" s="15">
        <v>1</v>
      </c>
      <c r="X58" s="15">
        <v>1</v>
      </c>
      <c r="Y58" s="15">
        <v>2</v>
      </c>
      <c r="Z58" s="15">
        <v>0</v>
      </c>
      <c r="AA58" s="15">
        <v>8</v>
      </c>
      <c r="AB58" s="15">
        <v>13</v>
      </c>
      <c r="AC58" s="15">
        <v>16</v>
      </c>
      <c r="AD58" s="15">
        <v>25</v>
      </c>
      <c r="AE58" s="15">
        <v>23</v>
      </c>
      <c r="AF58" s="15">
        <v>24</v>
      </c>
      <c r="AG58" s="15">
        <v>28</v>
      </c>
      <c r="AH58" s="15">
        <v>52</v>
      </c>
      <c r="AI58" s="15">
        <v>45</v>
      </c>
      <c r="AJ58" s="15">
        <v>37</v>
      </c>
      <c r="AK58" s="15">
        <v>64</v>
      </c>
      <c r="AL58" s="15">
        <v>64</v>
      </c>
      <c r="AM58" s="15">
        <v>77</v>
      </c>
      <c r="AN58" s="15">
        <v>99</v>
      </c>
      <c r="AO58" s="15">
        <v>101</v>
      </c>
      <c r="AP58" s="15">
        <v>150</v>
      </c>
      <c r="AQ58" s="15">
        <v>113</v>
      </c>
      <c r="AR58" s="15">
        <v>76</v>
      </c>
      <c r="AS58" s="15">
        <v>105</v>
      </c>
      <c r="AT58" s="15">
        <v>66</v>
      </c>
      <c r="AU58" s="15">
        <v>69</v>
      </c>
      <c r="AV58" s="15">
        <v>65</v>
      </c>
      <c r="AW58" s="15">
        <v>34</v>
      </c>
      <c r="AX58" s="15">
        <v>26</v>
      </c>
      <c r="AY58" s="15">
        <v>41</v>
      </c>
      <c r="AZ58" s="15">
        <v>37</v>
      </c>
      <c r="BA58" s="15">
        <v>27</v>
      </c>
      <c r="BB58" s="15">
        <v>20</v>
      </c>
      <c r="BC58" s="15">
        <v>17</v>
      </c>
      <c r="BD58" s="15">
        <v>0</v>
      </c>
    </row>
    <row r="59" spans="1:56" x14ac:dyDescent="0.35">
      <c r="A59" s="14" t="s">
        <v>53</v>
      </c>
      <c r="B59" s="15">
        <v>0</v>
      </c>
      <c r="C59" s="16">
        <v>0</v>
      </c>
      <c r="D59" s="15">
        <v>0</v>
      </c>
      <c r="E59" s="15">
        <v>0</v>
      </c>
      <c r="F59" s="15">
        <v>0</v>
      </c>
      <c r="G59" s="15">
        <v>0</v>
      </c>
      <c r="H59" s="15">
        <v>0</v>
      </c>
      <c r="I59" s="15">
        <v>0</v>
      </c>
      <c r="J59" s="15">
        <v>0</v>
      </c>
      <c r="K59" s="15">
        <v>0</v>
      </c>
      <c r="L59" s="15">
        <v>0</v>
      </c>
      <c r="M59" s="15">
        <v>0</v>
      </c>
      <c r="N59" s="15">
        <v>0</v>
      </c>
      <c r="O59" s="15">
        <v>0</v>
      </c>
      <c r="P59" s="15">
        <v>0</v>
      </c>
      <c r="Q59" s="15">
        <v>0</v>
      </c>
      <c r="R59" s="15">
        <v>0</v>
      </c>
      <c r="S59" s="15">
        <v>0</v>
      </c>
      <c r="T59" s="15">
        <v>0</v>
      </c>
      <c r="U59" s="15">
        <v>0</v>
      </c>
      <c r="V59" s="15">
        <v>0</v>
      </c>
      <c r="W59" s="15">
        <v>0</v>
      </c>
      <c r="X59" s="15">
        <v>0</v>
      </c>
      <c r="Y59" s="15">
        <v>0</v>
      </c>
      <c r="Z59" s="15">
        <v>0</v>
      </c>
      <c r="AA59" s="15">
        <v>0</v>
      </c>
      <c r="AB59" s="15">
        <v>0</v>
      </c>
      <c r="AC59" s="15">
        <v>0</v>
      </c>
      <c r="AD59" s="15">
        <v>0</v>
      </c>
      <c r="AE59" s="15">
        <v>0</v>
      </c>
      <c r="AF59" s="15">
        <v>0</v>
      </c>
      <c r="AG59" s="15">
        <v>0</v>
      </c>
      <c r="AH59" s="15">
        <v>0</v>
      </c>
      <c r="AI59" s="15">
        <v>0</v>
      </c>
      <c r="AJ59" s="15">
        <v>0</v>
      </c>
      <c r="AK59" s="15">
        <v>0</v>
      </c>
      <c r="AL59" s="15">
        <v>0</v>
      </c>
      <c r="AM59" s="15">
        <v>0</v>
      </c>
      <c r="AN59" s="15">
        <v>0</v>
      </c>
      <c r="AO59" s="15">
        <v>0</v>
      </c>
      <c r="AP59" s="15">
        <v>0</v>
      </c>
      <c r="AQ59" s="15">
        <v>0</v>
      </c>
      <c r="AR59" s="15">
        <v>0</v>
      </c>
      <c r="AS59" s="15">
        <v>0</v>
      </c>
      <c r="AT59" s="15">
        <v>0</v>
      </c>
      <c r="AU59" s="15">
        <v>0</v>
      </c>
      <c r="AV59" s="15">
        <v>0</v>
      </c>
      <c r="AW59" s="15">
        <v>0</v>
      </c>
      <c r="AX59" s="15">
        <v>0</v>
      </c>
      <c r="AY59" s="15">
        <v>0</v>
      </c>
      <c r="AZ59" s="15">
        <v>0</v>
      </c>
      <c r="BA59" s="15">
        <v>0</v>
      </c>
      <c r="BB59" s="15">
        <v>0</v>
      </c>
      <c r="BC59" s="15">
        <v>0</v>
      </c>
      <c r="BD59" s="15">
        <v>0</v>
      </c>
    </row>
    <row r="60" spans="1:56" x14ac:dyDescent="0.35">
      <c r="A60" s="14" t="s">
        <v>54</v>
      </c>
      <c r="B60" s="15">
        <v>1</v>
      </c>
      <c r="C60" s="16">
        <v>1.9883878151594687</v>
      </c>
      <c r="D60" s="15">
        <v>0</v>
      </c>
      <c r="E60" s="15">
        <v>0</v>
      </c>
      <c r="F60" s="15">
        <v>0</v>
      </c>
      <c r="G60" s="15">
        <v>0</v>
      </c>
      <c r="H60" s="15">
        <v>0</v>
      </c>
      <c r="I60" s="15">
        <v>0</v>
      </c>
      <c r="J60" s="15">
        <v>0</v>
      </c>
      <c r="K60" s="15">
        <v>0</v>
      </c>
      <c r="L60" s="15">
        <v>0</v>
      </c>
      <c r="M60" s="15">
        <v>0</v>
      </c>
      <c r="N60" s="15">
        <v>0</v>
      </c>
      <c r="O60" s="15">
        <v>0</v>
      </c>
      <c r="P60" s="15">
        <v>0</v>
      </c>
      <c r="Q60" s="15">
        <v>0</v>
      </c>
      <c r="R60" s="15">
        <v>0</v>
      </c>
      <c r="S60" s="15">
        <v>0</v>
      </c>
      <c r="T60" s="15">
        <v>0</v>
      </c>
      <c r="U60" s="15">
        <v>0</v>
      </c>
      <c r="V60" s="15">
        <v>0</v>
      </c>
      <c r="W60" s="15">
        <v>0</v>
      </c>
      <c r="X60" s="15">
        <v>0</v>
      </c>
      <c r="Y60" s="15">
        <v>0</v>
      </c>
      <c r="Z60" s="15">
        <v>0</v>
      </c>
      <c r="AA60" s="15">
        <v>0</v>
      </c>
      <c r="AB60" s="15">
        <v>0</v>
      </c>
      <c r="AC60" s="15">
        <v>0</v>
      </c>
      <c r="AD60" s="15">
        <v>0</v>
      </c>
      <c r="AE60" s="15">
        <v>0</v>
      </c>
      <c r="AF60" s="15">
        <v>0</v>
      </c>
      <c r="AG60" s="15">
        <v>0</v>
      </c>
      <c r="AH60" s="15">
        <v>0</v>
      </c>
      <c r="AI60" s="15">
        <v>0</v>
      </c>
      <c r="AJ60" s="15">
        <v>0</v>
      </c>
      <c r="AK60" s="15">
        <v>0</v>
      </c>
      <c r="AL60" s="15">
        <v>0</v>
      </c>
      <c r="AM60" s="15">
        <v>0</v>
      </c>
      <c r="AN60" s="15">
        <v>0</v>
      </c>
      <c r="AO60" s="15">
        <v>0</v>
      </c>
      <c r="AP60" s="15">
        <v>0</v>
      </c>
      <c r="AQ60" s="15">
        <v>0</v>
      </c>
      <c r="AR60" s="15">
        <v>0</v>
      </c>
      <c r="AS60" s="15">
        <v>0</v>
      </c>
      <c r="AT60" s="15">
        <v>0</v>
      </c>
      <c r="AU60" s="15">
        <v>0</v>
      </c>
      <c r="AV60" s="15">
        <v>1</v>
      </c>
      <c r="AW60" s="15">
        <v>0</v>
      </c>
      <c r="AX60" s="15">
        <v>0</v>
      </c>
      <c r="AY60" s="15">
        <v>0</v>
      </c>
      <c r="AZ60" s="15">
        <v>0</v>
      </c>
      <c r="BA60" s="15">
        <v>0</v>
      </c>
      <c r="BB60" s="15">
        <v>0</v>
      </c>
      <c r="BC60" s="15">
        <v>0</v>
      </c>
      <c r="BD60" s="15">
        <v>0</v>
      </c>
    </row>
    <row r="61" spans="1:56" x14ac:dyDescent="0.35">
      <c r="A61" s="14" t="s">
        <v>55</v>
      </c>
      <c r="B61" s="15">
        <v>1</v>
      </c>
      <c r="C61" s="16">
        <v>2.1441742784853552</v>
      </c>
      <c r="D61" s="15">
        <v>0</v>
      </c>
      <c r="E61" s="15">
        <v>0</v>
      </c>
      <c r="F61" s="15">
        <v>0</v>
      </c>
      <c r="G61" s="15">
        <v>0</v>
      </c>
      <c r="H61" s="15">
        <v>0</v>
      </c>
      <c r="I61" s="15">
        <v>0</v>
      </c>
      <c r="J61" s="15">
        <v>0</v>
      </c>
      <c r="K61" s="15">
        <v>0</v>
      </c>
      <c r="L61" s="15">
        <v>0</v>
      </c>
      <c r="M61" s="15">
        <v>0</v>
      </c>
      <c r="N61" s="15">
        <v>0</v>
      </c>
      <c r="O61" s="15">
        <v>0</v>
      </c>
      <c r="P61" s="15">
        <v>0</v>
      </c>
      <c r="Q61" s="15">
        <v>0</v>
      </c>
      <c r="R61" s="15">
        <v>0</v>
      </c>
      <c r="S61" s="15">
        <v>0</v>
      </c>
      <c r="T61" s="15">
        <v>0</v>
      </c>
      <c r="U61" s="15">
        <v>0</v>
      </c>
      <c r="V61" s="15">
        <v>0</v>
      </c>
      <c r="W61" s="15">
        <v>0</v>
      </c>
      <c r="X61" s="15">
        <v>0</v>
      </c>
      <c r="Y61" s="15">
        <v>0</v>
      </c>
      <c r="Z61" s="15">
        <v>0</v>
      </c>
      <c r="AA61" s="15">
        <v>0</v>
      </c>
      <c r="AB61" s="15">
        <v>0</v>
      </c>
      <c r="AC61" s="15">
        <v>0</v>
      </c>
      <c r="AD61" s="15">
        <v>0</v>
      </c>
      <c r="AE61" s="15">
        <v>0</v>
      </c>
      <c r="AF61" s="15">
        <v>0</v>
      </c>
      <c r="AG61" s="15">
        <v>0</v>
      </c>
      <c r="AH61" s="15">
        <v>0</v>
      </c>
      <c r="AI61" s="15">
        <v>0</v>
      </c>
      <c r="AJ61" s="15">
        <v>0</v>
      </c>
      <c r="AK61" s="15">
        <v>0</v>
      </c>
      <c r="AL61" s="15">
        <v>0</v>
      </c>
      <c r="AM61" s="15">
        <v>0</v>
      </c>
      <c r="AN61" s="15">
        <v>0</v>
      </c>
      <c r="AO61" s="15">
        <v>0</v>
      </c>
      <c r="AP61" s="15">
        <v>0</v>
      </c>
      <c r="AQ61" s="15">
        <v>0</v>
      </c>
      <c r="AR61" s="15">
        <v>0</v>
      </c>
      <c r="AS61" s="15">
        <v>0</v>
      </c>
      <c r="AT61" s="15">
        <v>0</v>
      </c>
      <c r="AU61" s="15">
        <v>0</v>
      </c>
      <c r="AV61" s="15">
        <v>0</v>
      </c>
      <c r="AW61" s="15">
        <v>0</v>
      </c>
      <c r="AX61" s="15">
        <v>0</v>
      </c>
      <c r="AY61" s="15">
        <v>0</v>
      </c>
      <c r="AZ61" s="15">
        <v>0</v>
      </c>
      <c r="BA61" s="15">
        <v>0</v>
      </c>
      <c r="BB61" s="15">
        <v>1</v>
      </c>
      <c r="BC61" s="15">
        <v>0</v>
      </c>
      <c r="BD61" s="15">
        <v>0</v>
      </c>
    </row>
    <row r="62" spans="1:56" x14ac:dyDescent="0.35">
      <c r="A62" s="14"/>
      <c r="B62" s="12"/>
      <c r="C62" s="13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</row>
    <row r="63" spans="1:56" x14ac:dyDescent="0.35">
      <c r="A63" s="1" t="s">
        <v>56</v>
      </c>
      <c r="B63" s="10">
        <v>363</v>
      </c>
      <c r="C63" s="11">
        <v>68.110943908855177</v>
      </c>
      <c r="D63" s="10">
        <v>3</v>
      </c>
      <c r="E63" s="10">
        <v>0</v>
      </c>
      <c r="F63" s="10">
        <v>6</v>
      </c>
      <c r="G63" s="10">
        <v>3</v>
      </c>
      <c r="H63" s="10">
        <v>4</v>
      </c>
      <c r="I63" s="10">
        <v>3</v>
      </c>
      <c r="J63" s="10">
        <v>5</v>
      </c>
      <c r="K63" s="10">
        <v>8</v>
      </c>
      <c r="L63" s="10">
        <v>3</v>
      </c>
      <c r="M63" s="10">
        <v>3</v>
      </c>
      <c r="N63" s="10">
        <v>6</v>
      </c>
      <c r="O63" s="10">
        <v>7</v>
      </c>
      <c r="P63" s="10">
        <v>3</v>
      </c>
      <c r="Q63" s="10">
        <v>5</v>
      </c>
      <c r="R63" s="10">
        <v>5</v>
      </c>
      <c r="S63" s="10">
        <v>5</v>
      </c>
      <c r="T63" s="10">
        <v>5</v>
      </c>
      <c r="U63" s="10">
        <v>3</v>
      </c>
      <c r="V63" s="10">
        <v>5</v>
      </c>
      <c r="W63" s="10">
        <v>9</v>
      </c>
      <c r="X63" s="10">
        <v>5</v>
      </c>
      <c r="Y63" s="10">
        <v>7</v>
      </c>
      <c r="Z63" s="10">
        <v>6</v>
      </c>
      <c r="AA63" s="10">
        <v>13</v>
      </c>
      <c r="AB63" s="10">
        <v>16</v>
      </c>
      <c r="AC63" s="10">
        <v>11</v>
      </c>
      <c r="AD63" s="10">
        <v>10</v>
      </c>
      <c r="AE63" s="10">
        <v>9</v>
      </c>
      <c r="AF63" s="10">
        <v>8</v>
      </c>
      <c r="AG63" s="10">
        <v>4</v>
      </c>
      <c r="AH63" s="10">
        <v>14</v>
      </c>
      <c r="AI63" s="10">
        <v>12</v>
      </c>
      <c r="AJ63" s="10">
        <v>14</v>
      </c>
      <c r="AK63" s="10">
        <v>20</v>
      </c>
      <c r="AL63" s="10">
        <v>13</v>
      </c>
      <c r="AM63" s="10">
        <v>7</v>
      </c>
      <c r="AN63" s="10">
        <v>10</v>
      </c>
      <c r="AO63" s="10">
        <v>14</v>
      </c>
      <c r="AP63" s="10">
        <v>10</v>
      </c>
      <c r="AQ63" s="10">
        <v>13</v>
      </c>
      <c r="AR63" s="10">
        <v>13</v>
      </c>
      <c r="AS63" s="10">
        <v>7</v>
      </c>
      <c r="AT63" s="10">
        <v>5</v>
      </c>
      <c r="AU63" s="10">
        <v>14</v>
      </c>
      <c r="AV63" s="10">
        <v>11</v>
      </c>
      <c r="AW63" s="10">
        <v>2</v>
      </c>
      <c r="AX63" s="10">
        <v>1</v>
      </c>
      <c r="AY63" s="10">
        <v>1</v>
      </c>
      <c r="AZ63" s="10">
        <v>1</v>
      </c>
      <c r="BA63" s="10">
        <v>1</v>
      </c>
      <c r="BB63" s="10">
        <v>0</v>
      </c>
      <c r="BC63" s="10">
        <v>0</v>
      </c>
      <c r="BD63" s="10">
        <v>0</v>
      </c>
    </row>
    <row r="64" spans="1:56" x14ac:dyDescent="0.35">
      <c r="A64" s="14" t="s">
        <v>57</v>
      </c>
      <c r="B64" s="15">
        <v>7</v>
      </c>
      <c r="C64" s="16">
        <v>4.8394010204222724</v>
      </c>
      <c r="D64" s="15">
        <v>0</v>
      </c>
      <c r="E64" s="15">
        <v>0</v>
      </c>
      <c r="F64" s="15">
        <v>0</v>
      </c>
      <c r="G64" s="15">
        <v>1</v>
      </c>
      <c r="H64" s="15">
        <v>0</v>
      </c>
      <c r="I64" s="15">
        <v>0</v>
      </c>
      <c r="J64" s="15">
        <v>1</v>
      </c>
      <c r="K64" s="15">
        <v>0</v>
      </c>
      <c r="L64" s="15">
        <v>0</v>
      </c>
      <c r="M64" s="15">
        <v>0</v>
      </c>
      <c r="N64" s="15">
        <v>0</v>
      </c>
      <c r="O64" s="15">
        <v>1</v>
      </c>
      <c r="P64" s="15">
        <v>0</v>
      </c>
      <c r="Q64" s="15">
        <v>1</v>
      </c>
      <c r="R64" s="15">
        <v>0</v>
      </c>
      <c r="S64" s="15">
        <v>0</v>
      </c>
      <c r="T64" s="15">
        <v>0</v>
      </c>
      <c r="U64" s="15">
        <v>0</v>
      </c>
      <c r="V64" s="15">
        <v>0</v>
      </c>
      <c r="W64" s="15">
        <v>0</v>
      </c>
      <c r="X64" s="15">
        <v>0</v>
      </c>
      <c r="Y64" s="15">
        <v>0</v>
      </c>
      <c r="Z64" s="15">
        <v>0</v>
      </c>
      <c r="AA64" s="15">
        <v>0</v>
      </c>
      <c r="AB64" s="15">
        <v>0</v>
      </c>
      <c r="AC64" s="15">
        <v>0</v>
      </c>
      <c r="AD64" s="15">
        <v>0</v>
      </c>
      <c r="AE64" s="15">
        <v>0</v>
      </c>
      <c r="AF64" s="15">
        <v>0</v>
      </c>
      <c r="AG64" s="15">
        <v>0</v>
      </c>
      <c r="AH64" s="15">
        <v>0</v>
      </c>
      <c r="AI64" s="15">
        <v>0</v>
      </c>
      <c r="AJ64" s="15">
        <v>0</v>
      </c>
      <c r="AK64" s="15">
        <v>0</v>
      </c>
      <c r="AL64" s="15">
        <v>0</v>
      </c>
      <c r="AM64" s="15">
        <v>0</v>
      </c>
      <c r="AN64" s="15">
        <v>1</v>
      </c>
      <c r="AO64" s="15">
        <v>0</v>
      </c>
      <c r="AP64" s="15">
        <v>0</v>
      </c>
      <c r="AQ64" s="15">
        <v>0</v>
      </c>
      <c r="AR64" s="15">
        <v>0</v>
      </c>
      <c r="AS64" s="15">
        <v>0</v>
      </c>
      <c r="AT64" s="15">
        <v>0</v>
      </c>
      <c r="AU64" s="15">
        <v>1</v>
      </c>
      <c r="AV64" s="15">
        <v>0</v>
      </c>
      <c r="AW64" s="15">
        <v>0</v>
      </c>
      <c r="AX64" s="15">
        <v>0</v>
      </c>
      <c r="AY64" s="15">
        <v>0</v>
      </c>
      <c r="AZ64" s="15">
        <v>0</v>
      </c>
      <c r="BA64" s="15">
        <v>1</v>
      </c>
      <c r="BB64" s="15">
        <v>0</v>
      </c>
      <c r="BC64" s="15">
        <v>0</v>
      </c>
      <c r="BD64" s="15">
        <v>0</v>
      </c>
    </row>
    <row r="65" spans="1:56" x14ac:dyDescent="0.35">
      <c r="A65" s="14" t="s">
        <v>58</v>
      </c>
      <c r="B65" s="15">
        <v>1</v>
      </c>
      <c r="C65" s="16">
        <v>2.1003549599882381</v>
      </c>
      <c r="D65" s="15">
        <v>0</v>
      </c>
      <c r="E65" s="15">
        <v>0</v>
      </c>
      <c r="F65" s="15">
        <v>0</v>
      </c>
      <c r="G65" s="15">
        <v>0</v>
      </c>
      <c r="H65" s="15">
        <v>0</v>
      </c>
      <c r="I65" s="15">
        <v>0</v>
      </c>
      <c r="J65" s="15">
        <v>0</v>
      </c>
      <c r="K65" s="15">
        <v>0</v>
      </c>
      <c r="L65" s="15">
        <v>0</v>
      </c>
      <c r="M65" s="15">
        <v>0</v>
      </c>
      <c r="N65" s="15">
        <v>0</v>
      </c>
      <c r="O65" s="15">
        <v>1</v>
      </c>
      <c r="P65" s="15">
        <v>0</v>
      </c>
      <c r="Q65" s="15">
        <v>0</v>
      </c>
      <c r="R65" s="15">
        <v>0</v>
      </c>
      <c r="S65" s="15">
        <v>0</v>
      </c>
      <c r="T65" s="15">
        <v>0</v>
      </c>
      <c r="U65" s="15">
        <v>0</v>
      </c>
      <c r="V65" s="15">
        <v>0</v>
      </c>
      <c r="W65" s="15">
        <v>0</v>
      </c>
      <c r="X65" s="15">
        <v>0</v>
      </c>
      <c r="Y65" s="15">
        <v>0</v>
      </c>
      <c r="Z65" s="15">
        <v>0</v>
      </c>
      <c r="AA65" s="15">
        <v>0</v>
      </c>
      <c r="AB65" s="15">
        <v>0</v>
      </c>
      <c r="AC65" s="15">
        <v>0</v>
      </c>
      <c r="AD65" s="15">
        <v>0</v>
      </c>
      <c r="AE65" s="15">
        <v>0</v>
      </c>
      <c r="AF65" s="15">
        <v>0</v>
      </c>
      <c r="AG65" s="15">
        <v>0</v>
      </c>
      <c r="AH65" s="15">
        <v>0</v>
      </c>
      <c r="AI65" s="15">
        <v>0</v>
      </c>
      <c r="AJ65" s="15">
        <v>0</v>
      </c>
      <c r="AK65" s="15">
        <v>0</v>
      </c>
      <c r="AL65" s="15">
        <v>0</v>
      </c>
      <c r="AM65" s="15">
        <v>0</v>
      </c>
      <c r="AN65" s="15">
        <v>0</v>
      </c>
      <c r="AO65" s="15">
        <v>0</v>
      </c>
      <c r="AP65" s="15">
        <v>0</v>
      </c>
      <c r="AQ65" s="15">
        <v>0</v>
      </c>
      <c r="AR65" s="15">
        <v>0</v>
      </c>
      <c r="AS65" s="15">
        <v>0</v>
      </c>
      <c r="AT65" s="15">
        <v>0</v>
      </c>
      <c r="AU65" s="15">
        <v>0</v>
      </c>
      <c r="AV65" s="15">
        <v>0</v>
      </c>
      <c r="AW65" s="15">
        <v>0</v>
      </c>
      <c r="AX65" s="15">
        <v>0</v>
      </c>
      <c r="AY65" s="15">
        <v>0</v>
      </c>
      <c r="AZ65" s="15">
        <v>0</v>
      </c>
      <c r="BA65" s="15">
        <v>0</v>
      </c>
      <c r="BB65" s="15">
        <v>0</v>
      </c>
      <c r="BC65" s="15">
        <v>0</v>
      </c>
      <c r="BD65" s="15">
        <v>0</v>
      </c>
    </row>
    <row r="66" spans="1:56" x14ac:dyDescent="0.35">
      <c r="A66" s="14" t="s">
        <v>59</v>
      </c>
      <c r="B66" s="15">
        <v>3</v>
      </c>
      <c r="C66" s="16">
        <v>6.0653848486686481</v>
      </c>
      <c r="D66" s="15">
        <v>0</v>
      </c>
      <c r="E66" s="15">
        <v>0</v>
      </c>
      <c r="F66" s="15">
        <v>0</v>
      </c>
      <c r="G66" s="15">
        <v>0</v>
      </c>
      <c r="H66" s="15">
        <v>1</v>
      </c>
      <c r="I66" s="15">
        <v>0</v>
      </c>
      <c r="J66" s="15">
        <v>0</v>
      </c>
      <c r="K66" s="15">
        <v>0</v>
      </c>
      <c r="L66" s="15">
        <v>0</v>
      </c>
      <c r="M66" s="15">
        <v>0</v>
      </c>
      <c r="N66" s="15">
        <v>0</v>
      </c>
      <c r="O66" s="15">
        <v>0</v>
      </c>
      <c r="P66" s="15">
        <v>0</v>
      </c>
      <c r="Q66" s="15">
        <v>0</v>
      </c>
      <c r="R66" s="15">
        <v>0</v>
      </c>
      <c r="S66" s="15">
        <v>0</v>
      </c>
      <c r="T66" s="15">
        <v>0</v>
      </c>
      <c r="U66" s="15">
        <v>0</v>
      </c>
      <c r="V66" s="15">
        <v>0</v>
      </c>
      <c r="W66" s="15">
        <v>0</v>
      </c>
      <c r="X66" s="15">
        <v>0</v>
      </c>
      <c r="Y66" s="15">
        <v>0</v>
      </c>
      <c r="Z66" s="15">
        <v>0</v>
      </c>
      <c r="AA66" s="15">
        <v>0</v>
      </c>
      <c r="AB66" s="15">
        <v>0</v>
      </c>
      <c r="AC66" s="15">
        <v>0</v>
      </c>
      <c r="AD66" s="15">
        <v>0</v>
      </c>
      <c r="AE66" s="15">
        <v>0</v>
      </c>
      <c r="AF66" s="15">
        <v>0</v>
      </c>
      <c r="AG66" s="15">
        <v>0</v>
      </c>
      <c r="AH66" s="15">
        <v>0</v>
      </c>
      <c r="AI66" s="15">
        <v>0</v>
      </c>
      <c r="AJ66" s="15">
        <v>0</v>
      </c>
      <c r="AK66" s="15">
        <v>0</v>
      </c>
      <c r="AL66" s="15">
        <v>0</v>
      </c>
      <c r="AM66" s="15">
        <v>0</v>
      </c>
      <c r="AN66" s="15">
        <v>0</v>
      </c>
      <c r="AO66" s="15">
        <v>0</v>
      </c>
      <c r="AP66" s="15">
        <v>0</v>
      </c>
      <c r="AQ66" s="15">
        <v>0</v>
      </c>
      <c r="AR66" s="15">
        <v>0</v>
      </c>
      <c r="AS66" s="15">
        <v>0</v>
      </c>
      <c r="AT66" s="15">
        <v>0</v>
      </c>
      <c r="AU66" s="15">
        <v>1</v>
      </c>
      <c r="AV66" s="15">
        <v>1</v>
      </c>
      <c r="AW66" s="15">
        <v>0</v>
      </c>
      <c r="AX66" s="15">
        <v>0</v>
      </c>
      <c r="AY66" s="15">
        <v>0</v>
      </c>
      <c r="AZ66" s="15">
        <v>0</v>
      </c>
      <c r="BA66" s="15">
        <v>0</v>
      </c>
      <c r="BB66" s="15">
        <v>0</v>
      </c>
      <c r="BC66" s="15">
        <v>0</v>
      </c>
      <c r="BD66" s="15">
        <v>0</v>
      </c>
    </row>
    <row r="67" spans="1:56" x14ac:dyDescent="0.35">
      <c r="A67" s="14" t="s">
        <v>60</v>
      </c>
      <c r="B67" s="15">
        <v>1</v>
      </c>
      <c r="C67" s="16">
        <v>2.307497057941251</v>
      </c>
      <c r="D67" s="15">
        <v>0</v>
      </c>
      <c r="E67" s="15">
        <v>0</v>
      </c>
      <c r="F67" s="15">
        <v>0</v>
      </c>
      <c r="G67" s="15">
        <v>0</v>
      </c>
      <c r="H67" s="15">
        <v>0</v>
      </c>
      <c r="I67" s="15">
        <v>0</v>
      </c>
      <c r="J67" s="15">
        <v>0</v>
      </c>
      <c r="K67" s="15">
        <v>0</v>
      </c>
      <c r="L67" s="15">
        <v>0</v>
      </c>
      <c r="M67" s="15">
        <v>0</v>
      </c>
      <c r="N67" s="15">
        <v>0</v>
      </c>
      <c r="O67" s="15">
        <v>0</v>
      </c>
      <c r="P67" s="15">
        <v>0</v>
      </c>
      <c r="Q67" s="15">
        <v>0</v>
      </c>
      <c r="R67" s="15">
        <v>0</v>
      </c>
      <c r="S67" s="15">
        <v>0</v>
      </c>
      <c r="T67" s="15">
        <v>0</v>
      </c>
      <c r="U67" s="15">
        <v>0</v>
      </c>
      <c r="V67" s="15">
        <v>0</v>
      </c>
      <c r="W67" s="15">
        <v>0</v>
      </c>
      <c r="X67" s="15">
        <v>0</v>
      </c>
      <c r="Y67" s="15">
        <v>0</v>
      </c>
      <c r="Z67" s="15">
        <v>0</v>
      </c>
      <c r="AA67" s="15">
        <v>0</v>
      </c>
      <c r="AB67" s="15">
        <v>0</v>
      </c>
      <c r="AC67" s="15">
        <v>0</v>
      </c>
      <c r="AD67" s="15">
        <v>0</v>
      </c>
      <c r="AE67" s="15">
        <v>0</v>
      </c>
      <c r="AF67" s="15">
        <v>0</v>
      </c>
      <c r="AG67" s="15">
        <v>0</v>
      </c>
      <c r="AH67" s="15">
        <v>0</v>
      </c>
      <c r="AI67" s="15">
        <v>0</v>
      </c>
      <c r="AJ67" s="15">
        <v>1</v>
      </c>
      <c r="AK67" s="15">
        <v>0</v>
      </c>
      <c r="AL67" s="15">
        <v>0</v>
      </c>
      <c r="AM67" s="15">
        <v>0</v>
      </c>
      <c r="AN67" s="15">
        <v>0</v>
      </c>
      <c r="AO67" s="15">
        <v>0</v>
      </c>
      <c r="AP67" s="15">
        <v>0</v>
      </c>
      <c r="AQ67" s="15">
        <v>0</v>
      </c>
      <c r="AR67" s="15">
        <v>0</v>
      </c>
      <c r="AS67" s="15">
        <v>0</v>
      </c>
      <c r="AT67" s="15">
        <v>0</v>
      </c>
      <c r="AU67" s="15">
        <v>0</v>
      </c>
      <c r="AV67" s="15">
        <v>0</v>
      </c>
      <c r="AW67" s="15">
        <v>0</v>
      </c>
      <c r="AX67" s="15">
        <v>0</v>
      </c>
      <c r="AY67" s="15">
        <v>0</v>
      </c>
      <c r="AZ67" s="15">
        <v>0</v>
      </c>
      <c r="BA67" s="15">
        <v>0</v>
      </c>
      <c r="BB67" s="15">
        <v>0</v>
      </c>
      <c r="BC67" s="15">
        <v>0</v>
      </c>
      <c r="BD67" s="15">
        <v>0</v>
      </c>
    </row>
    <row r="68" spans="1:56" x14ac:dyDescent="0.35">
      <c r="A68" s="14" t="s">
        <v>61</v>
      </c>
      <c r="B68" s="15">
        <v>4</v>
      </c>
      <c r="C68" s="16">
        <v>7.1526920944870618</v>
      </c>
      <c r="D68" s="15">
        <v>0</v>
      </c>
      <c r="E68" s="15">
        <v>0</v>
      </c>
      <c r="F68" s="15">
        <v>0</v>
      </c>
      <c r="G68" s="15">
        <v>0</v>
      </c>
      <c r="H68" s="15">
        <v>0</v>
      </c>
      <c r="I68" s="15">
        <v>0</v>
      </c>
      <c r="J68" s="15">
        <v>0</v>
      </c>
      <c r="K68" s="15">
        <v>0</v>
      </c>
      <c r="L68" s="15">
        <v>0</v>
      </c>
      <c r="M68" s="15">
        <v>0</v>
      </c>
      <c r="N68" s="15">
        <v>0</v>
      </c>
      <c r="O68" s="15">
        <v>0</v>
      </c>
      <c r="P68" s="15">
        <v>1</v>
      </c>
      <c r="Q68" s="15">
        <v>0</v>
      </c>
      <c r="R68" s="15">
        <v>0</v>
      </c>
      <c r="S68" s="15">
        <v>0</v>
      </c>
      <c r="T68" s="15">
        <v>0</v>
      </c>
      <c r="U68" s="15">
        <v>0</v>
      </c>
      <c r="V68" s="15">
        <v>0</v>
      </c>
      <c r="W68" s="15">
        <v>0</v>
      </c>
      <c r="X68" s="15">
        <v>0</v>
      </c>
      <c r="Y68" s="15">
        <v>0</v>
      </c>
      <c r="Z68" s="15">
        <v>0</v>
      </c>
      <c r="AA68" s="15">
        <v>0</v>
      </c>
      <c r="AB68" s="15">
        <v>0</v>
      </c>
      <c r="AC68" s="15">
        <v>0</v>
      </c>
      <c r="AD68" s="15">
        <v>0</v>
      </c>
      <c r="AE68" s="15">
        <v>0</v>
      </c>
      <c r="AF68" s="15">
        <v>0</v>
      </c>
      <c r="AG68" s="15">
        <v>1</v>
      </c>
      <c r="AH68" s="15">
        <v>0</v>
      </c>
      <c r="AI68" s="15">
        <v>0</v>
      </c>
      <c r="AJ68" s="15">
        <v>0</v>
      </c>
      <c r="AK68" s="15">
        <v>0</v>
      </c>
      <c r="AL68" s="15">
        <v>0</v>
      </c>
      <c r="AM68" s="15">
        <v>0</v>
      </c>
      <c r="AN68" s="15">
        <v>1</v>
      </c>
      <c r="AO68" s="15">
        <v>1</v>
      </c>
      <c r="AP68" s="15">
        <v>0</v>
      </c>
      <c r="AQ68" s="15">
        <v>0</v>
      </c>
      <c r="AR68" s="15">
        <v>0</v>
      </c>
      <c r="AS68" s="15">
        <v>0</v>
      </c>
      <c r="AT68" s="15">
        <v>0</v>
      </c>
      <c r="AU68" s="15">
        <v>0</v>
      </c>
      <c r="AV68" s="15">
        <v>0</v>
      </c>
      <c r="AW68" s="15">
        <v>0</v>
      </c>
      <c r="AX68" s="15">
        <v>0</v>
      </c>
      <c r="AY68" s="15">
        <v>0</v>
      </c>
      <c r="AZ68" s="15">
        <v>0</v>
      </c>
      <c r="BA68" s="15">
        <v>0</v>
      </c>
      <c r="BB68" s="15">
        <v>0</v>
      </c>
      <c r="BC68" s="15">
        <v>0</v>
      </c>
      <c r="BD68" s="15">
        <v>0</v>
      </c>
    </row>
    <row r="69" spans="1:56" x14ac:dyDescent="0.35">
      <c r="A69" s="14" t="s">
        <v>62</v>
      </c>
      <c r="B69" s="15">
        <v>0</v>
      </c>
      <c r="C69" s="16">
        <v>0</v>
      </c>
      <c r="D69" s="15">
        <v>0</v>
      </c>
      <c r="E69" s="15">
        <v>0</v>
      </c>
      <c r="F69" s="15">
        <v>0</v>
      </c>
      <c r="G69" s="15">
        <v>0</v>
      </c>
      <c r="H69" s="15">
        <v>0</v>
      </c>
      <c r="I69" s="15">
        <v>0</v>
      </c>
      <c r="J69" s="15">
        <v>0</v>
      </c>
      <c r="K69" s="15">
        <v>0</v>
      </c>
      <c r="L69" s="15">
        <v>0</v>
      </c>
      <c r="M69" s="15">
        <v>0</v>
      </c>
      <c r="N69" s="15">
        <v>0</v>
      </c>
      <c r="O69" s="15">
        <v>0</v>
      </c>
      <c r="P69" s="15">
        <v>0</v>
      </c>
      <c r="Q69" s="15">
        <v>0</v>
      </c>
      <c r="R69" s="15">
        <v>0</v>
      </c>
      <c r="S69" s="15">
        <v>0</v>
      </c>
      <c r="T69" s="15">
        <v>0</v>
      </c>
      <c r="U69" s="15">
        <v>0</v>
      </c>
      <c r="V69" s="15">
        <v>0</v>
      </c>
      <c r="W69" s="15">
        <v>0</v>
      </c>
      <c r="X69" s="15">
        <v>0</v>
      </c>
      <c r="Y69" s="15">
        <v>0</v>
      </c>
      <c r="Z69" s="15">
        <v>0</v>
      </c>
      <c r="AA69" s="15">
        <v>0</v>
      </c>
      <c r="AB69" s="15">
        <v>0</v>
      </c>
      <c r="AC69" s="15">
        <v>0</v>
      </c>
      <c r="AD69" s="15">
        <v>0</v>
      </c>
      <c r="AE69" s="15">
        <v>0</v>
      </c>
      <c r="AF69" s="15">
        <v>0</v>
      </c>
      <c r="AG69" s="15">
        <v>0</v>
      </c>
      <c r="AH69" s="15">
        <v>0</v>
      </c>
      <c r="AI69" s="15">
        <v>0</v>
      </c>
      <c r="AJ69" s="15">
        <v>0</v>
      </c>
      <c r="AK69" s="15">
        <v>0</v>
      </c>
      <c r="AL69" s="15">
        <v>0</v>
      </c>
      <c r="AM69" s="15">
        <v>0</v>
      </c>
      <c r="AN69" s="15">
        <v>0</v>
      </c>
      <c r="AO69" s="15">
        <v>0</v>
      </c>
      <c r="AP69" s="15">
        <v>0</v>
      </c>
      <c r="AQ69" s="15">
        <v>0</v>
      </c>
      <c r="AR69" s="15">
        <v>0</v>
      </c>
      <c r="AS69" s="15">
        <v>0</v>
      </c>
      <c r="AT69" s="15">
        <v>0</v>
      </c>
      <c r="AU69" s="15">
        <v>0</v>
      </c>
      <c r="AV69" s="15">
        <v>0</v>
      </c>
      <c r="AW69" s="15">
        <v>0</v>
      </c>
      <c r="AX69" s="15">
        <v>0</v>
      </c>
      <c r="AY69" s="15">
        <v>0</v>
      </c>
      <c r="AZ69" s="15">
        <v>0</v>
      </c>
      <c r="BA69" s="15">
        <v>0</v>
      </c>
      <c r="BB69" s="15">
        <v>0</v>
      </c>
      <c r="BC69" s="15">
        <v>0</v>
      </c>
      <c r="BD69" s="15">
        <v>0</v>
      </c>
    </row>
    <row r="70" spans="1:56" x14ac:dyDescent="0.35">
      <c r="A70" s="14" t="s">
        <v>63</v>
      </c>
      <c r="B70" s="15">
        <v>3</v>
      </c>
      <c r="C70" s="16">
        <v>11.251969094591553</v>
      </c>
      <c r="D70" s="15">
        <v>0</v>
      </c>
      <c r="E70" s="15">
        <v>0</v>
      </c>
      <c r="F70" s="15">
        <v>0</v>
      </c>
      <c r="G70" s="15">
        <v>0</v>
      </c>
      <c r="H70" s="15">
        <v>0</v>
      </c>
      <c r="I70" s="15">
        <v>0</v>
      </c>
      <c r="J70" s="15">
        <v>0</v>
      </c>
      <c r="K70" s="15">
        <v>0</v>
      </c>
      <c r="L70" s="15">
        <v>0</v>
      </c>
      <c r="M70" s="15">
        <v>0</v>
      </c>
      <c r="N70" s="15">
        <v>0</v>
      </c>
      <c r="O70" s="15">
        <v>0</v>
      </c>
      <c r="P70" s="15">
        <v>0</v>
      </c>
      <c r="Q70" s="15">
        <v>0</v>
      </c>
      <c r="R70" s="15">
        <v>0</v>
      </c>
      <c r="S70" s="15">
        <v>0</v>
      </c>
      <c r="T70" s="15">
        <v>0</v>
      </c>
      <c r="U70" s="15">
        <v>0</v>
      </c>
      <c r="V70" s="15">
        <v>0</v>
      </c>
      <c r="W70" s="15">
        <v>0</v>
      </c>
      <c r="X70" s="15">
        <v>0</v>
      </c>
      <c r="Y70" s="15">
        <v>0</v>
      </c>
      <c r="Z70" s="15">
        <v>0</v>
      </c>
      <c r="AA70" s="15">
        <v>0</v>
      </c>
      <c r="AB70" s="15">
        <v>0</v>
      </c>
      <c r="AC70" s="15">
        <v>0</v>
      </c>
      <c r="AD70" s="15">
        <v>0</v>
      </c>
      <c r="AE70" s="15">
        <v>0</v>
      </c>
      <c r="AF70" s="15">
        <v>0</v>
      </c>
      <c r="AG70" s="15">
        <v>0</v>
      </c>
      <c r="AH70" s="15">
        <v>0</v>
      </c>
      <c r="AI70" s="15">
        <v>0</v>
      </c>
      <c r="AJ70" s="15">
        <v>0</v>
      </c>
      <c r="AK70" s="15">
        <v>0</v>
      </c>
      <c r="AL70" s="15">
        <v>1</v>
      </c>
      <c r="AM70" s="15">
        <v>0</v>
      </c>
      <c r="AN70" s="15">
        <v>0</v>
      </c>
      <c r="AO70" s="15">
        <v>0</v>
      </c>
      <c r="AP70" s="15">
        <v>0</v>
      </c>
      <c r="AQ70" s="15">
        <v>0</v>
      </c>
      <c r="AR70" s="15">
        <v>0</v>
      </c>
      <c r="AS70" s="15">
        <v>0</v>
      </c>
      <c r="AT70" s="15">
        <v>0</v>
      </c>
      <c r="AU70" s="15">
        <v>0</v>
      </c>
      <c r="AV70" s="15">
        <v>1</v>
      </c>
      <c r="AW70" s="15">
        <v>1</v>
      </c>
      <c r="AX70" s="15">
        <v>0</v>
      </c>
      <c r="AY70" s="15">
        <v>0</v>
      </c>
      <c r="AZ70" s="15">
        <v>0</v>
      </c>
      <c r="BA70" s="15">
        <v>0</v>
      </c>
      <c r="BB70" s="15">
        <v>0</v>
      </c>
      <c r="BC70" s="15">
        <v>0</v>
      </c>
      <c r="BD70" s="15">
        <v>0</v>
      </c>
    </row>
    <row r="71" spans="1:56" x14ac:dyDescent="0.35">
      <c r="A71" s="14" t="s">
        <v>64</v>
      </c>
      <c r="B71" s="15">
        <v>4</v>
      </c>
      <c r="C71" s="16">
        <v>15.90646995665487</v>
      </c>
      <c r="D71" s="15">
        <v>0</v>
      </c>
      <c r="E71" s="15">
        <v>0</v>
      </c>
      <c r="F71" s="15">
        <v>0</v>
      </c>
      <c r="G71" s="15">
        <v>0</v>
      </c>
      <c r="H71" s="15">
        <v>0</v>
      </c>
      <c r="I71" s="15">
        <v>0</v>
      </c>
      <c r="J71" s="15">
        <v>0</v>
      </c>
      <c r="K71" s="15">
        <v>0</v>
      </c>
      <c r="L71" s="15">
        <v>0</v>
      </c>
      <c r="M71" s="15">
        <v>0</v>
      </c>
      <c r="N71" s="15">
        <v>0</v>
      </c>
      <c r="O71" s="15">
        <v>0</v>
      </c>
      <c r="P71" s="15">
        <v>0</v>
      </c>
      <c r="Q71" s="15">
        <v>0</v>
      </c>
      <c r="R71" s="15">
        <v>0</v>
      </c>
      <c r="S71" s="15">
        <v>0</v>
      </c>
      <c r="T71" s="15">
        <v>0</v>
      </c>
      <c r="U71" s="15">
        <v>0</v>
      </c>
      <c r="V71" s="15">
        <v>0</v>
      </c>
      <c r="W71" s="15">
        <v>0</v>
      </c>
      <c r="X71" s="15">
        <v>0</v>
      </c>
      <c r="Y71" s="15">
        <v>0</v>
      </c>
      <c r="Z71" s="15">
        <v>0</v>
      </c>
      <c r="AA71" s="15">
        <v>0</v>
      </c>
      <c r="AB71" s="15">
        <v>0</v>
      </c>
      <c r="AC71" s="15">
        <v>0</v>
      </c>
      <c r="AD71" s="15">
        <v>0</v>
      </c>
      <c r="AE71" s="15">
        <v>0</v>
      </c>
      <c r="AF71" s="15">
        <v>0</v>
      </c>
      <c r="AG71" s="15">
        <v>0</v>
      </c>
      <c r="AH71" s="15">
        <v>1</v>
      </c>
      <c r="AI71" s="15">
        <v>0</v>
      </c>
      <c r="AJ71" s="15">
        <v>0</v>
      </c>
      <c r="AK71" s="15">
        <v>1</v>
      </c>
      <c r="AL71" s="15">
        <v>0</v>
      </c>
      <c r="AM71" s="15">
        <v>0</v>
      </c>
      <c r="AN71" s="15">
        <v>0</v>
      </c>
      <c r="AO71" s="15">
        <v>0</v>
      </c>
      <c r="AP71" s="15">
        <v>1</v>
      </c>
      <c r="AQ71" s="15">
        <v>1</v>
      </c>
      <c r="AR71" s="15">
        <v>0</v>
      </c>
      <c r="AS71" s="15">
        <v>0</v>
      </c>
      <c r="AT71" s="15">
        <v>0</v>
      </c>
      <c r="AU71" s="15">
        <v>0</v>
      </c>
      <c r="AV71" s="15">
        <v>0</v>
      </c>
      <c r="AW71" s="15">
        <v>0</v>
      </c>
      <c r="AX71" s="15">
        <v>0</v>
      </c>
      <c r="AY71" s="15">
        <v>0</v>
      </c>
      <c r="AZ71" s="15">
        <v>0</v>
      </c>
      <c r="BA71" s="15">
        <v>0</v>
      </c>
      <c r="BB71" s="15">
        <v>0</v>
      </c>
      <c r="BC71" s="15">
        <v>0</v>
      </c>
      <c r="BD71" s="15">
        <v>0</v>
      </c>
    </row>
    <row r="72" spans="1:56" x14ac:dyDescent="0.35">
      <c r="A72" s="14" t="s">
        <v>65</v>
      </c>
      <c r="B72" s="15">
        <v>4</v>
      </c>
      <c r="C72" s="16">
        <v>12.751849018107626</v>
      </c>
      <c r="D72" s="15">
        <v>0</v>
      </c>
      <c r="E72" s="15">
        <v>0</v>
      </c>
      <c r="F72" s="15">
        <v>0</v>
      </c>
      <c r="G72" s="15">
        <v>0</v>
      </c>
      <c r="H72" s="15">
        <v>0</v>
      </c>
      <c r="I72" s="15">
        <v>0</v>
      </c>
      <c r="J72" s="15">
        <v>0</v>
      </c>
      <c r="K72" s="15">
        <v>0</v>
      </c>
      <c r="L72" s="15">
        <v>0</v>
      </c>
      <c r="M72" s="15">
        <v>0</v>
      </c>
      <c r="N72" s="15">
        <v>0</v>
      </c>
      <c r="O72" s="15">
        <v>0</v>
      </c>
      <c r="P72" s="15">
        <v>0</v>
      </c>
      <c r="Q72" s="15">
        <v>0</v>
      </c>
      <c r="R72" s="15">
        <v>0</v>
      </c>
      <c r="S72" s="15">
        <v>0</v>
      </c>
      <c r="T72" s="15">
        <v>0</v>
      </c>
      <c r="U72" s="15">
        <v>0</v>
      </c>
      <c r="V72" s="15">
        <v>0</v>
      </c>
      <c r="W72" s="15">
        <v>0</v>
      </c>
      <c r="X72" s="15">
        <v>0</v>
      </c>
      <c r="Y72" s="15">
        <v>0</v>
      </c>
      <c r="Z72" s="15">
        <v>0</v>
      </c>
      <c r="AA72" s="15">
        <v>0</v>
      </c>
      <c r="AB72" s="15">
        <v>0</v>
      </c>
      <c r="AC72" s="15">
        <v>0</v>
      </c>
      <c r="AD72" s="15">
        <v>0</v>
      </c>
      <c r="AE72" s="15">
        <v>0</v>
      </c>
      <c r="AF72" s="15">
        <v>1</v>
      </c>
      <c r="AG72" s="15">
        <v>0</v>
      </c>
      <c r="AH72" s="15">
        <v>0</v>
      </c>
      <c r="AI72" s="15">
        <v>0</v>
      </c>
      <c r="AJ72" s="15">
        <v>0</v>
      </c>
      <c r="AK72" s="15">
        <v>1</v>
      </c>
      <c r="AL72" s="15">
        <v>0</v>
      </c>
      <c r="AM72" s="15">
        <v>0</v>
      </c>
      <c r="AN72" s="15">
        <v>0</v>
      </c>
      <c r="AO72" s="15">
        <v>0</v>
      </c>
      <c r="AP72" s="15">
        <v>0</v>
      </c>
      <c r="AQ72" s="15">
        <v>0</v>
      </c>
      <c r="AR72" s="15">
        <v>2</v>
      </c>
      <c r="AS72" s="15">
        <v>0</v>
      </c>
      <c r="AT72" s="15">
        <v>0</v>
      </c>
      <c r="AU72" s="15">
        <v>0</v>
      </c>
      <c r="AV72" s="15">
        <v>0</v>
      </c>
      <c r="AW72" s="15">
        <v>0</v>
      </c>
      <c r="AX72" s="15">
        <v>0</v>
      </c>
      <c r="AY72" s="15">
        <v>0</v>
      </c>
      <c r="AZ72" s="15">
        <v>0</v>
      </c>
      <c r="BA72" s="15">
        <v>0</v>
      </c>
      <c r="BB72" s="15">
        <v>0</v>
      </c>
      <c r="BC72" s="15">
        <v>0</v>
      </c>
      <c r="BD72" s="15">
        <v>0</v>
      </c>
    </row>
    <row r="73" spans="1:56" x14ac:dyDescent="0.35">
      <c r="A73" s="14" t="s">
        <v>66</v>
      </c>
      <c r="B73" s="15">
        <v>336</v>
      </c>
      <c r="C73" s="16">
        <v>393.66849831870746</v>
      </c>
      <c r="D73" s="15">
        <v>3</v>
      </c>
      <c r="E73" s="15">
        <v>0</v>
      </c>
      <c r="F73" s="15">
        <v>6</v>
      </c>
      <c r="G73" s="15">
        <v>2</v>
      </c>
      <c r="H73" s="15">
        <v>3</v>
      </c>
      <c r="I73" s="15">
        <v>3</v>
      </c>
      <c r="J73" s="15">
        <v>4</v>
      </c>
      <c r="K73" s="15">
        <v>8</v>
      </c>
      <c r="L73" s="15">
        <v>3</v>
      </c>
      <c r="M73" s="15">
        <v>3</v>
      </c>
      <c r="N73" s="15">
        <v>6</v>
      </c>
      <c r="O73" s="15">
        <v>5</v>
      </c>
      <c r="P73" s="15">
        <v>2</v>
      </c>
      <c r="Q73" s="15">
        <v>4</v>
      </c>
      <c r="R73" s="15">
        <v>5</v>
      </c>
      <c r="S73" s="15">
        <v>5</v>
      </c>
      <c r="T73" s="15">
        <v>5</v>
      </c>
      <c r="U73" s="15">
        <v>3</v>
      </c>
      <c r="V73" s="15">
        <v>5</v>
      </c>
      <c r="W73" s="15">
        <v>9</v>
      </c>
      <c r="X73" s="15">
        <v>5</v>
      </c>
      <c r="Y73" s="15">
        <v>7</v>
      </c>
      <c r="Z73" s="15">
        <v>6</v>
      </c>
      <c r="AA73" s="15">
        <v>13</v>
      </c>
      <c r="AB73" s="15">
        <v>16</v>
      </c>
      <c r="AC73" s="15">
        <v>11</v>
      </c>
      <c r="AD73" s="15">
        <v>10</v>
      </c>
      <c r="AE73" s="15">
        <v>9</v>
      </c>
      <c r="AF73" s="15">
        <v>7</v>
      </c>
      <c r="AG73" s="15">
        <v>3</v>
      </c>
      <c r="AH73" s="15">
        <v>13</v>
      </c>
      <c r="AI73" s="15">
        <v>12</v>
      </c>
      <c r="AJ73" s="15">
        <v>13</v>
      </c>
      <c r="AK73" s="15">
        <v>18</v>
      </c>
      <c r="AL73" s="15">
        <v>12</v>
      </c>
      <c r="AM73" s="15">
        <v>7</v>
      </c>
      <c r="AN73" s="15">
        <v>8</v>
      </c>
      <c r="AO73" s="15">
        <v>13</v>
      </c>
      <c r="AP73" s="15">
        <v>9</v>
      </c>
      <c r="AQ73" s="15">
        <v>12</v>
      </c>
      <c r="AR73" s="15">
        <v>11</v>
      </c>
      <c r="AS73" s="15">
        <v>7</v>
      </c>
      <c r="AT73" s="15">
        <v>5</v>
      </c>
      <c r="AU73" s="15">
        <v>12</v>
      </c>
      <c r="AV73" s="15">
        <v>9</v>
      </c>
      <c r="AW73" s="15">
        <v>1</v>
      </c>
      <c r="AX73" s="15">
        <v>1</v>
      </c>
      <c r="AY73" s="15">
        <v>1</v>
      </c>
      <c r="AZ73" s="15">
        <v>1</v>
      </c>
      <c r="BA73" s="15">
        <v>0</v>
      </c>
      <c r="BB73" s="15">
        <v>0</v>
      </c>
      <c r="BC73" s="15">
        <v>0</v>
      </c>
      <c r="BD73" s="15">
        <v>0</v>
      </c>
    </row>
    <row r="74" spans="1:56" x14ac:dyDescent="0.35">
      <c r="A74" s="14"/>
      <c r="B74" s="12"/>
      <c r="C74" s="13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</row>
    <row r="75" spans="1:56" x14ac:dyDescent="0.35">
      <c r="A75" s="1" t="s">
        <v>67</v>
      </c>
      <c r="B75" s="10">
        <v>128</v>
      </c>
      <c r="C75" s="11">
        <v>32.04734995956526</v>
      </c>
      <c r="D75" s="10">
        <v>7</v>
      </c>
      <c r="E75" s="10">
        <v>3</v>
      </c>
      <c r="F75" s="10">
        <v>3</v>
      </c>
      <c r="G75" s="10">
        <v>4</v>
      </c>
      <c r="H75" s="10">
        <v>5</v>
      </c>
      <c r="I75" s="10">
        <v>1</v>
      </c>
      <c r="J75" s="10">
        <v>10</v>
      </c>
      <c r="K75" s="10">
        <v>2</v>
      </c>
      <c r="L75" s="10">
        <v>2</v>
      </c>
      <c r="M75" s="10">
        <v>5</v>
      </c>
      <c r="N75" s="10">
        <v>3</v>
      </c>
      <c r="O75" s="10">
        <v>2</v>
      </c>
      <c r="P75" s="10">
        <v>6</v>
      </c>
      <c r="Q75" s="10">
        <v>3</v>
      </c>
      <c r="R75" s="10">
        <v>3</v>
      </c>
      <c r="S75" s="10">
        <v>4</v>
      </c>
      <c r="T75" s="10">
        <v>1</v>
      </c>
      <c r="U75" s="10">
        <v>0</v>
      </c>
      <c r="V75" s="10">
        <v>2</v>
      </c>
      <c r="W75" s="10">
        <v>1</v>
      </c>
      <c r="X75" s="10">
        <v>2</v>
      </c>
      <c r="Y75" s="10">
        <v>1</v>
      </c>
      <c r="Z75" s="10">
        <v>2</v>
      </c>
      <c r="AA75" s="10">
        <v>2</v>
      </c>
      <c r="AB75" s="10">
        <v>3</v>
      </c>
      <c r="AC75" s="10">
        <v>1</v>
      </c>
      <c r="AD75" s="10">
        <v>2</v>
      </c>
      <c r="AE75" s="10">
        <v>3</v>
      </c>
      <c r="AF75" s="10">
        <v>3</v>
      </c>
      <c r="AG75" s="10">
        <v>1</v>
      </c>
      <c r="AH75" s="10">
        <v>1</v>
      </c>
      <c r="AI75" s="10">
        <v>2</v>
      </c>
      <c r="AJ75" s="10">
        <v>2</v>
      </c>
      <c r="AK75" s="10">
        <v>2</v>
      </c>
      <c r="AL75" s="10">
        <v>2</v>
      </c>
      <c r="AM75" s="10">
        <v>0</v>
      </c>
      <c r="AN75" s="10">
        <v>2</v>
      </c>
      <c r="AO75" s="10">
        <v>5</v>
      </c>
      <c r="AP75" s="10">
        <v>5</v>
      </c>
      <c r="AQ75" s="10">
        <v>3</v>
      </c>
      <c r="AR75" s="10">
        <v>1</v>
      </c>
      <c r="AS75" s="10">
        <v>2</v>
      </c>
      <c r="AT75" s="10">
        <v>1</v>
      </c>
      <c r="AU75" s="10">
        <v>3</v>
      </c>
      <c r="AV75" s="10">
        <v>4</v>
      </c>
      <c r="AW75" s="10">
        <v>0</v>
      </c>
      <c r="AX75" s="10">
        <v>2</v>
      </c>
      <c r="AY75" s="10">
        <v>3</v>
      </c>
      <c r="AZ75" s="10">
        <v>1</v>
      </c>
      <c r="BA75" s="10">
        <v>0</v>
      </c>
      <c r="BB75" s="10">
        <v>0</v>
      </c>
      <c r="BC75" s="10">
        <v>0</v>
      </c>
      <c r="BD75" s="10">
        <v>0</v>
      </c>
    </row>
    <row r="76" spans="1:56" x14ac:dyDescent="0.35">
      <c r="A76" s="14" t="s">
        <v>68</v>
      </c>
      <c r="B76" s="15">
        <v>6</v>
      </c>
      <c r="C76" s="16">
        <v>7.6616610481152314</v>
      </c>
      <c r="D76" s="15">
        <v>0</v>
      </c>
      <c r="E76" s="15">
        <v>0</v>
      </c>
      <c r="F76" s="15">
        <v>0</v>
      </c>
      <c r="G76" s="15">
        <v>0</v>
      </c>
      <c r="H76" s="15">
        <v>1</v>
      </c>
      <c r="I76" s="15">
        <v>0</v>
      </c>
      <c r="J76" s="15">
        <v>1</v>
      </c>
      <c r="K76" s="15">
        <v>1</v>
      </c>
      <c r="L76" s="15">
        <v>0</v>
      </c>
      <c r="M76" s="15">
        <v>0</v>
      </c>
      <c r="N76" s="15">
        <v>0</v>
      </c>
      <c r="O76" s="15">
        <v>0</v>
      </c>
      <c r="P76" s="15">
        <v>0</v>
      </c>
      <c r="Q76" s="15">
        <v>0</v>
      </c>
      <c r="R76" s="15">
        <v>0</v>
      </c>
      <c r="S76" s="15">
        <v>0</v>
      </c>
      <c r="T76" s="15">
        <v>0</v>
      </c>
      <c r="U76" s="15">
        <v>0</v>
      </c>
      <c r="V76" s="15">
        <v>0</v>
      </c>
      <c r="W76" s="15">
        <v>0</v>
      </c>
      <c r="X76" s="15">
        <v>0</v>
      </c>
      <c r="Y76" s="15">
        <v>0</v>
      </c>
      <c r="Z76" s="15">
        <v>0</v>
      </c>
      <c r="AA76" s="15">
        <v>0</v>
      </c>
      <c r="AB76" s="15">
        <v>0</v>
      </c>
      <c r="AC76" s="15">
        <v>0</v>
      </c>
      <c r="AD76" s="15">
        <v>0</v>
      </c>
      <c r="AE76" s="15">
        <v>0</v>
      </c>
      <c r="AF76" s="15">
        <v>1</v>
      </c>
      <c r="AG76" s="15">
        <v>0</v>
      </c>
      <c r="AH76" s="15">
        <v>0</v>
      </c>
      <c r="AI76" s="15">
        <v>0</v>
      </c>
      <c r="AJ76" s="15">
        <v>0</v>
      </c>
      <c r="AK76" s="15">
        <v>0</v>
      </c>
      <c r="AL76" s="15">
        <v>0</v>
      </c>
      <c r="AM76" s="15">
        <v>0</v>
      </c>
      <c r="AN76" s="15">
        <v>0</v>
      </c>
      <c r="AO76" s="15">
        <v>0</v>
      </c>
      <c r="AP76" s="15">
        <v>0</v>
      </c>
      <c r="AQ76" s="15">
        <v>0</v>
      </c>
      <c r="AR76" s="15">
        <v>0</v>
      </c>
      <c r="AS76" s="15">
        <v>1</v>
      </c>
      <c r="AT76" s="15">
        <v>0</v>
      </c>
      <c r="AU76" s="15">
        <v>0</v>
      </c>
      <c r="AV76" s="15">
        <v>1</v>
      </c>
      <c r="AW76" s="15">
        <v>0</v>
      </c>
      <c r="AX76" s="15">
        <v>0</v>
      </c>
      <c r="AY76" s="15">
        <v>0</v>
      </c>
      <c r="AZ76" s="15">
        <v>0</v>
      </c>
      <c r="BA76" s="15">
        <v>0</v>
      </c>
      <c r="BB76" s="15">
        <v>0</v>
      </c>
      <c r="BC76" s="15">
        <v>0</v>
      </c>
      <c r="BD76" s="15">
        <v>0</v>
      </c>
    </row>
    <row r="77" spans="1:56" x14ac:dyDescent="0.35">
      <c r="A77" s="14" t="s">
        <v>69</v>
      </c>
      <c r="B77" s="15">
        <v>7</v>
      </c>
      <c r="C77" s="16">
        <v>12.253829321663019</v>
      </c>
      <c r="D77" s="15">
        <v>0</v>
      </c>
      <c r="E77" s="15">
        <v>0</v>
      </c>
      <c r="F77" s="15">
        <v>0</v>
      </c>
      <c r="G77" s="15">
        <v>0</v>
      </c>
      <c r="H77" s="15">
        <v>0</v>
      </c>
      <c r="I77" s="15">
        <v>0</v>
      </c>
      <c r="J77" s="15">
        <v>0</v>
      </c>
      <c r="K77" s="15">
        <v>0</v>
      </c>
      <c r="L77" s="15">
        <v>1</v>
      </c>
      <c r="M77" s="15">
        <v>1</v>
      </c>
      <c r="N77" s="15">
        <v>0</v>
      </c>
      <c r="O77" s="15">
        <v>0</v>
      </c>
      <c r="P77" s="15">
        <v>0</v>
      </c>
      <c r="Q77" s="15">
        <v>1</v>
      </c>
      <c r="R77" s="15">
        <v>0</v>
      </c>
      <c r="S77" s="15">
        <v>0</v>
      </c>
      <c r="T77" s="15">
        <v>0</v>
      </c>
      <c r="U77" s="15">
        <v>0</v>
      </c>
      <c r="V77" s="15">
        <v>0</v>
      </c>
      <c r="W77" s="15">
        <v>0</v>
      </c>
      <c r="X77" s="15">
        <v>1</v>
      </c>
      <c r="Y77" s="15">
        <v>0</v>
      </c>
      <c r="Z77" s="15">
        <v>0</v>
      </c>
      <c r="AA77" s="15">
        <v>0</v>
      </c>
      <c r="AB77" s="15">
        <v>0</v>
      </c>
      <c r="AC77" s="15">
        <v>0</v>
      </c>
      <c r="AD77" s="15">
        <v>1</v>
      </c>
      <c r="AE77" s="15">
        <v>0</v>
      </c>
      <c r="AF77" s="15">
        <v>0</v>
      </c>
      <c r="AG77" s="15">
        <v>0</v>
      </c>
      <c r="AH77" s="15">
        <v>0</v>
      </c>
      <c r="AI77" s="15">
        <v>0</v>
      </c>
      <c r="AJ77" s="15">
        <v>0</v>
      </c>
      <c r="AK77" s="15">
        <v>1</v>
      </c>
      <c r="AL77" s="15">
        <v>0</v>
      </c>
      <c r="AM77" s="15">
        <v>0</v>
      </c>
      <c r="AN77" s="15">
        <v>0</v>
      </c>
      <c r="AO77" s="15">
        <v>0</v>
      </c>
      <c r="AP77" s="15">
        <v>0</v>
      </c>
      <c r="AQ77" s="15">
        <v>0</v>
      </c>
      <c r="AR77" s="15">
        <v>0</v>
      </c>
      <c r="AS77" s="15">
        <v>0</v>
      </c>
      <c r="AT77" s="15">
        <v>0</v>
      </c>
      <c r="AU77" s="15">
        <v>1</v>
      </c>
      <c r="AV77" s="15">
        <v>0</v>
      </c>
      <c r="AW77" s="15">
        <v>0</v>
      </c>
      <c r="AX77" s="15">
        <v>0</v>
      </c>
      <c r="AY77" s="15">
        <v>0</v>
      </c>
      <c r="AZ77" s="15">
        <v>0</v>
      </c>
      <c r="BA77" s="15">
        <v>0</v>
      </c>
      <c r="BB77" s="15">
        <v>0</v>
      </c>
      <c r="BC77" s="15">
        <v>0</v>
      </c>
      <c r="BD77" s="15">
        <v>0</v>
      </c>
    </row>
    <row r="78" spans="1:56" x14ac:dyDescent="0.35">
      <c r="A78" s="14" t="s">
        <v>70</v>
      </c>
      <c r="B78" s="15">
        <v>31</v>
      </c>
      <c r="C78" s="16">
        <v>44.206773618538328</v>
      </c>
      <c r="D78" s="15">
        <v>0</v>
      </c>
      <c r="E78" s="15">
        <v>0</v>
      </c>
      <c r="F78" s="15">
        <v>0</v>
      </c>
      <c r="G78" s="15">
        <v>1</v>
      </c>
      <c r="H78" s="15">
        <v>0</v>
      </c>
      <c r="I78" s="15">
        <v>0</v>
      </c>
      <c r="J78" s="15">
        <v>1</v>
      </c>
      <c r="K78" s="15">
        <v>0</v>
      </c>
      <c r="L78" s="15">
        <v>1</v>
      </c>
      <c r="M78" s="15">
        <v>1</v>
      </c>
      <c r="N78" s="15">
        <v>1</v>
      </c>
      <c r="O78" s="15">
        <v>0</v>
      </c>
      <c r="P78" s="15">
        <v>2</v>
      </c>
      <c r="Q78" s="15">
        <v>1</v>
      </c>
      <c r="R78" s="15">
        <v>2</v>
      </c>
      <c r="S78" s="15">
        <v>1</v>
      </c>
      <c r="T78" s="15">
        <v>0</v>
      </c>
      <c r="U78" s="15">
        <v>0</v>
      </c>
      <c r="V78" s="15">
        <v>2</v>
      </c>
      <c r="W78" s="15">
        <v>0</v>
      </c>
      <c r="X78" s="15">
        <v>0</v>
      </c>
      <c r="Y78" s="15">
        <v>1</v>
      </c>
      <c r="Z78" s="15">
        <v>0</v>
      </c>
      <c r="AA78" s="15">
        <v>0</v>
      </c>
      <c r="AB78" s="15">
        <v>1</v>
      </c>
      <c r="AC78" s="15">
        <v>0</v>
      </c>
      <c r="AD78" s="15">
        <v>0</v>
      </c>
      <c r="AE78" s="15">
        <v>1</v>
      </c>
      <c r="AF78" s="15">
        <v>1</v>
      </c>
      <c r="AG78" s="15">
        <v>1</v>
      </c>
      <c r="AH78" s="15">
        <v>0</v>
      </c>
      <c r="AI78" s="15">
        <v>2</v>
      </c>
      <c r="AJ78" s="15">
        <v>0</v>
      </c>
      <c r="AK78" s="15">
        <v>1</v>
      </c>
      <c r="AL78" s="15">
        <v>1</v>
      </c>
      <c r="AM78" s="15">
        <v>0</v>
      </c>
      <c r="AN78" s="15">
        <v>1</v>
      </c>
      <c r="AO78" s="15">
        <v>1</v>
      </c>
      <c r="AP78" s="15">
        <v>0</v>
      </c>
      <c r="AQ78" s="15">
        <v>2</v>
      </c>
      <c r="AR78" s="15">
        <v>0</v>
      </c>
      <c r="AS78" s="15">
        <v>0</v>
      </c>
      <c r="AT78" s="15">
        <v>0</v>
      </c>
      <c r="AU78" s="15">
        <v>0</v>
      </c>
      <c r="AV78" s="15">
        <v>2</v>
      </c>
      <c r="AW78" s="15">
        <v>0</v>
      </c>
      <c r="AX78" s="15">
        <v>2</v>
      </c>
      <c r="AY78" s="15">
        <v>1</v>
      </c>
      <c r="AZ78" s="15">
        <v>0</v>
      </c>
      <c r="BA78" s="15">
        <v>0</v>
      </c>
      <c r="BB78" s="15">
        <v>0</v>
      </c>
      <c r="BC78" s="15">
        <v>0</v>
      </c>
      <c r="BD78" s="15">
        <v>0</v>
      </c>
    </row>
    <row r="79" spans="1:56" x14ac:dyDescent="0.35">
      <c r="A79" s="14" t="s">
        <v>71</v>
      </c>
      <c r="B79" s="15">
        <v>5</v>
      </c>
      <c r="C79" s="16">
        <v>20.413162407120112</v>
      </c>
      <c r="D79" s="15">
        <v>0</v>
      </c>
      <c r="E79" s="15">
        <v>0</v>
      </c>
      <c r="F79" s="15">
        <v>0</v>
      </c>
      <c r="G79" s="15">
        <v>0</v>
      </c>
      <c r="H79" s="15">
        <v>0</v>
      </c>
      <c r="I79" s="15">
        <v>0</v>
      </c>
      <c r="J79" s="15">
        <v>1</v>
      </c>
      <c r="K79" s="15">
        <v>0</v>
      </c>
      <c r="L79" s="15">
        <v>0</v>
      </c>
      <c r="M79" s="15">
        <v>0</v>
      </c>
      <c r="N79" s="15">
        <v>1</v>
      </c>
      <c r="O79" s="15">
        <v>0</v>
      </c>
      <c r="P79" s="15">
        <v>0</v>
      </c>
      <c r="Q79" s="15">
        <v>0</v>
      </c>
      <c r="R79" s="15">
        <v>0</v>
      </c>
      <c r="S79" s="15">
        <v>0</v>
      </c>
      <c r="T79" s="15">
        <v>0</v>
      </c>
      <c r="U79" s="15">
        <v>0</v>
      </c>
      <c r="V79" s="15">
        <v>0</v>
      </c>
      <c r="W79" s="15">
        <v>0</v>
      </c>
      <c r="X79" s="15">
        <v>0</v>
      </c>
      <c r="Y79" s="15">
        <v>0</v>
      </c>
      <c r="Z79" s="15">
        <v>0</v>
      </c>
      <c r="AA79" s="15">
        <v>0</v>
      </c>
      <c r="AB79" s="15">
        <v>0</v>
      </c>
      <c r="AC79" s="15">
        <v>0</v>
      </c>
      <c r="AD79" s="15">
        <v>0</v>
      </c>
      <c r="AE79" s="15">
        <v>0</v>
      </c>
      <c r="AF79" s="15">
        <v>0</v>
      </c>
      <c r="AG79" s="15">
        <v>0</v>
      </c>
      <c r="AH79" s="15">
        <v>0</v>
      </c>
      <c r="AI79" s="15">
        <v>0</v>
      </c>
      <c r="AJ79" s="15">
        <v>0</v>
      </c>
      <c r="AK79" s="15">
        <v>0</v>
      </c>
      <c r="AL79" s="15">
        <v>0</v>
      </c>
      <c r="AM79" s="15">
        <v>0</v>
      </c>
      <c r="AN79" s="15">
        <v>0</v>
      </c>
      <c r="AO79" s="15">
        <v>1</v>
      </c>
      <c r="AP79" s="15">
        <v>0</v>
      </c>
      <c r="AQ79" s="15">
        <v>0</v>
      </c>
      <c r="AR79" s="15">
        <v>0</v>
      </c>
      <c r="AS79" s="15">
        <v>0</v>
      </c>
      <c r="AT79" s="15">
        <v>0</v>
      </c>
      <c r="AU79" s="15">
        <v>0</v>
      </c>
      <c r="AV79" s="15">
        <v>0</v>
      </c>
      <c r="AW79" s="15">
        <v>0</v>
      </c>
      <c r="AX79" s="15">
        <v>0</v>
      </c>
      <c r="AY79" s="15">
        <v>2</v>
      </c>
      <c r="AZ79" s="15">
        <v>0</v>
      </c>
      <c r="BA79" s="15">
        <v>0</v>
      </c>
      <c r="BB79" s="15">
        <v>0</v>
      </c>
      <c r="BC79" s="15">
        <v>0</v>
      </c>
      <c r="BD79" s="15">
        <v>0</v>
      </c>
    </row>
    <row r="80" spans="1:56" x14ac:dyDescent="0.35">
      <c r="A80" s="14" t="s">
        <v>72</v>
      </c>
      <c r="B80" s="15">
        <v>20</v>
      </c>
      <c r="C80" s="16">
        <v>42.684878881656175</v>
      </c>
      <c r="D80" s="15">
        <v>2</v>
      </c>
      <c r="E80" s="15">
        <v>1</v>
      </c>
      <c r="F80" s="15">
        <v>2</v>
      </c>
      <c r="G80" s="15">
        <v>1</v>
      </c>
      <c r="H80" s="15">
        <v>1</v>
      </c>
      <c r="I80" s="15">
        <v>0</v>
      </c>
      <c r="J80" s="15">
        <v>1</v>
      </c>
      <c r="K80" s="15">
        <v>0</v>
      </c>
      <c r="L80" s="15">
        <v>0</v>
      </c>
      <c r="M80" s="15">
        <v>1</v>
      </c>
      <c r="N80" s="15">
        <v>0</v>
      </c>
      <c r="O80" s="15">
        <v>1</v>
      </c>
      <c r="P80" s="15">
        <v>1</v>
      </c>
      <c r="Q80" s="15">
        <v>0</v>
      </c>
      <c r="R80" s="15">
        <v>0</v>
      </c>
      <c r="S80" s="15">
        <v>2</v>
      </c>
      <c r="T80" s="15">
        <v>0</v>
      </c>
      <c r="U80" s="15">
        <v>0</v>
      </c>
      <c r="V80" s="15">
        <v>0</v>
      </c>
      <c r="W80" s="15">
        <v>0</v>
      </c>
      <c r="X80" s="15">
        <v>0</v>
      </c>
      <c r="Y80" s="15">
        <v>0</v>
      </c>
      <c r="Z80" s="15">
        <v>0</v>
      </c>
      <c r="AA80" s="15">
        <v>0</v>
      </c>
      <c r="AB80" s="15">
        <v>0</v>
      </c>
      <c r="AC80" s="15">
        <v>1</v>
      </c>
      <c r="AD80" s="15">
        <v>1</v>
      </c>
      <c r="AE80" s="15">
        <v>1</v>
      </c>
      <c r="AF80" s="15">
        <v>0</v>
      </c>
      <c r="AG80" s="15">
        <v>0</v>
      </c>
      <c r="AH80" s="15">
        <v>0</v>
      </c>
      <c r="AI80" s="15">
        <v>0</v>
      </c>
      <c r="AJ80" s="15">
        <v>0</v>
      </c>
      <c r="AK80" s="15">
        <v>0</v>
      </c>
      <c r="AL80" s="15">
        <v>0</v>
      </c>
      <c r="AM80" s="15">
        <v>0</v>
      </c>
      <c r="AN80" s="15">
        <v>1</v>
      </c>
      <c r="AO80" s="15">
        <v>2</v>
      </c>
      <c r="AP80" s="15">
        <v>0</v>
      </c>
      <c r="AQ80" s="15">
        <v>0</v>
      </c>
      <c r="AR80" s="15">
        <v>0</v>
      </c>
      <c r="AS80" s="15">
        <v>0</v>
      </c>
      <c r="AT80" s="15">
        <v>0</v>
      </c>
      <c r="AU80" s="15">
        <v>0</v>
      </c>
      <c r="AV80" s="15">
        <v>1</v>
      </c>
      <c r="AW80" s="15">
        <v>0</v>
      </c>
      <c r="AX80" s="15">
        <v>0</v>
      </c>
      <c r="AY80" s="15">
        <v>0</v>
      </c>
      <c r="AZ80" s="15">
        <v>0</v>
      </c>
      <c r="BA80" s="15">
        <v>0</v>
      </c>
      <c r="BB80" s="15">
        <v>0</v>
      </c>
      <c r="BC80" s="15">
        <v>0</v>
      </c>
      <c r="BD80" s="15">
        <v>0</v>
      </c>
    </row>
    <row r="81" spans="1:56" x14ac:dyDescent="0.35">
      <c r="A81" s="14" t="s">
        <v>73</v>
      </c>
      <c r="B81" s="15">
        <v>12</v>
      </c>
      <c r="C81" s="16">
        <v>36.317414200108949</v>
      </c>
      <c r="D81" s="15">
        <v>0</v>
      </c>
      <c r="E81" s="15">
        <v>0</v>
      </c>
      <c r="F81" s="15">
        <v>0</v>
      </c>
      <c r="G81" s="15">
        <v>1</v>
      </c>
      <c r="H81" s="15">
        <v>1</v>
      </c>
      <c r="I81" s="15">
        <v>0</v>
      </c>
      <c r="J81" s="15">
        <v>0</v>
      </c>
      <c r="K81" s="15">
        <v>0</v>
      </c>
      <c r="L81" s="15">
        <v>0</v>
      </c>
      <c r="M81" s="15">
        <v>0</v>
      </c>
      <c r="N81" s="15">
        <v>0</v>
      </c>
      <c r="O81" s="15">
        <v>0</v>
      </c>
      <c r="P81" s="15">
        <v>2</v>
      </c>
      <c r="Q81" s="15">
        <v>1</v>
      </c>
      <c r="R81" s="15">
        <v>0</v>
      </c>
      <c r="S81" s="15">
        <v>1</v>
      </c>
      <c r="T81" s="15">
        <v>0</v>
      </c>
      <c r="U81" s="15">
        <v>0</v>
      </c>
      <c r="V81" s="15">
        <v>0</v>
      </c>
      <c r="W81" s="15">
        <v>0</v>
      </c>
      <c r="X81" s="15">
        <v>0</v>
      </c>
      <c r="Y81" s="15">
        <v>0</v>
      </c>
      <c r="Z81" s="15">
        <v>1</v>
      </c>
      <c r="AA81" s="15">
        <v>0</v>
      </c>
      <c r="AB81" s="15">
        <v>0</v>
      </c>
      <c r="AC81" s="15">
        <v>0</v>
      </c>
      <c r="AD81" s="15">
        <v>0</v>
      </c>
      <c r="AE81" s="15">
        <v>0</v>
      </c>
      <c r="AF81" s="15">
        <v>0</v>
      </c>
      <c r="AG81" s="15">
        <v>0</v>
      </c>
      <c r="AH81" s="15">
        <v>0</v>
      </c>
      <c r="AI81" s="15">
        <v>0</v>
      </c>
      <c r="AJ81" s="15">
        <v>0</v>
      </c>
      <c r="AK81" s="15">
        <v>0</v>
      </c>
      <c r="AL81" s="15">
        <v>1</v>
      </c>
      <c r="AM81" s="15">
        <v>0</v>
      </c>
      <c r="AN81" s="15">
        <v>0</v>
      </c>
      <c r="AO81" s="15">
        <v>0</v>
      </c>
      <c r="AP81" s="15">
        <v>2</v>
      </c>
      <c r="AQ81" s="15">
        <v>0</v>
      </c>
      <c r="AR81" s="15">
        <v>1</v>
      </c>
      <c r="AS81" s="15">
        <v>0</v>
      </c>
      <c r="AT81" s="15">
        <v>0</v>
      </c>
      <c r="AU81" s="15">
        <v>0</v>
      </c>
      <c r="AV81" s="15">
        <v>0</v>
      </c>
      <c r="AW81" s="15">
        <v>0</v>
      </c>
      <c r="AX81" s="15">
        <v>0</v>
      </c>
      <c r="AY81" s="15">
        <v>0</v>
      </c>
      <c r="AZ81" s="15">
        <v>1</v>
      </c>
      <c r="BA81" s="15">
        <v>0</v>
      </c>
      <c r="BB81" s="15">
        <v>0</v>
      </c>
      <c r="BC81" s="15">
        <v>0</v>
      </c>
      <c r="BD81" s="15">
        <v>0</v>
      </c>
    </row>
    <row r="82" spans="1:56" x14ac:dyDescent="0.35">
      <c r="A82" s="14" t="s">
        <v>74</v>
      </c>
      <c r="B82" s="15">
        <v>30</v>
      </c>
      <c r="C82" s="16">
        <v>148.85382554331647</v>
      </c>
      <c r="D82" s="15">
        <v>2</v>
      </c>
      <c r="E82" s="15">
        <v>2</v>
      </c>
      <c r="F82" s="15">
        <v>1</v>
      </c>
      <c r="G82" s="15">
        <v>1</v>
      </c>
      <c r="H82" s="15">
        <v>2</v>
      </c>
      <c r="I82" s="15">
        <v>0</v>
      </c>
      <c r="J82" s="15">
        <v>6</v>
      </c>
      <c r="K82" s="15">
        <v>0</v>
      </c>
      <c r="L82" s="15">
        <v>0</v>
      </c>
      <c r="M82" s="15">
        <v>1</v>
      </c>
      <c r="N82" s="15">
        <v>1</v>
      </c>
      <c r="O82" s="15">
        <v>1</v>
      </c>
      <c r="P82" s="15">
        <v>1</v>
      </c>
      <c r="Q82" s="15">
        <v>0</v>
      </c>
      <c r="R82" s="15">
        <v>1</v>
      </c>
      <c r="S82" s="15">
        <v>0</v>
      </c>
      <c r="T82" s="15">
        <v>1</v>
      </c>
      <c r="U82" s="15">
        <v>0</v>
      </c>
      <c r="V82" s="15">
        <v>0</v>
      </c>
      <c r="W82" s="15">
        <v>1</v>
      </c>
      <c r="X82" s="15">
        <v>0</v>
      </c>
      <c r="Y82" s="15">
        <v>0</v>
      </c>
      <c r="Z82" s="15">
        <v>1</v>
      </c>
      <c r="AA82" s="15">
        <v>0</v>
      </c>
      <c r="AB82" s="15">
        <v>2</v>
      </c>
      <c r="AC82" s="15">
        <v>0</v>
      </c>
      <c r="AD82" s="15">
        <v>0</v>
      </c>
      <c r="AE82" s="15">
        <v>1</v>
      </c>
      <c r="AF82" s="15">
        <v>0</v>
      </c>
      <c r="AG82" s="15">
        <v>0</v>
      </c>
      <c r="AH82" s="15">
        <v>0</v>
      </c>
      <c r="AI82" s="15">
        <v>0</v>
      </c>
      <c r="AJ82" s="15">
        <v>1</v>
      </c>
      <c r="AK82" s="15">
        <v>0</v>
      </c>
      <c r="AL82" s="15">
        <v>0</v>
      </c>
      <c r="AM82" s="15">
        <v>0</v>
      </c>
      <c r="AN82" s="15">
        <v>0</v>
      </c>
      <c r="AO82" s="15">
        <v>0</v>
      </c>
      <c r="AP82" s="15">
        <v>1</v>
      </c>
      <c r="AQ82" s="15">
        <v>0</v>
      </c>
      <c r="AR82" s="15">
        <v>0</v>
      </c>
      <c r="AS82" s="15">
        <v>1</v>
      </c>
      <c r="AT82" s="15">
        <v>1</v>
      </c>
      <c r="AU82" s="15">
        <v>1</v>
      </c>
      <c r="AV82" s="15">
        <v>0</v>
      </c>
      <c r="AW82" s="15">
        <v>0</v>
      </c>
      <c r="AX82" s="15">
        <v>0</v>
      </c>
      <c r="AY82" s="15">
        <v>0</v>
      </c>
      <c r="AZ82" s="15">
        <v>0</v>
      </c>
      <c r="BA82" s="15">
        <v>0</v>
      </c>
      <c r="BB82" s="15">
        <v>0</v>
      </c>
      <c r="BC82" s="15">
        <v>0</v>
      </c>
      <c r="BD82" s="15">
        <v>0</v>
      </c>
    </row>
    <row r="83" spans="1:56" x14ac:dyDescent="0.35">
      <c r="A83" s="14" t="s">
        <v>75</v>
      </c>
      <c r="B83" s="15">
        <v>5</v>
      </c>
      <c r="C83" s="16">
        <v>22.869688514842426</v>
      </c>
      <c r="D83" s="15">
        <v>3</v>
      </c>
      <c r="E83" s="15">
        <v>0</v>
      </c>
      <c r="F83" s="15">
        <v>0</v>
      </c>
      <c r="G83" s="15">
        <v>0</v>
      </c>
      <c r="H83" s="15">
        <v>0</v>
      </c>
      <c r="I83" s="15">
        <v>0</v>
      </c>
      <c r="J83" s="15">
        <v>0</v>
      </c>
      <c r="K83" s="15">
        <v>0</v>
      </c>
      <c r="L83" s="15">
        <v>0</v>
      </c>
      <c r="M83" s="15">
        <v>1</v>
      </c>
      <c r="N83" s="15">
        <v>0</v>
      </c>
      <c r="O83" s="15">
        <v>0</v>
      </c>
      <c r="P83" s="15">
        <v>0</v>
      </c>
      <c r="Q83" s="15">
        <v>0</v>
      </c>
      <c r="R83" s="15">
        <v>0</v>
      </c>
      <c r="S83" s="15">
        <v>0</v>
      </c>
      <c r="T83" s="15">
        <v>0</v>
      </c>
      <c r="U83" s="15">
        <v>0</v>
      </c>
      <c r="V83" s="15">
        <v>0</v>
      </c>
      <c r="W83" s="15">
        <v>0</v>
      </c>
      <c r="X83" s="15">
        <v>0</v>
      </c>
      <c r="Y83" s="15">
        <v>0</v>
      </c>
      <c r="Z83" s="15">
        <v>0</v>
      </c>
      <c r="AA83" s="15">
        <v>0</v>
      </c>
      <c r="AB83" s="15">
        <v>0</v>
      </c>
      <c r="AC83" s="15">
        <v>0</v>
      </c>
      <c r="AD83" s="15">
        <v>0</v>
      </c>
      <c r="AE83" s="15">
        <v>0</v>
      </c>
      <c r="AF83" s="15">
        <v>0</v>
      </c>
      <c r="AG83" s="15">
        <v>0</v>
      </c>
      <c r="AH83" s="15">
        <v>0</v>
      </c>
      <c r="AI83" s="15">
        <v>0</v>
      </c>
      <c r="AJ83" s="15">
        <v>0</v>
      </c>
      <c r="AK83" s="15">
        <v>0</v>
      </c>
      <c r="AL83" s="15">
        <v>0</v>
      </c>
      <c r="AM83" s="15">
        <v>0</v>
      </c>
      <c r="AN83" s="15">
        <v>0</v>
      </c>
      <c r="AO83" s="15">
        <v>0</v>
      </c>
      <c r="AP83" s="15">
        <v>1</v>
      </c>
      <c r="AQ83" s="15">
        <v>0</v>
      </c>
      <c r="AR83" s="15">
        <v>0</v>
      </c>
      <c r="AS83" s="15">
        <v>0</v>
      </c>
      <c r="AT83" s="15">
        <v>0</v>
      </c>
      <c r="AU83" s="15">
        <v>0</v>
      </c>
      <c r="AV83" s="15">
        <v>0</v>
      </c>
      <c r="AW83" s="15">
        <v>0</v>
      </c>
      <c r="AX83" s="15">
        <v>0</v>
      </c>
      <c r="AY83" s="15">
        <v>0</v>
      </c>
      <c r="AZ83" s="15">
        <v>0</v>
      </c>
      <c r="BA83" s="15">
        <v>0</v>
      </c>
      <c r="BB83" s="15">
        <v>0</v>
      </c>
      <c r="BC83" s="15">
        <v>0</v>
      </c>
      <c r="BD83" s="15">
        <v>0</v>
      </c>
    </row>
    <row r="84" spans="1:56" x14ac:dyDescent="0.35">
      <c r="A84" s="14" t="s">
        <v>76</v>
      </c>
      <c r="B84" s="15">
        <v>1</v>
      </c>
      <c r="C84" s="16">
        <v>8.4638171815488779</v>
      </c>
      <c r="D84" s="15">
        <v>0</v>
      </c>
      <c r="E84" s="15">
        <v>0</v>
      </c>
      <c r="F84" s="15">
        <v>0</v>
      </c>
      <c r="G84" s="15">
        <v>0</v>
      </c>
      <c r="H84" s="15">
        <v>0</v>
      </c>
      <c r="I84" s="15">
        <v>0</v>
      </c>
      <c r="J84" s="15">
        <v>0</v>
      </c>
      <c r="K84" s="15">
        <v>0</v>
      </c>
      <c r="L84" s="15">
        <v>0</v>
      </c>
      <c r="M84" s="15">
        <v>0</v>
      </c>
      <c r="N84" s="15">
        <v>0</v>
      </c>
      <c r="O84" s="15">
        <v>0</v>
      </c>
      <c r="P84" s="15">
        <v>0</v>
      </c>
      <c r="Q84" s="15">
        <v>0</v>
      </c>
      <c r="R84" s="15">
        <v>0</v>
      </c>
      <c r="S84" s="15">
        <v>0</v>
      </c>
      <c r="T84" s="15">
        <v>0</v>
      </c>
      <c r="U84" s="15">
        <v>0</v>
      </c>
      <c r="V84" s="15">
        <v>0</v>
      </c>
      <c r="W84" s="15">
        <v>0</v>
      </c>
      <c r="X84" s="15">
        <v>0</v>
      </c>
      <c r="Y84" s="15">
        <v>0</v>
      </c>
      <c r="Z84" s="15">
        <v>0</v>
      </c>
      <c r="AA84" s="15">
        <v>0</v>
      </c>
      <c r="AB84" s="15">
        <v>0</v>
      </c>
      <c r="AC84" s="15">
        <v>0</v>
      </c>
      <c r="AD84" s="15">
        <v>0</v>
      </c>
      <c r="AE84" s="15">
        <v>0</v>
      </c>
      <c r="AF84" s="15">
        <v>0</v>
      </c>
      <c r="AG84" s="15">
        <v>0</v>
      </c>
      <c r="AH84" s="15">
        <v>0</v>
      </c>
      <c r="AI84" s="15">
        <v>0</v>
      </c>
      <c r="AJ84" s="15">
        <v>0</v>
      </c>
      <c r="AK84" s="15">
        <v>0</v>
      </c>
      <c r="AL84" s="15">
        <v>0</v>
      </c>
      <c r="AM84" s="15">
        <v>0</v>
      </c>
      <c r="AN84" s="15">
        <v>0</v>
      </c>
      <c r="AO84" s="15">
        <v>1</v>
      </c>
      <c r="AP84" s="15">
        <v>0</v>
      </c>
      <c r="AQ84" s="15">
        <v>0</v>
      </c>
      <c r="AR84" s="15">
        <v>0</v>
      </c>
      <c r="AS84" s="15">
        <v>0</v>
      </c>
      <c r="AT84" s="15">
        <v>0</v>
      </c>
      <c r="AU84" s="15">
        <v>0</v>
      </c>
      <c r="AV84" s="15">
        <v>0</v>
      </c>
      <c r="AW84" s="15">
        <v>0</v>
      </c>
      <c r="AX84" s="15">
        <v>0</v>
      </c>
      <c r="AY84" s="15">
        <v>0</v>
      </c>
      <c r="AZ84" s="15">
        <v>0</v>
      </c>
      <c r="BA84" s="15">
        <v>0</v>
      </c>
      <c r="BB84" s="15">
        <v>0</v>
      </c>
      <c r="BC84" s="15">
        <v>0</v>
      </c>
      <c r="BD84" s="15">
        <v>0</v>
      </c>
    </row>
    <row r="85" spans="1:56" x14ac:dyDescent="0.35">
      <c r="A85" s="14" t="s">
        <v>77</v>
      </c>
      <c r="B85" s="15">
        <v>10</v>
      </c>
      <c r="C85" s="16">
        <v>36.256843479206701</v>
      </c>
      <c r="D85" s="15">
        <v>0</v>
      </c>
      <c r="E85" s="15">
        <v>0</v>
      </c>
      <c r="F85" s="15">
        <v>0</v>
      </c>
      <c r="G85" s="15">
        <v>0</v>
      </c>
      <c r="H85" s="15">
        <v>0</v>
      </c>
      <c r="I85" s="15">
        <v>1</v>
      </c>
      <c r="J85" s="15">
        <v>0</v>
      </c>
      <c r="K85" s="15">
        <v>0</v>
      </c>
      <c r="L85" s="15">
        <v>0</v>
      </c>
      <c r="M85" s="15">
        <v>0</v>
      </c>
      <c r="N85" s="15">
        <v>0</v>
      </c>
      <c r="O85" s="15">
        <v>0</v>
      </c>
      <c r="P85" s="15">
        <v>0</v>
      </c>
      <c r="Q85" s="15">
        <v>0</v>
      </c>
      <c r="R85" s="15">
        <v>0</v>
      </c>
      <c r="S85" s="15">
        <v>0</v>
      </c>
      <c r="T85" s="15">
        <v>0</v>
      </c>
      <c r="U85" s="15">
        <v>0</v>
      </c>
      <c r="V85" s="15">
        <v>0</v>
      </c>
      <c r="W85" s="15">
        <v>0</v>
      </c>
      <c r="X85" s="15">
        <v>1</v>
      </c>
      <c r="Y85" s="15">
        <v>0</v>
      </c>
      <c r="Z85" s="15">
        <v>0</v>
      </c>
      <c r="AA85" s="15">
        <v>2</v>
      </c>
      <c r="AB85" s="15">
        <v>0</v>
      </c>
      <c r="AC85" s="15">
        <v>0</v>
      </c>
      <c r="AD85" s="15">
        <v>0</v>
      </c>
      <c r="AE85" s="15">
        <v>0</v>
      </c>
      <c r="AF85" s="15">
        <v>1</v>
      </c>
      <c r="AG85" s="15">
        <v>0</v>
      </c>
      <c r="AH85" s="15">
        <v>1</v>
      </c>
      <c r="AI85" s="15">
        <v>0</v>
      </c>
      <c r="AJ85" s="15">
        <v>1</v>
      </c>
      <c r="AK85" s="15">
        <v>0</v>
      </c>
      <c r="AL85" s="15">
        <v>0</v>
      </c>
      <c r="AM85" s="15">
        <v>0</v>
      </c>
      <c r="AN85" s="15">
        <v>0</v>
      </c>
      <c r="AO85" s="15">
        <v>0</v>
      </c>
      <c r="AP85" s="15">
        <v>1</v>
      </c>
      <c r="AQ85" s="15">
        <v>1</v>
      </c>
      <c r="AR85" s="15">
        <v>0</v>
      </c>
      <c r="AS85" s="15">
        <v>0</v>
      </c>
      <c r="AT85" s="15">
        <v>0</v>
      </c>
      <c r="AU85" s="15">
        <v>1</v>
      </c>
      <c r="AV85" s="15">
        <v>0</v>
      </c>
      <c r="AW85" s="15">
        <v>0</v>
      </c>
      <c r="AX85" s="15">
        <v>0</v>
      </c>
      <c r="AY85" s="15">
        <v>0</v>
      </c>
      <c r="AZ85" s="15">
        <v>0</v>
      </c>
      <c r="BA85" s="15">
        <v>0</v>
      </c>
      <c r="BB85" s="15">
        <v>0</v>
      </c>
      <c r="BC85" s="15">
        <v>0</v>
      </c>
      <c r="BD85" s="15">
        <v>0</v>
      </c>
    </row>
    <row r="86" spans="1:56" x14ac:dyDescent="0.35">
      <c r="A86" s="14" t="s">
        <v>78</v>
      </c>
      <c r="B86" s="15">
        <v>1</v>
      </c>
      <c r="C86" s="16">
        <v>12.433171702101205</v>
      </c>
      <c r="D86" s="15">
        <v>0</v>
      </c>
      <c r="E86" s="15">
        <v>0</v>
      </c>
      <c r="F86" s="15">
        <v>0</v>
      </c>
      <c r="G86" s="15">
        <v>0</v>
      </c>
      <c r="H86" s="15">
        <v>0</v>
      </c>
      <c r="I86" s="15">
        <v>0</v>
      </c>
      <c r="J86" s="15">
        <v>0</v>
      </c>
      <c r="K86" s="15">
        <v>1</v>
      </c>
      <c r="L86" s="15">
        <v>0</v>
      </c>
      <c r="M86" s="15">
        <v>0</v>
      </c>
      <c r="N86" s="15">
        <v>0</v>
      </c>
      <c r="O86" s="15">
        <v>0</v>
      </c>
      <c r="P86" s="15">
        <v>0</v>
      </c>
      <c r="Q86" s="15">
        <v>0</v>
      </c>
      <c r="R86" s="15">
        <v>0</v>
      </c>
      <c r="S86" s="15">
        <v>0</v>
      </c>
      <c r="T86" s="15">
        <v>0</v>
      </c>
      <c r="U86" s="15">
        <v>0</v>
      </c>
      <c r="V86" s="15">
        <v>0</v>
      </c>
      <c r="W86" s="15">
        <v>0</v>
      </c>
      <c r="X86" s="15">
        <v>0</v>
      </c>
      <c r="Y86" s="15">
        <v>0</v>
      </c>
      <c r="Z86" s="15">
        <v>0</v>
      </c>
      <c r="AA86" s="15">
        <v>0</v>
      </c>
      <c r="AB86" s="15">
        <v>0</v>
      </c>
      <c r="AC86" s="15">
        <v>0</v>
      </c>
      <c r="AD86" s="15">
        <v>0</v>
      </c>
      <c r="AE86" s="15">
        <v>0</v>
      </c>
      <c r="AF86" s="15">
        <v>0</v>
      </c>
      <c r="AG86" s="15">
        <v>0</v>
      </c>
      <c r="AH86" s="15">
        <v>0</v>
      </c>
      <c r="AI86" s="15">
        <v>0</v>
      </c>
      <c r="AJ86" s="15">
        <v>0</v>
      </c>
      <c r="AK86" s="15">
        <v>0</v>
      </c>
      <c r="AL86" s="15">
        <v>0</v>
      </c>
      <c r="AM86" s="15">
        <v>0</v>
      </c>
      <c r="AN86" s="15">
        <v>0</v>
      </c>
      <c r="AO86" s="15">
        <v>0</v>
      </c>
      <c r="AP86" s="15">
        <v>0</v>
      </c>
      <c r="AQ86" s="15">
        <v>0</v>
      </c>
      <c r="AR86" s="15">
        <v>0</v>
      </c>
      <c r="AS86" s="15">
        <v>0</v>
      </c>
      <c r="AT86" s="15">
        <v>0</v>
      </c>
      <c r="AU86" s="15">
        <v>0</v>
      </c>
      <c r="AV86" s="15">
        <v>0</v>
      </c>
      <c r="AW86" s="15">
        <v>0</v>
      </c>
      <c r="AX86" s="15">
        <v>0</v>
      </c>
      <c r="AY86" s="15">
        <v>0</v>
      </c>
      <c r="AZ86" s="15">
        <v>0</v>
      </c>
      <c r="BA86" s="15">
        <v>0</v>
      </c>
      <c r="BB86" s="15">
        <v>0</v>
      </c>
      <c r="BC86" s="15">
        <v>0</v>
      </c>
      <c r="BD86" s="15">
        <v>0</v>
      </c>
    </row>
    <row r="87" spans="1:56" x14ac:dyDescent="0.35">
      <c r="A87" s="14"/>
      <c r="B87" s="12"/>
      <c r="C87" s="13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</row>
    <row r="88" spans="1:56" x14ac:dyDescent="0.35">
      <c r="A88" s="1" t="s">
        <v>79</v>
      </c>
      <c r="B88" s="10">
        <v>583</v>
      </c>
      <c r="C88" s="11">
        <v>115.51050491761703</v>
      </c>
      <c r="D88" s="10">
        <v>7</v>
      </c>
      <c r="E88" s="10">
        <v>6</v>
      </c>
      <c r="F88" s="10">
        <v>6</v>
      </c>
      <c r="G88" s="10">
        <v>8</v>
      </c>
      <c r="H88" s="10">
        <v>5</v>
      </c>
      <c r="I88" s="10">
        <v>5</v>
      </c>
      <c r="J88" s="10">
        <v>6</v>
      </c>
      <c r="K88" s="10">
        <v>16</v>
      </c>
      <c r="L88" s="10">
        <v>2</v>
      </c>
      <c r="M88" s="10">
        <v>10</v>
      </c>
      <c r="N88" s="10">
        <v>10</v>
      </c>
      <c r="O88" s="10">
        <v>9</v>
      </c>
      <c r="P88" s="10">
        <v>3</v>
      </c>
      <c r="Q88" s="10">
        <v>8</v>
      </c>
      <c r="R88" s="10">
        <v>11</v>
      </c>
      <c r="S88" s="10">
        <v>4</v>
      </c>
      <c r="T88" s="10">
        <v>6</v>
      </c>
      <c r="U88" s="10">
        <v>6</v>
      </c>
      <c r="V88" s="10">
        <v>8</v>
      </c>
      <c r="W88" s="10">
        <v>9</v>
      </c>
      <c r="X88" s="10">
        <v>8</v>
      </c>
      <c r="Y88" s="10">
        <v>4</v>
      </c>
      <c r="Z88" s="10">
        <v>8</v>
      </c>
      <c r="AA88" s="10">
        <v>17</v>
      </c>
      <c r="AB88" s="10">
        <v>17</v>
      </c>
      <c r="AC88" s="10">
        <v>16</v>
      </c>
      <c r="AD88" s="10">
        <v>19</v>
      </c>
      <c r="AE88" s="10">
        <v>32</v>
      </c>
      <c r="AF88" s="10">
        <v>27</v>
      </c>
      <c r="AG88" s="10">
        <v>34</v>
      </c>
      <c r="AH88" s="10">
        <v>42</v>
      </c>
      <c r="AI88" s="10">
        <v>30</v>
      </c>
      <c r="AJ88" s="10">
        <v>22</v>
      </c>
      <c r="AK88" s="10">
        <v>17</v>
      </c>
      <c r="AL88" s="10">
        <v>24</v>
      </c>
      <c r="AM88" s="10">
        <v>10</v>
      </c>
      <c r="AN88" s="10">
        <v>9</v>
      </c>
      <c r="AO88" s="10">
        <v>12</v>
      </c>
      <c r="AP88" s="10">
        <v>2</v>
      </c>
      <c r="AQ88" s="10">
        <v>9</v>
      </c>
      <c r="AR88" s="10">
        <v>9</v>
      </c>
      <c r="AS88" s="10">
        <v>1</v>
      </c>
      <c r="AT88" s="10">
        <v>7</v>
      </c>
      <c r="AU88" s="10">
        <v>4</v>
      </c>
      <c r="AV88" s="10">
        <v>6</v>
      </c>
      <c r="AW88" s="10">
        <v>14</v>
      </c>
      <c r="AX88" s="10">
        <v>2</v>
      </c>
      <c r="AY88" s="10">
        <v>0</v>
      </c>
      <c r="AZ88" s="10">
        <v>4</v>
      </c>
      <c r="BA88" s="10">
        <v>12</v>
      </c>
      <c r="BB88" s="10">
        <v>11</v>
      </c>
      <c r="BC88" s="10">
        <v>9</v>
      </c>
      <c r="BD88" s="10">
        <v>0</v>
      </c>
    </row>
    <row r="89" spans="1:56" x14ac:dyDescent="0.35">
      <c r="A89" s="14" t="s">
        <v>80</v>
      </c>
      <c r="B89" s="15">
        <v>106</v>
      </c>
      <c r="C89" s="16">
        <v>74.642630800647837</v>
      </c>
      <c r="D89" s="15">
        <v>4</v>
      </c>
      <c r="E89" s="15">
        <v>1</v>
      </c>
      <c r="F89" s="15">
        <v>4</v>
      </c>
      <c r="G89" s="15">
        <v>3</v>
      </c>
      <c r="H89" s="15">
        <v>1</v>
      </c>
      <c r="I89" s="15">
        <v>0</v>
      </c>
      <c r="J89" s="15">
        <v>1</v>
      </c>
      <c r="K89" s="15">
        <v>3</v>
      </c>
      <c r="L89" s="15">
        <v>0</v>
      </c>
      <c r="M89" s="15">
        <v>1</v>
      </c>
      <c r="N89" s="15">
        <v>1</v>
      </c>
      <c r="O89" s="15">
        <v>1</v>
      </c>
      <c r="P89" s="15">
        <v>0</v>
      </c>
      <c r="Q89" s="15">
        <v>0</v>
      </c>
      <c r="R89" s="15">
        <v>3</v>
      </c>
      <c r="S89" s="15">
        <v>0</v>
      </c>
      <c r="T89" s="15">
        <v>1</v>
      </c>
      <c r="U89" s="15">
        <v>0</v>
      </c>
      <c r="V89" s="15">
        <v>0</v>
      </c>
      <c r="W89" s="15">
        <v>1</v>
      </c>
      <c r="X89" s="15">
        <v>2</v>
      </c>
      <c r="Y89" s="15">
        <v>1</v>
      </c>
      <c r="Z89" s="15">
        <v>2</v>
      </c>
      <c r="AA89" s="15">
        <v>2</v>
      </c>
      <c r="AB89" s="15">
        <v>1</v>
      </c>
      <c r="AC89" s="15">
        <v>0</v>
      </c>
      <c r="AD89" s="15">
        <v>2</v>
      </c>
      <c r="AE89" s="15">
        <v>2</v>
      </c>
      <c r="AF89" s="15">
        <v>1</v>
      </c>
      <c r="AG89" s="15">
        <v>2</v>
      </c>
      <c r="AH89" s="15">
        <v>1</v>
      </c>
      <c r="AI89" s="15">
        <v>2</v>
      </c>
      <c r="AJ89" s="15">
        <v>2</v>
      </c>
      <c r="AK89" s="15">
        <v>5</v>
      </c>
      <c r="AL89" s="15">
        <v>4</v>
      </c>
      <c r="AM89" s="15">
        <v>2</v>
      </c>
      <c r="AN89" s="15">
        <v>2</v>
      </c>
      <c r="AO89" s="15">
        <v>5</v>
      </c>
      <c r="AP89" s="15">
        <v>0</v>
      </c>
      <c r="AQ89" s="15">
        <v>4</v>
      </c>
      <c r="AR89" s="15">
        <v>6</v>
      </c>
      <c r="AS89" s="15">
        <v>0</v>
      </c>
      <c r="AT89" s="15">
        <v>4</v>
      </c>
      <c r="AU89" s="15">
        <v>2</v>
      </c>
      <c r="AV89" s="15">
        <v>3</v>
      </c>
      <c r="AW89" s="15">
        <v>8</v>
      </c>
      <c r="AX89" s="15">
        <v>0</v>
      </c>
      <c r="AY89" s="15">
        <v>0</v>
      </c>
      <c r="AZ89" s="15">
        <v>1</v>
      </c>
      <c r="BA89" s="15">
        <v>7</v>
      </c>
      <c r="BB89" s="15">
        <v>4</v>
      </c>
      <c r="BC89" s="15">
        <v>4</v>
      </c>
      <c r="BD89" s="15">
        <v>0</v>
      </c>
    </row>
    <row r="90" spans="1:56" x14ac:dyDescent="0.35">
      <c r="A90" s="14" t="s">
        <v>81</v>
      </c>
      <c r="B90" s="15">
        <v>26</v>
      </c>
      <c r="C90" s="16">
        <v>67.159167226326403</v>
      </c>
      <c r="D90" s="15">
        <v>0</v>
      </c>
      <c r="E90" s="15">
        <v>0</v>
      </c>
      <c r="F90" s="15">
        <v>0</v>
      </c>
      <c r="G90" s="15">
        <v>1</v>
      </c>
      <c r="H90" s="15">
        <v>1</v>
      </c>
      <c r="I90" s="15">
        <v>1</v>
      </c>
      <c r="J90" s="15">
        <v>1</v>
      </c>
      <c r="K90" s="15">
        <v>1</v>
      </c>
      <c r="L90" s="15">
        <v>0</v>
      </c>
      <c r="M90" s="15">
        <v>0</v>
      </c>
      <c r="N90" s="15">
        <v>0</v>
      </c>
      <c r="O90" s="15">
        <v>1</v>
      </c>
      <c r="P90" s="15">
        <v>0</v>
      </c>
      <c r="Q90" s="15">
        <v>1</v>
      </c>
      <c r="R90" s="15">
        <v>0</v>
      </c>
      <c r="S90" s="15">
        <v>0</v>
      </c>
      <c r="T90" s="15">
        <v>0</v>
      </c>
      <c r="U90" s="15">
        <v>1</v>
      </c>
      <c r="V90" s="15">
        <v>0</v>
      </c>
      <c r="W90" s="15">
        <v>0</v>
      </c>
      <c r="X90" s="15">
        <v>0</v>
      </c>
      <c r="Y90" s="15">
        <v>0</v>
      </c>
      <c r="Z90" s="15">
        <v>0</v>
      </c>
      <c r="AA90" s="15">
        <v>0</v>
      </c>
      <c r="AB90" s="15">
        <v>1</v>
      </c>
      <c r="AC90" s="15">
        <v>1</v>
      </c>
      <c r="AD90" s="15">
        <v>0</v>
      </c>
      <c r="AE90" s="15">
        <v>1</v>
      </c>
      <c r="AF90" s="15">
        <v>1</v>
      </c>
      <c r="AG90" s="15">
        <v>0</v>
      </c>
      <c r="AH90" s="15">
        <v>1</v>
      </c>
      <c r="AI90" s="15">
        <v>1</v>
      </c>
      <c r="AJ90" s="15">
        <v>1</v>
      </c>
      <c r="AK90" s="15">
        <v>2</v>
      </c>
      <c r="AL90" s="15">
        <v>1</v>
      </c>
      <c r="AM90" s="15">
        <v>1</v>
      </c>
      <c r="AN90" s="15">
        <v>1</v>
      </c>
      <c r="AO90" s="15">
        <v>1</v>
      </c>
      <c r="AP90" s="15">
        <v>0</v>
      </c>
      <c r="AQ90" s="15">
        <v>2</v>
      </c>
      <c r="AR90" s="15">
        <v>0</v>
      </c>
      <c r="AS90" s="15">
        <v>1</v>
      </c>
      <c r="AT90" s="15">
        <v>0</v>
      </c>
      <c r="AU90" s="15">
        <v>0</v>
      </c>
      <c r="AV90" s="15">
        <v>0</v>
      </c>
      <c r="AW90" s="15">
        <v>0</v>
      </c>
      <c r="AX90" s="15">
        <v>0</v>
      </c>
      <c r="AY90" s="15">
        <v>0</v>
      </c>
      <c r="AZ90" s="15">
        <v>0</v>
      </c>
      <c r="BA90" s="15">
        <v>1</v>
      </c>
      <c r="BB90" s="15">
        <v>0</v>
      </c>
      <c r="BC90" s="15">
        <v>1</v>
      </c>
      <c r="BD90" s="15">
        <v>0</v>
      </c>
    </row>
    <row r="91" spans="1:56" x14ac:dyDescent="0.35">
      <c r="A91" s="14" t="s">
        <v>82</v>
      </c>
      <c r="B91" s="15">
        <v>79</v>
      </c>
      <c r="C91" s="16">
        <v>145.99619301066326</v>
      </c>
      <c r="D91" s="15">
        <v>1</v>
      </c>
      <c r="E91" s="15">
        <v>4</v>
      </c>
      <c r="F91" s="15">
        <v>0</v>
      </c>
      <c r="G91" s="15">
        <v>1</v>
      </c>
      <c r="H91" s="15">
        <v>1</v>
      </c>
      <c r="I91" s="15">
        <v>1</v>
      </c>
      <c r="J91" s="15">
        <v>1</v>
      </c>
      <c r="K91" s="15">
        <v>8</v>
      </c>
      <c r="L91" s="15">
        <v>2</v>
      </c>
      <c r="M91" s="15">
        <v>4</v>
      </c>
      <c r="N91" s="15">
        <v>2</v>
      </c>
      <c r="O91" s="15">
        <v>2</v>
      </c>
      <c r="P91" s="15">
        <v>0</v>
      </c>
      <c r="Q91" s="15">
        <v>0</v>
      </c>
      <c r="R91" s="15">
        <v>0</v>
      </c>
      <c r="S91" s="15">
        <v>0</v>
      </c>
      <c r="T91" s="15">
        <v>0</v>
      </c>
      <c r="U91" s="15">
        <v>1</v>
      </c>
      <c r="V91" s="15">
        <v>2</v>
      </c>
      <c r="W91" s="15">
        <v>0</v>
      </c>
      <c r="X91" s="15">
        <v>0</v>
      </c>
      <c r="Y91" s="15">
        <v>2</v>
      </c>
      <c r="Z91" s="15">
        <v>4</v>
      </c>
      <c r="AA91" s="15">
        <v>1</v>
      </c>
      <c r="AB91" s="15">
        <v>0</v>
      </c>
      <c r="AC91" s="15">
        <v>5</v>
      </c>
      <c r="AD91" s="15">
        <v>2</v>
      </c>
      <c r="AE91" s="15">
        <v>3</v>
      </c>
      <c r="AF91" s="15">
        <v>3</v>
      </c>
      <c r="AG91" s="15">
        <v>6</v>
      </c>
      <c r="AH91" s="15">
        <v>4</v>
      </c>
      <c r="AI91" s="15">
        <v>2</v>
      </c>
      <c r="AJ91" s="15">
        <v>1</v>
      </c>
      <c r="AK91" s="15">
        <v>2</v>
      </c>
      <c r="AL91" s="15">
        <v>2</v>
      </c>
      <c r="AM91" s="15">
        <v>1</v>
      </c>
      <c r="AN91" s="15">
        <v>5</v>
      </c>
      <c r="AO91" s="15">
        <v>1</v>
      </c>
      <c r="AP91" s="15">
        <v>0</v>
      </c>
      <c r="AQ91" s="15">
        <v>0</v>
      </c>
      <c r="AR91" s="15">
        <v>1</v>
      </c>
      <c r="AS91" s="15">
        <v>0</v>
      </c>
      <c r="AT91" s="15">
        <v>1</v>
      </c>
      <c r="AU91" s="15">
        <v>0</v>
      </c>
      <c r="AV91" s="15">
        <v>0</v>
      </c>
      <c r="AW91" s="15">
        <v>1</v>
      </c>
      <c r="AX91" s="15">
        <v>0</v>
      </c>
      <c r="AY91" s="15">
        <v>0</v>
      </c>
      <c r="AZ91" s="15">
        <v>0</v>
      </c>
      <c r="BA91" s="15">
        <v>0</v>
      </c>
      <c r="BB91" s="15">
        <v>0</v>
      </c>
      <c r="BC91" s="15">
        <v>2</v>
      </c>
      <c r="BD91" s="15">
        <v>0</v>
      </c>
    </row>
    <row r="92" spans="1:56" x14ac:dyDescent="0.35">
      <c r="A92" s="14" t="s">
        <v>83</v>
      </c>
      <c r="B92" s="15">
        <v>2</v>
      </c>
      <c r="C92" s="16">
        <v>13.83508577753182</v>
      </c>
      <c r="D92" s="15">
        <v>0</v>
      </c>
      <c r="E92" s="15">
        <v>0</v>
      </c>
      <c r="F92" s="15">
        <v>0</v>
      </c>
      <c r="G92" s="15">
        <v>0</v>
      </c>
      <c r="H92" s="15">
        <v>0</v>
      </c>
      <c r="I92" s="15">
        <v>0</v>
      </c>
      <c r="J92" s="15">
        <v>0</v>
      </c>
      <c r="K92" s="15">
        <v>0</v>
      </c>
      <c r="L92" s="15">
        <v>0</v>
      </c>
      <c r="M92" s="15">
        <v>0</v>
      </c>
      <c r="N92" s="15">
        <v>0</v>
      </c>
      <c r="O92" s="15">
        <v>0</v>
      </c>
      <c r="P92" s="15">
        <v>0</v>
      </c>
      <c r="Q92" s="15">
        <v>0</v>
      </c>
      <c r="R92" s="15">
        <v>0</v>
      </c>
      <c r="S92" s="15">
        <v>0</v>
      </c>
      <c r="T92" s="15">
        <v>0</v>
      </c>
      <c r="U92" s="15">
        <v>0</v>
      </c>
      <c r="V92" s="15">
        <v>0</v>
      </c>
      <c r="W92" s="15">
        <v>0</v>
      </c>
      <c r="X92" s="15">
        <v>0</v>
      </c>
      <c r="Y92" s="15">
        <v>0</v>
      </c>
      <c r="Z92" s="15">
        <v>0</v>
      </c>
      <c r="AA92" s="15">
        <v>0</v>
      </c>
      <c r="AB92" s="15">
        <v>0</v>
      </c>
      <c r="AC92" s="15">
        <v>0</v>
      </c>
      <c r="AD92" s="15">
        <v>0</v>
      </c>
      <c r="AE92" s="15">
        <v>0</v>
      </c>
      <c r="AF92" s="15">
        <v>0</v>
      </c>
      <c r="AG92" s="15">
        <v>0</v>
      </c>
      <c r="AH92" s="15">
        <v>0</v>
      </c>
      <c r="AI92" s="15">
        <v>0</v>
      </c>
      <c r="AJ92" s="15">
        <v>0</v>
      </c>
      <c r="AK92" s="15">
        <v>0</v>
      </c>
      <c r="AL92" s="15">
        <v>0</v>
      </c>
      <c r="AM92" s="15">
        <v>0</v>
      </c>
      <c r="AN92" s="15">
        <v>0</v>
      </c>
      <c r="AO92" s="15">
        <v>0</v>
      </c>
      <c r="AP92" s="15">
        <v>0</v>
      </c>
      <c r="AQ92" s="15">
        <v>0</v>
      </c>
      <c r="AR92" s="15">
        <v>0</v>
      </c>
      <c r="AS92" s="15">
        <v>0</v>
      </c>
      <c r="AT92" s="15">
        <v>0</v>
      </c>
      <c r="AU92" s="15">
        <v>0</v>
      </c>
      <c r="AV92" s="15">
        <v>0</v>
      </c>
      <c r="AW92" s="15">
        <v>0</v>
      </c>
      <c r="AX92" s="15">
        <v>0</v>
      </c>
      <c r="AY92" s="15">
        <v>0</v>
      </c>
      <c r="AZ92" s="15">
        <v>1</v>
      </c>
      <c r="BA92" s="15">
        <v>0</v>
      </c>
      <c r="BB92" s="15">
        <v>0</v>
      </c>
      <c r="BC92" s="15">
        <v>1</v>
      </c>
      <c r="BD92" s="15">
        <v>0</v>
      </c>
    </row>
    <row r="93" spans="1:56" x14ac:dyDescent="0.35">
      <c r="A93" s="14" t="s">
        <v>84</v>
      </c>
      <c r="B93" s="15">
        <v>256</v>
      </c>
      <c r="C93" s="16">
        <v>818.67604732970904</v>
      </c>
      <c r="D93" s="15">
        <v>0</v>
      </c>
      <c r="E93" s="15">
        <v>1</v>
      </c>
      <c r="F93" s="15">
        <v>0</v>
      </c>
      <c r="G93" s="15">
        <v>2</v>
      </c>
      <c r="H93" s="15">
        <v>1</v>
      </c>
      <c r="I93" s="15">
        <v>0</v>
      </c>
      <c r="J93" s="15">
        <v>2</v>
      </c>
      <c r="K93" s="15">
        <v>0</v>
      </c>
      <c r="L93" s="15">
        <v>0</v>
      </c>
      <c r="M93" s="15">
        <v>5</v>
      </c>
      <c r="N93" s="15">
        <v>2</v>
      </c>
      <c r="O93" s="15">
        <v>1</v>
      </c>
      <c r="P93" s="15">
        <v>2</v>
      </c>
      <c r="Q93" s="15">
        <v>2</v>
      </c>
      <c r="R93" s="15">
        <v>1</v>
      </c>
      <c r="S93" s="15">
        <v>2</v>
      </c>
      <c r="T93" s="15">
        <v>0</v>
      </c>
      <c r="U93" s="15">
        <v>3</v>
      </c>
      <c r="V93" s="15">
        <v>0</v>
      </c>
      <c r="W93" s="15">
        <v>0</v>
      </c>
      <c r="X93" s="15">
        <v>3</v>
      </c>
      <c r="Y93" s="15">
        <v>1</v>
      </c>
      <c r="Z93" s="15">
        <v>1</v>
      </c>
      <c r="AA93" s="15">
        <v>14</v>
      </c>
      <c r="AB93" s="15">
        <v>14</v>
      </c>
      <c r="AC93" s="15">
        <v>8</v>
      </c>
      <c r="AD93" s="15">
        <v>13</v>
      </c>
      <c r="AE93" s="15">
        <v>22</v>
      </c>
      <c r="AF93" s="15">
        <v>21</v>
      </c>
      <c r="AG93" s="15">
        <v>24</v>
      </c>
      <c r="AH93" s="15">
        <v>35</v>
      </c>
      <c r="AI93" s="15">
        <v>23</v>
      </c>
      <c r="AJ93" s="15">
        <v>18</v>
      </c>
      <c r="AK93" s="15">
        <v>8</v>
      </c>
      <c r="AL93" s="15">
        <v>16</v>
      </c>
      <c r="AM93" s="15">
        <v>4</v>
      </c>
      <c r="AN93" s="15">
        <v>0</v>
      </c>
      <c r="AO93" s="15">
        <v>2</v>
      </c>
      <c r="AP93" s="15">
        <v>1</v>
      </c>
      <c r="AQ93" s="15">
        <v>2</v>
      </c>
      <c r="AR93" s="15">
        <v>0</v>
      </c>
      <c r="AS93" s="15">
        <v>0</v>
      </c>
      <c r="AT93" s="15">
        <v>1</v>
      </c>
      <c r="AU93" s="15">
        <v>0</v>
      </c>
      <c r="AV93" s="15">
        <v>0</v>
      </c>
      <c r="AW93" s="15">
        <v>0</v>
      </c>
      <c r="AX93" s="15">
        <v>1</v>
      </c>
      <c r="AY93" s="15">
        <v>0</v>
      </c>
      <c r="AZ93" s="15">
        <v>0</v>
      </c>
      <c r="BA93" s="15">
        <v>0</v>
      </c>
      <c r="BB93" s="15">
        <v>0</v>
      </c>
      <c r="BC93" s="15">
        <v>0</v>
      </c>
      <c r="BD93" s="15">
        <v>0</v>
      </c>
    </row>
    <row r="94" spans="1:56" x14ac:dyDescent="0.35">
      <c r="A94" s="14" t="s">
        <v>85</v>
      </c>
      <c r="B94" s="15">
        <v>5</v>
      </c>
      <c r="C94" s="16">
        <v>14.904018123286036</v>
      </c>
      <c r="D94" s="15">
        <v>1</v>
      </c>
      <c r="E94" s="15">
        <v>0</v>
      </c>
      <c r="F94" s="15">
        <v>1</v>
      </c>
      <c r="G94" s="15">
        <v>0</v>
      </c>
      <c r="H94" s="15">
        <v>0</v>
      </c>
      <c r="I94" s="15">
        <v>0</v>
      </c>
      <c r="J94" s="15">
        <v>0</v>
      </c>
      <c r="K94" s="15">
        <v>0</v>
      </c>
      <c r="L94" s="15">
        <v>0</v>
      </c>
      <c r="M94" s="15">
        <v>0</v>
      </c>
      <c r="N94" s="15">
        <v>0</v>
      </c>
      <c r="O94" s="15">
        <v>0</v>
      </c>
      <c r="P94" s="15">
        <v>0</v>
      </c>
      <c r="Q94" s="15">
        <v>0</v>
      </c>
      <c r="R94" s="15">
        <v>0</v>
      </c>
      <c r="S94" s="15">
        <v>0</v>
      </c>
      <c r="T94" s="15">
        <v>0</v>
      </c>
      <c r="U94" s="15">
        <v>0</v>
      </c>
      <c r="V94" s="15">
        <v>1</v>
      </c>
      <c r="W94" s="15">
        <v>0</v>
      </c>
      <c r="X94" s="15">
        <v>0</v>
      </c>
      <c r="Y94" s="15">
        <v>0</v>
      </c>
      <c r="Z94" s="15">
        <v>0</v>
      </c>
      <c r="AA94" s="15">
        <v>0</v>
      </c>
      <c r="AB94" s="15">
        <v>0</v>
      </c>
      <c r="AC94" s="15">
        <v>0</v>
      </c>
      <c r="AD94" s="15">
        <v>0</v>
      </c>
      <c r="AE94" s="15">
        <v>1</v>
      </c>
      <c r="AF94" s="15">
        <v>0</v>
      </c>
      <c r="AG94" s="15">
        <v>0</v>
      </c>
      <c r="AH94" s="15">
        <v>0</v>
      </c>
      <c r="AI94" s="15">
        <v>0</v>
      </c>
      <c r="AJ94" s="15">
        <v>0</v>
      </c>
      <c r="AK94" s="15">
        <v>0</v>
      </c>
      <c r="AL94" s="15">
        <v>0</v>
      </c>
      <c r="AM94" s="15">
        <v>0</v>
      </c>
      <c r="AN94" s="15">
        <v>0</v>
      </c>
      <c r="AO94" s="15">
        <v>0</v>
      </c>
      <c r="AP94" s="15">
        <v>0</v>
      </c>
      <c r="AQ94" s="15">
        <v>0</v>
      </c>
      <c r="AR94" s="15">
        <v>1</v>
      </c>
      <c r="AS94" s="15">
        <v>0</v>
      </c>
      <c r="AT94" s="15">
        <v>0</v>
      </c>
      <c r="AU94" s="15">
        <v>0</v>
      </c>
      <c r="AV94" s="15">
        <v>0</v>
      </c>
      <c r="AW94" s="15">
        <v>0</v>
      </c>
      <c r="AX94" s="15">
        <v>0</v>
      </c>
      <c r="AY94" s="15">
        <v>0</v>
      </c>
      <c r="AZ94" s="15">
        <v>0</v>
      </c>
      <c r="BA94" s="15">
        <v>0</v>
      </c>
      <c r="BB94" s="15">
        <v>0</v>
      </c>
      <c r="BC94" s="15">
        <v>0</v>
      </c>
      <c r="BD94" s="15">
        <v>0</v>
      </c>
    </row>
    <row r="95" spans="1:56" x14ac:dyDescent="0.35">
      <c r="A95" s="14" t="s">
        <v>86</v>
      </c>
      <c r="B95" s="15">
        <v>4</v>
      </c>
      <c r="C95" s="16">
        <v>8.6867765543900788</v>
      </c>
      <c r="D95" s="15">
        <v>0</v>
      </c>
      <c r="E95" s="15">
        <v>0</v>
      </c>
      <c r="F95" s="15">
        <v>0</v>
      </c>
      <c r="G95" s="15">
        <v>0</v>
      </c>
      <c r="H95" s="15">
        <v>0</v>
      </c>
      <c r="I95" s="15">
        <v>3</v>
      </c>
      <c r="J95" s="15">
        <v>0</v>
      </c>
      <c r="K95" s="15">
        <v>0</v>
      </c>
      <c r="L95" s="15">
        <v>0</v>
      </c>
      <c r="M95" s="15">
        <v>0</v>
      </c>
      <c r="N95" s="15">
        <v>0</v>
      </c>
      <c r="O95" s="15">
        <v>0</v>
      </c>
      <c r="P95" s="15">
        <v>0</v>
      </c>
      <c r="Q95" s="15">
        <v>0</v>
      </c>
      <c r="R95" s="15">
        <v>0</v>
      </c>
      <c r="S95" s="15">
        <v>0</v>
      </c>
      <c r="T95" s="15">
        <v>0</v>
      </c>
      <c r="U95" s="15">
        <v>0</v>
      </c>
      <c r="V95" s="15">
        <v>0</v>
      </c>
      <c r="W95" s="15">
        <v>0</v>
      </c>
      <c r="X95" s="15">
        <v>0</v>
      </c>
      <c r="Y95" s="15">
        <v>0</v>
      </c>
      <c r="Z95" s="15">
        <v>0</v>
      </c>
      <c r="AA95" s="15">
        <v>0</v>
      </c>
      <c r="AB95" s="15">
        <v>0</v>
      </c>
      <c r="AC95" s="15">
        <v>0</v>
      </c>
      <c r="AD95" s="15">
        <v>0</v>
      </c>
      <c r="AE95" s="15">
        <v>0</v>
      </c>
      <c r="AF95" s="15">
        <v>0</v>
      </c>
      <c r="AG95" s="15">
        <v>0</v>
      </c>
      <c r="AH95" s="15">
        <v>0</v>
      </c>
      <c r="AI95" s="15">
        <v>0</v>
      </c>
      <c r="AJ95" s="15">
        <v>0</v>
      </c>
      <c r="AK95" s="15">
        <v>0</v>
      </c>
      <c r="AL95" s="15">
        <v>0</v>
      </c>
      <c r="AM95" s="15">
        <v>0</v>
      </c>
      <c r="AN95" s="15">
        <v>0</v>
      </c>
      <c r="AO95" s="15">
        <v>0</v>
      </c>
      <c r="AP95" s="15">
        <v>0</v>
      </c>
      <c r="AQ95" s="15">
        <v>0</v>
      </c>
      <c r="AR95" s="15">
        <v>0</v>
      </c>
      <c r="AS95" s="15">
        <v>0</v>
      </c>
      <c r="AT95" s="15">
        <v>0</v>
      </c>
      <c r="AU95" s="15">
        <v>0</v>
      </c>
      <c r="AV95" s="15">
        <v>0</v>
      </c>
      <c r="AW95" s="15">
        <v>0</v>
      </c>
      <c r="AX95" s="15">
        <v>0</v>
      </c>
      <c r="AY95" s="15">
        <v>0</v>
      </c>
      <c r="AZ95" s="15">
        <v>1</v>
      </c>
      <c r="BA95" s="15">
        <v>0</v>
      </c>
      <c r="BB95" s="15">
        <v>0</v>
      </c>
      <c r="BC95" s="15">
        <v>0</v>
      </c>
      <c r="BD95" s="15">
        <v>0</v>
      </c>
    </row>
    <row r="96" spans="1:56" x14ac:dyDescent="0.35">
      <c r="A96" s="14" t="s">
        <v>87</v>
      </c>
      <c r="B96" s="15">
        <v>4</v>
      </c>
      <c r="C96" s="16">
        <v>9.0307723568058158</v>
      </c>
      <c r="D96" s="15">
        <v>0</v>
      </c>
      <c r="E96" s="15">
        <v>0</v>
      </c>
      <c r="F96" s="15">
        <v>0</v>
      </c>
      <c r="G96" s="15">
        <v>0</v>
      </c>
      <c r="H96" s="15">
        <v>0</v>
      </c>
      <c r="I96" s="15">
        <v>0</v>
      </c>
      <c r="J96" s="15">
        <v>0</v>
      </c>
      <c r="K96" s="15">
        <v>2</v>
      </c>
      <c r="L96" s="15">
        <v>0</v>
      </c>
      <c r="M96" s="15">
        <v>0</v>
      </c>
      <c r="N96" s="15">
        <v>0</v>
      </c>
      <c r="O96" s="15">
        <v>0</v>
      </c>
      <c r="P96" s="15">
        <v>0</v>
      </c>
      <c r="Q96" s="15">
        <v>0</v>
      </c>
      <c r="R96" s="15">
        <v>0</v>
      </c>
      <c r="S96" s="15">
        <v>0</v>
      </c>
      <c r="T96" s="15">
        <v>0</v>
      </c>
      <c r="U96" s="15">
        <v>0</v>
      </c>
      <c r="V96" s="15">
        <v>0</v>
      </c>
      <c r="W96" s="15">
        <v>1</v>
      </c>
      <c r="X96" s="15">
        <v>0</v>
      </c>
      <c r="Y96" s="15">
        <v>0</v>
      </c>
      <c r="Z96" s="15">
        <v>0</v>
      </c>
      <c r="AA96" s="15">
        <v>0</v>
      </c>
      <c r="AB96" s="15">
        <v>0</v>
      </c>
      <c r="AC96" s="15">
        <v>0</v>
      </c>
      <c r="AD96" s="15">
        <v>0</v>
      </c>
      <c r="AE96" s="15">
        <v>0</v>
      </c>
      <c r="AF96" s="15">
        <v>0</v>
      </c>
      <c r="AG96" s="15">
        <v>0</v>
      </c>
      <c r="AH96" s="15">
        <v>0</v>
      </c>
      <c r="AI96" s="15">
        <v>0</v>
      </c>
      <c r="AJ96" s="15">
        <v>0</v>
      </c>
      <c r="AK96" s="15">
        <v>0</v>
      </c>
      <c r="AL96" s="15">
        <v>0</v>
      </c>
      <c r="AM96" s="15">
        <v>0</v>
      </c>
      <c r="AN96" s="15">
        <v>0</v>
      </c>
      <c r="AO96" s="15">
        <v>0</v>
      </c>
      <c r="AP96" s="15">
        <v>0</v>
      </c>
      <c r="AQ96" s="15">
        <v>0</v>
      </c>
      <c r="AR96" s="15">
        <v>0</v>
      </c>
      <c r="AS96" s="15">
        <v>0</v>
      </c>
      <c r="AT96" s="15">
        <v>0</v>
      </c>
      <c r="AU96" s="15">
        <v>0</v>
      </c>
      <c r="AV96" s="15">
        <v>0</v>
      </c>
      <c r="AW96" s="15">
        <v>0</v>
      </c>
      <c r="AX96" s="15">
        <v>1</v>
      </c>
      <c r="AY96" s="15">
        <v>0</v>
      </c>
      <c r="AZ96" s="15">
        <v>0</v>
      </c>
      <c r="BA96" s="15">
        <v>0</v>
      </c>
      <c r="BB96" s="15">
        <v>0</v>
      </c>
      <c r="BC96" s="15">
        <v>0</v>
      </c>
      <c r="BD96" s="15">
        <v>0</v>
      </c>
    </row>
    <row r="97" spans="1:56" x14ac:dyDescent="0.35">
      <c r="A97" s="14" t="s">
        <v>88</v>
      </c>
      <c r="B97" s="15">
        <v>11</v>
      </c>
      <c r="C97" s="16">
        <v>53.413615616198889</v>
      </c>
      <c r="D97" s="15">
        <v>0</v>
      </c>
      <c r="E97" s="15">
        <v>0</v>
      </c>
      <c r="F97" s="15">
        <v>0</v>
      </c>
      <c r="G97" s="15">
        <v>0</v>
      </c>
      <c r="H97" s="15">
        <v>0</v>
      </c>
      <c r="I97" s="15">
        <v>0</v>
      </c>
      <c r="J97" s="15">
        <v>0</v>
      </c>
      <c r="K97" s="15">
        <v>0</v>
      </c>
      <c r="L97" s="15">
        <v>0</v>
      </c>
      <c r="M97" s="15">
        <v>0</v>
      </c>
      <c r="N97" s="15">
        <v>0</v>
      </c>
      <c r="O97" s="15">
        <v>0</v>
      </c>
      <c r="P97" s="15">
        <v>0</v>
      </c>
      <c r="Q97" s="15">
        <v>0</v>
      </c>
      <c r="R97" s="15">
        <v>0</v>
      </c>
      <c r="S97" s="15">
        <v>0</v>
      </c>
      <c r="T97" s="15">
        <v>0</v>
      </c>
      <c r="U97" s="15">
        <v>0</v>
      </c>
      <c r="V97" s="15">
        <v>0</v>
      </c>
      <c r="W97" s="15">
        <v>0</v>
      </c>
      <c r="X97" s="15">
        <v>0</v>
      </c>
      <c r="Y97" s="15">
        <v>0</v>
      </c>
      <c r="Z97" s="15">
        <v>0</v>
      </c>
      <c r="AA97" s="15">
        <v>0</v>
      </c>
      <c r="AB97" s="15">
        <v>0</v>
      </c>
      <c r="AC97" s="15">
        <v>0</v>
      </c>
      <c r="AD97" s="15">
        <v>0</v>
      </c>
      <c r="AE97" s="15">
        <v>1</v>
      </c>
      <c r="AF97" s="15">
        <v>0</v>
      </c>
      <c r="AG97" s="15">
        <v>0</v>
      </c>
      <c r="AH97" s="15">
        <v>0</v>
      </c>
      <c r="AI97" s="15">
        <v>0</v>
      </c>
      <c r="AJ97" s="15">
        <v>0</v>
      </c>
      <c r="AK97" s="15">
        <v>0</v>
      </c>
      <c r="AL97" s="15">
        <v>0</v>
      </c>
      <c r="AM97" s="15">
        <v>0</v>
      </c>
      <c r="AN97" s="15">
        <v>0</v>
      </c>
      <c r="AO97" s="15">
        <v>1</v>
      </c>
      <c r="AP97" s="15">
        <v>0</v>
      </c>
      <c r="AQ97" s="15">
        <v>1</v>
      </c>
      <c r="AR97" s="15">
        <v>1</v>
      </c>
      <c r="AS97" s="15">
        <v>0</v>
      </c>
      <c r="AT97" s="15">
        <v>1</v>
      </c>
      <c r="AU97" s="15">
        <v>1</v>
      </c>
      <c r="AV97" s="15">
        <v>0</v>
      </c>
      <c r="AW97" s="15">
        <v>4</v>
      </c>
      <c r="AX97" s="15">
        <v>0</v>
      </c>
      <c r="AY97" s="15">
        <v>0</v>
      </c>
      <c r="AZ97" s="15">
        <v>0</v>
      </c>
      <c r="BA97" s="15">
        <v>1</v>
      </c>
      <c r="BB97" s="15">
        <v>0</v>
      </c>
      <c r="BC97" s="15">
        <v>0</v>
      </c>
      <c r="BD97" s="15">
        <v>0</v>
      </c>
    </row>
    <row r="98" spans="1:56" x14ac:dyDescent="0.35">
      <c r="A98" s="14" t="s">
        <v>89</v>
      </c>
      <c r="B98" s="15">
        <v>77</v>
      </c>
      <c r="C98" s="16">
        <v>145.41471521377852</v>
      </c>
      <c r="D98" s="15">
        <v>0</v>
      </c>
      <c r="E98" s="15">
        <v>0</v>
      </c>
      <c r="F98" s="15">
        <v>1</v>
      </c>
      <c r="G98" s="15">
        <v>1</v>
      </c>
      <c r="H98" s="15">
        <v>1</v>
      </c>
      <c r="I98" s="15">
        <v>0</v>
      </c>
      <c r="J98" s="15">
        <v>1</v>
      </c>
      <c r="K98" s="15">
        <v>2</v>
      </c>
      <c r="L98" s="15">
        <v>0</v>
      </c>
      <c r="M98" s="15">
        <v>0</v>
      </c>
      <c r="N98" s="15">
        <v>4</v>
      </c>
      <c r="O98" s="15">
        <v>4</v>
      </c>
      <c r="P98" s="15">
        <v>1</v>
      </c>
      <c r="Q98" s="15">
        <v>5</v>
      </c>
      <c r="R98" s="15">
        <v>6</v>
      </c>
      <c r="S98" s="15">
        <v>2</v>
      </c>
      <c r="T98" s="15">
        <v>5</v>
      </c>
      <c r="U98" s="15">
        <v>1</v>
      </c>
      <c r="V98" s="15">
        <v>4</v>
      </c>
      <c r="W98" s="15">
        <v>7</v>
      </c>
      <c r="X98" s="15">
        <v>3</v>
      </c>
      <c r="Y98" s="15">
        <v>0</v>
      </c>
      <c r="Z98" s="15">
        <v>1</v>
      </c>
      <c r="AA98" s="15">
        <v>0</v>
      </c>
      <c r="AB98" s="15">
        <v>1</v>
      </c>
      <c r="AC98" s="15">
        <v>1</v>
      </c>
      <c r="AD98" s="15">
        <v>1</v>
      </c>
      <c r="AE98" s="15">
        <v>1</v>
      </c>
      <c r="AF98" s="15">
        <v>1</v>
      </c>
      <c r="AG98" s="15">
        <v>2</v>
      </c>
      <c r="AH98" s="15">
        <v>0</v>
      </c>
      <c r="AI98" s="15">
        <v>1</v>
      </c>
      <c r="AJ98" s="15">
        <v>0</v>
      </c>
      <c r="AK98" s="15">
        <v>0</v>
      </c>
      <c r="AL98" s="15">
        <v>1</v>
      </c>
      <c r="AM98" s="15">
        <v>2</v>
      </c>
      <c r="AN98" s="15">
        <v>0</v>
      </c>
      <c r="AO98" s="15">
        <v>1</v>
      </c>
      <c r="AP98" s="15">
        <v>1</v>
      </c>
      <c r="AQ98" s="15">
        <v>0</v>
      </c>
      <c r="AR98" s="15">
        <v>0</v>
      </c>
      <c r="AS98" s="15">
        <v>0</v>
      </c>
      <c r="AT98" s="15">
        <v>0</v>
      </c>
      <c r="AU98" s="15">
        <v>1</v>
      </c>
      <c r="AV98" s="15">
        <v>2</v>
      </c>
      <c r="AW98" s="15">
        <v>1</v>
      </c>
      <c r="AX98" s="15">
        <v>0</v>
      </c>
      <c r="AY98" s="15">
        <v>0</v>
      </c>
      <c r="AZ98" s="15">
        <v>0</v>
      </c>
      <c r="BA98" s="15">
        <v>3</v>
      </c>
      <c r="BB98" s="15">
        <v>7</v>
      </c>
      <c r="BC98" s="15">
        <v>1</v>
      </c>
      <c r="BD98" s="15">
        <v>0</v>
      </c>
    </row>
    <row r="99" spans="1:56" x14ac:dyDescent="0.35">
      <c r="A99" s="14" t="s">
        <v>90</v>
      </c>
      <c r="B99" s="15">
        <v>13</v>
      </c>
      <c r="C99" s="16">
        <v>48.650873844541749</v>
      </c>
      <c r="D99" s="15">
        <v>1</v>
      </c>
      <c r="E99" s="15">
        <v>0</v>
      </c>
      <c r="F99" s="15">
        <v>0</v>
      </c>
      <c r="G99" s="15">
        <v>0</v>
      </c>
      <c r="H99" s="15">
        <v>0</v>
      </c>
      <c r="I99" s="15">
        <v>0</v>
      </c>
      <c r="J99" s="15">
        <v>0</v>
      </c>
      <c r="K99" s="15">
        <v>0</v>
      </c>
      <c r="L99" s="15">
        <v>0</v>
      </c>
      <c r="M99" s="15">
        <v>0</v>
      </c>
      <c r="N99" s="15">
        <v>1</v>
      </c>
      <c r="O99" s="15">
        <v>0</v>
      </c>
      <c r="P99" s="15">
        <v>0</v>
      </c>
      <c r="Q99" s="15">
        <v>0</v>
      </c>
      <c r="R99" s="15">
        <v>1</v>
      </c>
      <c r="S99" s="15">
        <v>0</v>
      </c>
      <c r="T99" s="15">
        <v>0</v>
      </c>
      <c r="U99" s="15">
        <v>0</v>
      </c>
      <c r="V99" s="15">
        <v>1</v>
      </c>
      <c r="W99" s="15">
        <v>0</v>
      </c>
      <c r="X99" s="15">
        <v>0</v>
      </c>
      <c r="Y99" s="15">
        <v>0</v>
      </c>
      <c r="Z99" s="15">
        <v>0</v>
      </c>
      <c r="AA99" s="15">
        <v>0</v>
      </c>
      <c r="AB99" s="15">
        <v>0</v>
      </c>
      <c r="AC99" s="15">
        <v>1</v>
      </c>
      <c r="AD99" s="15">
        <v>1</v>
      </c>
      <c r="AE99" s="15">
        <v>1</v>
      </c>
      <c r="AF99" s="15">
        <v>0</v>
      </c>
      <c r="AG99" s="15">
        <v>0</v>
      </c>
      <c r="AH99" s="15">
        <v>1</v>
      </c>
      <c r="AI99" s="15">
        <v>1</v>
      </c>
      <c r="AJ99" s="15">
        <v>0</v>
      </c>
      <c r="AK99" s="15">
        <v>0</v>
      </c>
      <c r="AL99" s="15">
        <v>0</v>
      </c>
      <c r="AM99" s="15">
        <v>0</v>
      </c>
      <c r="AN99" s="15">
        <v>1</v>
      </c>
      <c r="AO99" s="15">
        <v>1</v>
      </c>
      <c r="AP99" s="15">
        <v>0</v>
      </c>
      <c r="AQ99" s="15">
        <v>0</v>
      </c>
      <c r="AR99" s="15">
        <v>0</v>
      </c>
      <c r="AS99" s="15">
        <v>0</v>
      </c>
      <c r="AT99" s="15">
        <v>0</v>
      </c>
      <c r="AU99" s="15">
        <v>0</v>
      </c>
      <c r="AV99" s="15">
        <v>1</v>
      </c>
      <c r="AW99" s="15">
        <v>0</v>
      </c>
      <c r="AX99" s="15">
        <v>0</v>
      </c>
      <c r="AY99" s="15">
        <v>0</v>
      </c>
      <c r="AZ99" s="15">
        <v>1</v>
      </c>
      <c r="BA99" s="15">
        <v>0</v>
      </c>
      <c r="BB99" s="15">
        <v>0</v>
      </c>
      <c r="BC99" s="15">
        <v>0</v>
      </c>
      <c r="BD99" s="15">
        <v>0</v>
      </c>
    </row>
    <row r="100" spans="1:56" x14ac:dyDescent="0.35">
      <c r="A100" s="14"/>
      <c r="B100" s="12"/>
      <c r="C100" s="13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</row>
    <row r="101" spans="1:56" x14ac:dyDescent="0.35">
      <c r="A101" s="1" t="s">
        <v>91</v>
      </c>
      <c r="B101" s="10">
        <v>1133</v>
      </c>
      <c r="C101" s="11">
        <v>243.66062999068797</v>
      </c>
      <c r="D101" s="10">
        <v>41</v>
      </c>
      <c r="E101" s="10">
        <v>22</v>
      </c>
      <c r="F101" s="10">
        <v>27</v>
      </c>
      <c r="G101" s="10">
        <v>34</v>
      </c>
      <c r="H101" s="10">
        <v>32</v>
      </c>
      <c r="I101" s="10">
        <v>23</v>
      </c>
      <c r="J101" s="10">
        <v>29</v>
      </c>
      <c r="K101" s="10">
        <v>31</v>
      </c>
      <c r="L101" s="10">
        <v>28</v>
      </c>
      <c r="M101" s="10">
        <v>25</v>
      </c>
      <c r="N101" s="10">
        <v>17</v>
      </c>
      <c r="O101" s="10">
        <v>31</v>
      </c>
      <c r="P101" s="10">
        <v>10</v>
      </c>
      <c r="Q101" s="10">
        <v>15</v>
      </c>
      <c r="R101" s="10">
        <v>13</v>
      </c>
      <c r="S101" s="10">
        <v>17</v>
      </c>
      <c r="T101" s="10">
        <v>15</v>
      </c>
      <c r="U101" s="10">
        <v>15</v>
      </c>
      <c r="V101" s="10">
        <v>17</v>
      </c>
      <c r="W101" s="10">
        <v>16</v>
      </c>
      <c r="X101" s="10">
        <v>17</v>
      </c>
      <c r="Y101" s="10">
        <v>19</v>
      </c>
      <c r="Z101" s="10">
        <v>16</v>
      </c>
      <c r="AA101" s="10">
        <v>19</v>
      </c>
      <c r="AB101" s="10">
        <v>20</v>
      </c>
      <c r="AC101" s="10">
        <v>22</v>
      </c>
      <c r="AD101" s="10">
        <v>26</v>
      </c>
      <c r="AE101" s="10">
        <v>17</v>
      </c>
      <c r="AF101" s="10">
        <v>11</v>
      </c>
      <c r="AG101" s="10">
        <v>19</v>
      </c>
      <c r="AH101" s="10">
        <v>23</v>
      </c>
      <c r="AI101" s="10">
        <v>16</v>
      </c>
      <c r="AJ101" s="10">
        <v>18</v>
      </c>
      <c r="AK101" s="10">
        <v>11</v>
      </c>
      <c r="AL101" s="10">
        <v>18</v>
      </c>
      <c r="AM101" s="10">
        <v>11</v>
      </c>
      <c r="AN101" s="10">
        <v>13</v>
      </c>
      <c r="AO101" s="10">
        <v>23</v>
      </c>
      <c r="AP101" s="10">
        <v>19</v>
      </c>
      <c r="AQ101" s="10">
        <v>25</v>
      </c>
      <c r="AR101" s="10">
        <v>19</v>
      </c>
      <c r="AS101" s="10">
        <v>37</v>
      </c>
      <c r="AT101" s="10">
        <v>25</v>
      </c>
      <c r="AU101" s="10">
        <v>26</v>
      </c>
      <c r="AV101" s="10">
        <v>36</v>
      </c>
      <c r="AW101" s="10">
        <v>32</v>
      </c>
      <c r="AX101" s="10">
        <v>20</v>
      </c>
      <c r="AY101" s="10">
        <v>27</v>
      </c>
      <c r="AZ101" s="10">
        <v>21</v>
      </c>
      <c r="BA101" s="10">
        <v>25</v>
      </c>
      <c r="BB101" s="10">
        <v>31</v>
      </c>
      <c r="BC101" s="10">
        <v>13</v>
      </c>
      <c r="BD101" s="10">
        <v>0</v>
      </c>
    </row>
    <row r="102" spans="1:56" x14ac:dyDescent="0.35">
      <c r="A102" s="14" t="s">
        <v>92</v>
      </c>
      <c r="B102" s="15">
        <v>102</v>
      </c>
      <c r="C102" s="16">
        <v>101.95819713917292</v>
      </c>
      <c r="D102" s="15">
        <v>11</v>
      </c>
      <c r="E102" s="15">
        <v>4</v>
      </c>
      <c r="F102" s="15">
        <v>5</v>
      </c>
      <c r="G102" s="15">
        <v>7</v>
      </c>
      <c r="H102" s="15">
        <v>7</v>
      </c>
      <c r="I102" s="15">
        <v>5</v>
      </c>
      <c r="J102" s="15">
        <v>4</v>
      </c>
      <c r="K102" s="15">
        <v>6</v>
      </c>
      <c r="L102" s="15">
        <v>9</v>
      </c>
      <c r="M102" s="15">
        <v>5</v>
      </c>
      <c r="N102" s="15">
        <v>4</v>
      </c>
      <c r="O102" s="15">
        <v>5</v>
      </c>
      <c r="P102" s="15">
        <v>3</v>
      </c>
      <c r="Q102" s="15">
        <v>2</v>
      </c>
      <c r="R102" s="15">
        <v>0</v>
      </c>
      <c r="S102" s="15">
        <v>0</v>
      </c>
      <c r="T102" s="15">
        <v>3</v>
      </c>
      <c r="U102" s="15">
        <v>2</v>
      </c>
      <c r="V102" s="15">
        <v>2</v>
      </c>
      <c r="W102" s="15">
        <v>1</v>
      </c>
      <c r="X102" s="15">
        <v>1</v>
      </c>
      <c r="Y102" s="15">
        <v>0</v>
      </c>
      <c r="Z102" s="15">
        <v>1</v>
      </c>
      <c r="AA102" s="15">
        <v>1</v>
      </c>
      <c r="AB102" s="15">
        <v>0</v>
      </c>
      <c r="AC102" s="15">
        <v>0</v>
      </c>
      <c r="AD102" s="15">
        <v>2</v>
      </c>
      <c r="AE102" s="15">
        <v>1</v>
      </c>
      <c r="AF102" s="15">
        <v>0</v>
      </c>
      <c r="AG102" s="15">
        <v>1</v>
      </c>
      <c r="AH102" s="15">
        <v>0</v>
      </c>
      <c r="AI102" s="15">
        <v>1</v>
      </c>
      <c r="AJ102" s="15">
        <v>1</v>
      </c>
      <c r="AK102" s="15">
        <v>0</v>
      </c>
      <c r="AL102" s="15">
        <v>0</v>
      </c>
      <c r="AM102" s="15">
        <v>1</v>
      </c>
      <c r="AN102" s="15">
        <v>0</v>
      </c>
      <c r="AO102" s="15">
        <v>1</v>
      </c>
      <c r="AP102" s="15">
        <v>1</v>
      </c>
      <c r="AQ102" s="15">
        <v>0</v>
      </c>
      <c r="AR102" s="15">
        <v>0</v>
      </c>
      <c r="AS102" s="15">
        <v>0</v>
      </c>
      <c r="AT102" s="15">
        <v>0</v>
      </c>
      <c r="AU102" s="15">
        <v>0</v>
      </c>
      <c r="AV102" s="15">
        <v>1</v>
      </c>
      <c r="AW102" s="15">
        <v>0</v>
      </c>
      <c r="AX102" s="15">
        <v>0</v>
      </c>
      <c r="AY102" s="15">
        <v>2</v>
      </c>
      <c r="AZ102" s="15">
        <v>0</v>
      </c>
      <c r="BA102" s="15">
        <v>1</v>
      </c>
      <c r="BB102" s="15">
        <v>1</v>
      </c>
      <c r="BC102" s="15">
        <v>0</v>
      </c>
      <c r="BD102" s="15">
        <v>0</v>
      </c>
    </row>
    <row r="103" spans="1:56" x14ac:dyDescent="0.35">
      <c r="A103" s="14" t="s">
        <v>93</v>
      </c>
      <c r="B103" s="15">
        <v>235</v>
      </c>
      <c r="C103" s="16">
        <v>153.90761613475757</v>
      </c>
      <c r="D103" s="15">
        <v>2</v>
      </c>
      <c r="E103" s="15">
        <v>1</v>
      </c>
      <c r="F103" s="15">
        <v>2</v>
      </c>
      <c r="G103" s="15">
        <v>2</v>
      </c>
      <c r="H103" s="15">
        <v>5</v>
      </c>
      <c r="I103" s="15">
        <v>2</v>
      </c>
      <c r="J103" s="15">
        <v>3</v>
      </c>
      <c r="K103" s="15">
        <v>0</v>
      </c>
      <c r="L103" s="15">
        <v>3</v>
      </c>
      <c r="M103" s="15">
        <v>1</v>
      </c>
      <c r="N103" s="15">
        <v>3</v>
      </c>
      <c r="O103" s="15">
        <v>6</v>
      </c>
      <c r="P103" s="15">
        <v>0</v>
      </c>
      <c r="Q103" s="15">
        <v>1</v>
      </c>
      <c r="R103" s="15">
        <v>2</v>
      </c>
      <c r="S103" s="15">
        <v>5</v>
      </c>
      <c r="T103" s="15">
        <v>3</v>
      </c>
      <c r="U103" s="15">
        <v>3</v>
      </c>
      <c r="V103" s="15">
        <v>3</v>
      </c>
      <c r="W103" s="15">
        <v>2</v>
      </c>
      <c r="X103" s="15">
        <v>5</v>
      </c>
      <c r="Y103" s="15">
        <v>2</v>
      </c>
      <c r="Z103" s="15">
        <v>2</v>
      </c>
      <c r="AA103" s="15">
        <v>1</v>
      </c>
      <c r="AB103" s="15">
        <v>3</v>
      </c>
      <c r="AC103" s="15">
        <v>3</v>
      </c>
      <c r="AD103" s="15">
        <v>1</v>
      </c>
      <c r="AE103" s="15">
        <v>4</v>
      </c>
      <c r="AF103" s="15">
        <v>3</v>
      </c>
      <c r="AG103" s="15">
        <v>5</v>
      </c>
      <c r="AH103" s="15">
        <v>3</v>
      </c>
      <c r="AI103" s="15">
        <v>6</v>
      </c>
      <c r="AJ103" s="15">
        <v>3</v>
      </c>
      <c r="AK103" s="15">
        <v>5</v>
      </c>
      <c r="AL103" s="15">
        <v>5</v>
      </c>
      <c r="AM103" s="15">
        <v>5</v>
      </c>
      <c r="AN103" s="15">
        <v>4</v>
      </c>
      <c r="AO103" s="15">
        <v>8</v>
      </c>
      <c r="AP103" s="15">
        <v>10</v>
      </c>
      <c r="AQ103" s="15">
        <v>10</v>
      </c>
      <c r="AR103" s="15">
        <v>6</v>
      </c>
      <c r="AS103" s="15">
        <v>12</v>
      </c>
      <c r="AT103" s="15">
        <v>7</v>
      </c>
      <c r="AU103" s="15">
        <v>6</v>
      </c>
      <c r="AV103" s="15">
        <v>10</v>
      </c>
      <c r="AW103" s="15">
        <v>7</v>
      </c>
      <c r="AX103" s="15">
        <v>8</v>
      </c>
      <c r="AY103" s="15">
        <v>13</v>
      </c>
      <c r="AZ103" s="15">
        <v>8</v>
      </c>
      <c r="BA103" s="15">
        <v>8</v>
      </c>
      <c r="BB103" s="15">
        <v>6</v>
      </c>
      <c r="BC103" s="15">
        <v>7</v>
      </c>
      <c r="BD103" s="15">
        <v>0</v>
      </c>
    </row>
    <row r="104" spans="1:56" x14ac:dyDescent="0.35">
      <c r="A104" s="14" t="s">
        <v>94</v>
      </c>
      <c r="B104" s="15">
        <v>88</v>
      </c>
      <c r="C104" s="16">
        <v>134.74818932120601</v>
      </c>
      <c r="D104" s="15">
        <v>5</v>
      </c>
      <c r="E104" s="15">
        <v>5</v>
      </c>
      <c r="F104" s="15">
        <v>2</v>
      </c>
      <c r="G104" s="15">
        <v>3</v>
      </c>
      <c r="H104" s="15">
        <v>1</v>
      </c>
      <c r="I104" s="15">
        <v>0</v>
      </c>
      <c r="J104" s="15">
        <v>2</v>
      </c>
      <c r="K104" s="15">
        <v>4</v>
      </c>
      <c r="L104" s="15">
        <v>2</v>
      </c>
      <c r="M104" s="15">
        <v>0</v>
      </c>
      <c r="N104" s="15">
        <v>1</v>
      </c>
      <c r="O104" s="15">
        <v>2</v>
      </c>
      <c r="P104" s="15">
        <v>1</v>
      </c>
      <c r="Q104" s="15">
        <v>2</v>
      </c>
      <c r="R104" s="15">
        <v>2</v>
      </c>
      <c r="S104" s="15">
        <v>0</v>
      </c>
      <c r="T104" s="15">
        <v>1</v>
      </c>
      <c r="U104" s="15">
        <v>0</v>
      </c>
      <c r="V104" s="15">
        <v>2</v>
      </c>
      <c r="W104" s="15">
        <v>0</v>
      </c>
      <c r="X104" s="15">
        <v>0</v>
      </c>
      <c r="Y104" s="15">
        <v>1</v>
      </c>
      <c r="Z104" s="15">
        <v>1</v>
      </c>
      <c r="AA104" s="15">
        <v>1</v>
      </c>
      <c r="AB104" s="15">
        <v>0</v>
      </c>
      <c r="AC104" s="15">
        <v>0</v>
      </c>
      <c r="AD104" s="15">
        <v>0</v>
      </c>
      <c r="AE104" s="15">
        <v>0</v>
      </c>
      <c r="AF104" s="15">
        <v>1</v>
      </c>
      <c r="AG104" s="15">
        <v>1</v>
      </c>
      <c r="AH104" s="15">
        <v>0</v>
      </c>
      <c r="AI104" s="15">
        <v>0</v>
      </c>
      <c r="AJ104" s="15">
        <v>2</v>
      </c>
      <c r="AK104" s="15">
        <v>1</v>
      </c>
      <c r="AL104" s="15">
        <v>3</v>
      </c>
      <c r="AM104" s="15">
        <v>1</v>
      </c>
      <c r="AN104" s="15">
        <v>1</v>
      </c>
      <c r="AO104" s="15">
        <v>2</v>
      </c>
      <c r="AP104" s="15">
        <v>2</v>
      </c>
      <c r="AQ104" s="15">
        <v>4</v>
      </c>
      <c r="AR104" s="15">
        <v>3</v>
      </c>
      <c r="AS104" s="15">
        <v>7</v>
      </c>
      <c r="AT104" s="15">
        <v>1</v>
      </c>
      <c r="AU104" s="15">
        <v>4</v>
      </c>
      <c r="AV104" s="15">
        <v>1</v>
      </c>
      <c r="AW104" s="15">
        <v>4</v>
      </c>
      <c r="AX104" s="15">
        <v>1</v>
      </c>
      <c r="AY104" s="15">
        <v>0</v>
      </c>
      <c r="AZ104" s="15">
        <v>5</v>
      </c>
      <c r="BA104" s="15">
        <v>4</v>
      </c>
      <c r="BB104" s="15">
        <v>2</v>
      </c>
      <c r="BC104" s="15">
        <v>0</v>
      </c>
      <c r="BD104" s="15">
        <v>0</v>
      </c>
    </row>
    <row r="105" spans="1:56" x14ac:dyDescent="0.35">
      <c r="A105" s="14" t="s">
        <v>95</v>
      </c>
      <c r="B105" s="15">
        <v>355</v>
      </c>
      <c r="C105" s="16">
        <v>807.14837888227009</v>
      </c>
      <c r="D105" s="15">
        <v>14</v>
      </c>
      <c r="E105" s="15">
        <v>6</v>
      </c>
      <c r="F105" s="15">
        <v>8</v>
      </c>
      <c r="G105" s="15">
        <v>18</v>
      </c>
      <c r="H105" s="15">
        <v>9</v>
      </c>
      <c r="I105" s="15">
        <v>12</v>
      </c>
      <c r="J105" s="15">
        <v>18</v>
      </c>
      <c r="K105" s="15">
        <v>19</v>
      </c>
      <c r="L105" s="15">
        <v>14</v>
      </c>
      <c r="M105" s="15">
        <v>19</v>
      </c>
      <c r="N105" s="15">
        <v>9</v>
      </c>
      <c r="O105" s="15">
        <v>16</v>
      </c>
      <c r="P105" s="15">
        <v>5</v>
      </c>
      <c r="Q105" s="15">
        <v>8</v>
      </c>
      <c r="R105" s="15">
        <v>6</v>
      </c>
      <c r="S105" s="15">
        <v>10</v>
      </c>
      <c r="T105" s="15">
        <v>6</v>
      </c>
      <c r="U105" s="15">
        <v>8</v>
      </c>
      <c r="V105" s="15">
        <v>8</v>
      </c>
      <c r="W105" s="15">
        <v>7</v>
      </c>
      <c r="X105" s="15">
        <v>7</v>
      </c>
      <c r="Y105" s="15">
        <v>10</v>
      </c>
      <c r="Z105" s="15">
        <v>7</v>
      </c>
      <c r="AA105" s="15">
        <v>8</v>
      </c>
      <c r="AB105" s="15">
        <v>6</v>
      </c>
      <c r="AC105" s="15">
        <v>5</v>
      </c>
      <c r="AD105" s="15">
        <v>4</v>
      </c>
      <c r="AE105" s="15">
        <v>1</v>
      </c>
      <c r="AF105" s="15">
        <v>4</v>
      </c>
      <c r="AG105" s="15">
        <v>8</v>
      </c>
      <c r="AH105" s="15">
        <v>6</v>
      </c>
      <c r="AI105" s="15">
        <v>2</v>
      </c>
      <c r="AJ105" s="15">
        <v>2</v>
      </c>
      <c r="AK105" s="15">
        <v>1</v>
      </c>
      <c r="AL105" s="15">
        <v>1</v>
      </c>
      <c r="AM105" s="15">
        <v>2</v>
      </c>
      <c r="AN105" s="15">
        <v>3</v>
      </c>
      <c r="AO105" s="15">
        <v>2</v>
      </c>
      <c r="AP105" s="15">
        <v>1</v>
      </c>
      <c r="AQ105" s="15">
        <v>1</v>
      </c>
      <c r="AR105" s="15">
        <v>1</v>
      </c>
      <c r="AS105" s="15">
        <v>3</v>
      </c>
      <c r="AT105" s="15">
        <v>4</v>
      </c>
      <c r="AU105" s="15">
        <v>6</v>
      </c>
      <c r="AV105" s="15">
        <v>5</v>
      </c>
      <c r="AW105" s="15">
        <v>9</v>
      </c>
      <c r="AX105" s="15">
        <v>3</v>
      </c>
      <c r="AY105" s="15">
        <v>6</v>
      </c>
      <c r="AZ105" s="15">
        <v>4</v>
      </c>
      <c r="BA105" s="15">
        <v>4</v>
      </c>
      <c r="BB105" s="15">
        <v>6</v>
      </c>
      <c r="BC105" s="15">
        <v>3</v>
      </c>
      <c r="BD105" s="15">
        <v>0</v>
      </c>
    </row>
    <row r="106" spans="1:56" x14ac:dyDescent="0.35">
      <c r="A106" s="14" t="s">
        <v>96</v>
      </c>
      <c r="B106" s="15">
        <v>27</v>
      </c>
      <c r="C106" s="16">
        <v>57.58157389635317</v>
      </c>
      <c r="D106" s="15">
        <v>1</v>
      </c>
      <c r="E106" s="15">
        <v>1</v>
      </c>
      <c r="F106" s="15">
        <v>2</v>
      </c>
      <c r="G106" s="15">
        <v>0</v>
      </c>
      <c r="H106" s="15">
        <v>0</v>
      </c>
      <c r="I106" s="15">
        <v>1</v>
      </c>
      <c r="J106" s="15">
        <v>0</v>
      </c>
      <c r="K106" s="15">
        <v>1</v>
      </c>
      <c r="L106" s="15">
        <v>0</v>
      </c>
      <c r="M106" s="15">
        <v>0</v>
      </c>
      <c r="N106" s="15">
        <v>0</v>
      </c>
      <c r="O106" s="15">
        <v>1</v>
      </c>
      <c r="P106" s="15">
        <v>0</v>
      </c>
      <c r="Q106" s="15">
        <v>1</v>
      </c>
      <c r="R106" s="15">
        <v>0</v>
      </c>
      <c r="S106" s="15">
        <v>0</v>
      </c>
      <c r="T106" s="15">
        <v>0</v>
      </c>
      <c r="U106" s="15">
        <v>0</v>
      </c>
      <c r="V106" s="15">
        <v>1</v>
      </c>
      <c r="W106" s="15">
        <v>0</v>
      </c>
      <c r="X106" s="15">
        <v>0</v>
      </c>
      <c r="Y106" s="15">
        <v>0</v>
      </c>
      <c r="Z106" s="15">
        <v>0</v>
      </c>
      <c r="AA106" s="15">
        <v>0</v>
      </c>
      <c r="AB106" s="15">
        <v>0</v>
      </c>
      <c r="AC106" s="15">
        <v>0</v>
      </c>
      <c r="AD106" s="15">
        <v>0</v>
      </c>
      <c r="AE106" s="15">
        <v>0</v>
      </c>
      <c r="AF106" s="15">
        <v>0</v>
      </c>
      <c r="AG106" s="15">
        <v>0</v>
      </c>
      <c r="AH106" s="15">
        <v>0</v>
      </c>
      <c r="AI106" s="15">
        <v>0</v>
      </c>
      <c r="AJ106" s="15">
        <v>2</v>
      </c>
      <c r="AK106" s="15">
        <v>0</v>
      </c>
      <c r="AL106" s="15">
        <v>0</v>
      </c>
      <c r="AM106" s="15">
        <v>0</v>
      </c>
      <c r="AN106" s="15">
        <v>1</v>
      </c>
      <c r="AO106" s="15">
        <v>1</v>
      </c>
      <c r="AP106" s="15">
        <v>0</v>
      </c>
      <c r="AQ106" s="15">
        <v>0</v>
      </c>
      <c r="AR106" s="15">
        <v>0</v>
      </c>
      <c r="AS106" s="15">
        <v>2</v>
      </c>
      <c r="AT106" s="15">
        <v>1</v>
      </c>
      <c r="AU106" s="15">
        <v>0</v>
      </c>
      <c r="AV106" s="15">
        <v>1</v>
      </c>
      <c r="AW106" s="15">
        <v>2</v>
      </c>
      <c r="AX106" s="15">
        <v>1</v>
      </c>
      <c r="AY106" s="15">
        <v>0</v>
      </c>
      <c r="AZ106" s="15">
        <v>1</v>
      </c>
      <c r="BA106" s="15">
        <v>3</v>
      </c>
      <c r="BB106" s="15">
        <v>2</v>
      </c>
      <c r="BC106" s="15">
        <v>1</v>
      </c>
      <c r="BD106" s="15">
        <v>0</v>
      </c>
    </row>
    <row r="107" spans="1:56" x14ac:dyDescent="0.35">
      <c r="A107" s="14" t="s">
        <v>97</v>
      </c>
      <c r="B107" s="15">
        <v>326</v>
      </c>
      <c r="C107" s="16">
        <v>581.29168003994153</v>
      </c>
      <c r="D107" s="15">
        <v>8</v>
      </c>
      <c r="E107" s="15">
        <v>5</v>
      </c>
      <c r="F107" s="15">
        <v>8</v>
      </c>
      <c r="G107" s="15">
        <v>4</v>
      </c>
      <c r="H107" s="15">
        <v>10</v>
      </c>
      <c r="I107" s="15">
        <v>3</v>
      </c>
      <c r="J107" s="15">
        <v>2</v>
      </c>
      <c r="K107" s="15">
        <v>1</v>
      </c>
      <c r="L107" s="15">
        <v>0</v>
      </c>
      <c r="M107" s="15">
        <v>0</v>
      </c>
      <c r="N107" s="15">
        <v>0</v>
      </c>
      <c r="O107" s="15">
        <v>1</v>
      </c>
      <c r="P107" s="15">
        <v>1</v>
      </c>
      <c r="Q107" s="15">
        <v>1</v>
      </c>
      <c r="R107" s="15">
        <v>3</v>
      </c>
      <c r="S107" s="15">
        <v>2</v>
      </c>
      <c r="T107" s="15">
        <v>2</v>
      </c>
      <c r="U107" s="15">
        <v>2</v>
      </c>
      <c r="V107" s="15">
        <v>1</v>
      </c>
      <c r="W107" s="15">
        <v>6</v>
      </c>
      <c r="X107" s="15">
        <v>4</v>
      </c>
      <c r="Y107" s="15">
        <v>6</v>
      </c>
      <c r="Z107" s="15">
        <v>5</v>
      </c>
      <c r="AA107" s="15">
        <v>8</v>
      </c>
      <c r="AB107" s="15">
        <v>11</v>
      </c>
      <c r="AC107" s="15">
        <v>14</v>
      </c>
      <c r="AD107" s="15">
        <v>19</v>
      </c>
      <c r="AE107" s="15">
        <v>11</v>
      </c>
      <c r="AF107" s="15">
        <v>3</v>
      </c>
      <c r="AG107" s="15">
        <v>4</v>
      </c>
      <c r="AH107" s="15">
        <v>14</v>
      </c>
      <c r="AI107" s="15">
        <v>7</v>
      </c>
      <c r="AJ107" s="15">
        <v>8</v>
      </c>
      <c r="AK107" s="15">
        <v>4</v>
      </c>
      <c r="AL107" s="15">
        <v>9</v>
      </c>
      <c r="AM107" s="15">
        <v>2</v>
      </c>
      <c r="AN107" s="15">
        <v>4</v>
      </c>
      <c r="AO107" s="15">
        <v>9</v>
      </c>
      <c r="AP107" s="15">
        <v>5</v>
      </c>
      <c r="AQ107" s="15">
        <v>10</v>
      </c>
      <c r="AR107" s="15">
        <v>9</v>
      </c>
      <c r="AS107" s="15">
        <v>13</v>
      </c>
      <c r="AT107" s="15">
        <v>12</v>
      </c>
      <c r="AU107" s="15">
        <v>10</v>
      </c>
      <c r="AV107" s="15">
        <v>18</v>
      </c>
      <c r="AW107" s="15">
        <v>10</v>
      </c>
      <c r="AX107" s="15">
        <v>7</v>
      </c>
      <c r="AY107" s="15">
        <v>6</v>
      </c>
      <c r="AZ107" s="15">
        <v>3</v>
      </c>
      <c r="BA107" s="15">
        <v>5</v>
      </c>
      <c r="BB107" s="15">
        <v>14</v>
      </c>
      <c r="BC107" s="15">
        <v>2</v>
      </c>
      <c r="BD107" s="15">
        <v>0</v>
      </c>
    </row>
    <row r="108" spans="1:56" x14ac:dyDescent="0.35">
      <c r="A108" s="14"/>
      <c r="B108" s="12"/>
      <c r="C108" s="13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2"/>
      <c r="AZ108" s="2"/>
      <c r="BA108" s="2"/>
      <c r="BB108" s="2"/>
      <c r="BC108" s="2"/>
      <c r="BD108" s="2"/>
    </row>
    <row r="109" spans="1:56" x14ac:dyDescent="0.35">
      <c r="A109" s="14" t="s">
        <v>98</v>
      </c>
      <c r="B109" s="10">
        <v>0</v>
      </c>
      <c r="C109" s="13"/>
      <c r="D109" s="15">
        <v>0</v>
      </c>
      <c r="E109" s="15">
        <v>0</v>
      </c>
      <c r="F109" s="15">
        <v>0</v>
      </c>
      <c r="G109" s="15">
        <v>0</v>
      </c>
      <c r="H109" s="15">
        <v>0</v>
      </c>
      <c r="I109" s="15">
        <v>0</v>
      </c>
      <c r="J109" s="15">
        <v>0</v>
      </c>
      <c r="K109" s="15">
        <v>0</v>
      </c>
      <c r="L109" s="15">
        <v>0</v>
      </c>
      <c r="M109" s="15">
        <v>0</v>
      </c>
      <c r="N109" s="15">
        <v>0</v>
      </c>
      <c r="O109" s="15">
        <v>0</v>
      </c>
      <c r="P109" s="15">
        <v>0</v>
      </c>
      <c r="Q109" s="15">
        <v>0</v>
      </c>
      <c r="R109" s="15">
        <v>0</v>
      </c>
      <c r="S109" s="15">
        <v>0</v>
      </c>
      <c r="T109" s="15">
        <v>0</v>
      </c>
      <c r="U109" s="15">
        <v>0</v>
      </c>
      <c r="V109" s="15">
        <v>0</v>
      </c>
      <c r="W109" s="15">
        <v>0</v>
      </c>
      <c r="X109" s="15">
        <v>0</v>
      </c>
      <c r="Y109" s="15">
        <v>0</v>
      </c>
      <c r="Z109" s="15">
        <v>0</v>
      </c>
      <c r="AA109" s="15">
        <v>0</v>
      </c>
      <c r="AB109" s="15">
        <v>0</v>
      </c>
      <c r="AC109" s="15">
        <v>0</v>
      </c>
      <c r="AD109" s="15">
        <v>0</v>
      </c>
      <c r="AE109" s="15">
        <v>0</v>
      </c>
      <c r="AF109" s="15">
        <v>0</v>
      </c>
      <c r="AG109" s="15">
        <v>0</v>
      </c>
      <c r="AH109" s="15">
        <v>0</v>
      </c>
      <c r="AI109" s="15">
        <v>0</v>
      </c>
      <c r="AJ109" s="15">
        <v>0</v>
      </c>
      <c r="AK109" s="15">
        <v>0</v>
      </c>
      <c r="AL109" s="15">
        <v>0</v>
      </c>
      <c r="AM109" s="15">
        <v>0</v>
      </c>
      <c r="AN109" s="15">
        <v>0</v>
      </c>
      <c r="AO109" s="15">
        <v>0</v>
      </c>
      <c r="AP109" s="15">
        <v>0</v>
      </c>
      <c r="AQ109" s="15">
        <v>0</v>
      </c>
      <c r="AR109" s="15">
        <v>0</v>
      </c>
      <c r="AS109" s="15">
        <v>0</v>
      </c>
      <c r="AT109" s="15">
        <v>0</v>
      </c>
      <c r="AU109" s="15">
        <v>0</v>
      </c>
      <c r="AV109" s="15">
        <v>0</v>
      </c>
      <c r="AW109" s="15">
        <v>0</v>
      </c>
      <c r="AX109" s="15">
        <v>0</v>
      </c>
      <c r="AY109" s="15">
        <v>0</v>
      </c>
      <c r="AZ109" s="15">
        <v>0</v>
      </c>
      <c r="BA109" s="15">
        <v>0</v>
      </c>
      <c r="BB109" s="15">
        <v>0</v>
      </c>
      <c r="BC109" s="15">
        <v>0</v>
      </c>
      <c r="BD109" s="15">
        <v>0</v>
      </c>
    </row>
    <row r="110" spans="1:56" x14ac:dyDescent="0.35">
      <c r="A110" s="14" t="s">
        <v>99</v>
      </c>
      <c r="B110" s="10">
        <v>0</v>
      </c>
      <c r="C110" s="13"/>
      <c r="D110" s="15">
        <v>0</v>
      </c>
      <c r="E110" s="15">
        <v>0</v>
      </c>
      <c r="F110" s="15">
        <v>0</v>
      </c>
      <c r="G110" s="15">
        <v>0</v>
      </c>
      <c r="H110" s="15">
        <v>0</v>
      </c>
      <c r="I110" s="15">
        <v>0</v>
      </c>
      <c r="J110" s="15">
        <v>0</v>
      </c>
      <c r="K110" s="15">
        <v>0</v>
      </c>
      <c r="L110" s="15">
        <v>0</v>
      </c>
      <c r="M110" s="15">
        <v>0</v>
      </c>
      <c r="N110" s="15">
        <v>0</v>
      </c>
      <c r="O110" s="15">
        <v>0</v>
      </c>
      <c r="P110" s="15">
        <v>0</v>
      </c>
      <c r="Q110" s="15">
        <v>0</v>
      </c>
      <c r="R110" s="15">
        <v>0</v>
      </c>
      <c r="S110" s="15">
        <v>0</v>
      </c>
      <c r="T110" s="15">
        <v>0</v>
      </c>
      <c r="U110" s="15">
        <v>0</v>
      </c>
      <c r="V110" s="15">
        <v>0</v>
      </c>
      <c r="W110" s="15">
        <v>0</v>
      </c>
      <c r="X110" s="15">
        <v>0</v>
      </c>
      <c r="Y110" s="15">
        <v>0</v>
      </c>
      <c r="Z110" s="15">
        <v>0</v>
      </c>
      <c r="AA110" s="15">
        <v>0</v>
      </c>
      <c r="AB110" s="15">
        <v>0</v>
      </c>
      <c r="AC110" s="15">
        <v>0</v>
      </c>
      <c r="AD110" s="15">
        <v>0</v>
      </c>
      <c r="AE110" s="15">
        <v>0</v>
      </c>
      <c r="AF110" s="15">
        <v>0</v>
      </c>
      <c r="AG110" s="15">
        <v>0</v>
      </c>
      <c r="AH110" s="15">
        <v>0</v>
      </c>
      <c r="AI110" s="15">
        <v>0</v>
      </c>
      <c r="AJ110" s="15">
        <v>0</v>
      </c>
      <c r="AK110" s="15">
        <v>0</v>
      </c>
      <c r="AL110" s="15">
        <v>0</v>
      </c>
      <c r="AM110" s="15">
        <v>0</v>
      </c>
      <c r="AN110" s="15">
        <v>0</v>
      </c>
      <c r="AO110" s="15">
        <v>0</v>
      </c>
      <c r="AP110" s="15">
        <v>0</v>
      </c>
      <c r="AQ110" s="15">
        <v>0</v>
      </c>
      <c r="AR110" s="15">
        <v>0</v>
      </c>
      <c r="AS110" s="15">
        <v>0</v>
      </c>
      <c r="AT110" s="15">
        <v>0</v>
      </c>
      <c r="AU110" s="15">
        <v>0</v>
      </c>
      <c r="AV110" s="15">
        <v>0</v>
      </c>
      <c r="AW110" s="15">
        <v>0</v>
      </c>
      <c r="AX110" s="15">
        <v>0</v>
      </c>
      <c r="AY110" s="15">
        <v>0</v>
      </c>
      <c r="AZ110" s="15">
        <v>0</v>
      </c>
      <c r="BA110" s="15">
        <v>0</v>
      </c>
      <c r="BB110" s="15">
        <v>0</v>
      </c>
      <c r="BC110" s="15">
        <v>0</v>
      </c>
      <c r="BD110" s="15">
        <v>0</v>
      </c>
    </row>
    <row r="111" spans="1:56" x14ac:dyDescent="0.35">
      <c r="A111" s="17" t="s">
        <v>100</v>
      </c>
      <c r="B111" s="18"/>
      <c r="C111" s="18"/>
      <c r="D111" s="18"/>
      <c r="E111" s="18"/>
      <c r="F111" s="18"/>
      <c r="G111" s="18"/>
      <c r="H111" s="18"/>
      <c r="I111" s="18"/>
      <c r="J111" s="18"/>
      <c r="K111" s="18"/>
      <c r="L111" s="18"/>
      <c r="M111" s="18"/>
      <c r="N111" s="18"/>
      <c r="O111" s="18"/>
      <c r="P111" s="18"/>
      <c r="Q111" s="18"/>
      <c r="R111" s="18"/>
      <c r="S111" s="18"/>
      <c r="T111" s="18"/>
      <c r="U111" s="18"/>
      <c r="V111" s="18"/>
      <c r="W111" s="18"/>
      <c r="X111" s="18"/>
      <c r="Y111" s="18"/>
      <c r="Z111" s="18"/>
      <c r="AA111" s="18"/>
      <c r="AB111" s="18"/>
      <c r="AC111" s="18"/>
      <c r="AD111" s="18"/>
      <c r="AE111" s="18"/>
      <c r="AF111" s="18"/>
      <c r="AG111" s="18"/>
      <c r="AH111" s="18"/>
      <c r="AI111" s="18"/>
      <c r="AJ111" s="18"/>
      <c r="AK111" s="18"/>
      <c r="AL111" s="18"/>
      <c r="AM111" s="18"/>
      <c r="AN111" s="18"/>
      <c r="AO111" s="18"/>
      <c r="AP111" s="18"/>
      <c r="AQ111" s="18"/>
      <c r="AR111" s="18"/>
      <c r="AS111" s="18"/>
      <c r="AT111" s="18"/>
      <c r="AU111" s="18"/>
      <c r="AV111" s="18"/>
      <c r="AW111" s="18"/>
      <c r="AX111" s="18"/>
      <c r="AY111" s="18"/>
      <c r="AZ111" s="18"/>
      <c r="BA111" s="18"/>
      <c r="BB111" s="18"/>
      <c r="BC111" s="18"/>
      <c r="BD111" s="18"/>
    </row>
    <row r="112" spans="1:56" x14ac:dyDescent="0.35">
      <c r="A112" s="14" t="s">
        <v>103</v>
      </c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  <c r="BC112" s="2"/>
      <c r="BD112" s="2"/>
    </row>
    <row r="113" spans="1:56" x14ac:dyDescent="0.35">
      <c r="A113" s="14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/>
      <c r="BB113" s="2"/>
      <c r="BC113" s="2"/>
      <c r="BD113" s="2"/>
    </row>
  </sheetData>
  <mergeCells count="58">
    <mergeCell ref="BD8:BD9"/>
    <mergeCell ref="AS8:AS9"/>
    <mergeCell ref="AT8:AT9"/>
    <mergeCell ref="AU8:AU9"/>
    <mergeCell ref="AV8:AV9"/>
    <mergeCell ref="AW8:AW9"/>
    <mergeCell ref="AX8:AX9"/>
    <mergeCell ref="AY8:AY9"/>
    <mergeCell ref="AZ8:AZ9"/>
    <mergeCell ref="BA8:BA9"/>
    <mergeCell ref="BB8:BB9"/>
    <mergeCell ref="BC8:BC9"/>
    <mergeCell ref="AR8:AR9"/>
    <mergeCell ref="AG8:AG9"/>
    <mergeCell ref="AH8:AH9"/>
    <mergeCell ref="AI8:AI9"/>
    <mergeCell ref="AJ8:AJ9"/>
    <mergeCell ref="AK8:AK9"/>
    <mergeCell ref="AL8:AL9"/>
    <mergeCell ref="AM8:AM9"/>
    <mergeCell ref="AN8:AN9"/>
    <mergeCell ref="AO8:AO9"/>
    <mergeCell ref="AP8:AP9"/>
    <mergeCell ref="AQ8:AQ9"/>
    <mergeCell ref="S8:S9"/>
    <mergeCell ref="AF8:AF9"/>
    <mergeCell ref="U8:U9"/>
    <mergeCell ref="V8:V9"/>
    <mergeCell ref="W8:W9"/>
    <mergeCell ref="X8:X9"/>
    <mergeCell ref="Y8:Y9"/>
    <mergeCell ref="Z8:Z9"/>
    <mergeCell ref="AA8:AA9"/>
    <mergeCell ref="AB8:AB9"/>
    <mergeCell ref="AC8:AC9"/>
    <mergeCell ref="AD8:AD9"/>
    <mergeCell ref="AE8:AE9"/>
    <mergeCell ref="N8:N9"/>
    <mergeCell ref="O8:O9"/>
    <mergeCell ref="P8:P9"/>
    <mergeCell ref="Q8:Q9"/>
    <mergeCell ref="R8:R9"/>
    <mergeCell ref="A7:A9"/>
    <mergeCell ref="B7:C7"/>
    <mergeCell ref="D7:BD7"/>
    <mergeCell ref="B8:B9"/>
    <mergeCell ref="C8:C9"/>
    <mergeCell ref="D8:D9"/>
    <mergeCell ref="E8:E9"/>
    <mergeCell ref="F8:F9"/>
    <mergeCell ref="G8:G9"/>
    <mergeCell ref="H8:H9"/>
    <mergeCell ref="T8:T9"/>
    <mergeCell ref="I8:I9"/>
    <mergeCell ref="J8:J9"/>
    <mergeCell ref="K8:K9"/>
    <mergeCell ref="L8:L9"/>
    <mergeCell ref="M8:M9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C2F8C0-6615-43C6-B2BA-9C95DA57C711}">
  <dimension ref="A1:BD113"/>
  <sheetViews>
    <sheetView topLeftCell="A94" workbookViewId="0">
      <selection activeCell="E113" sqref="E113"/>
    </sheetView>
  </sheetViews>
  <sheetFormatPr baseColWidth="10" defaultColWidth="11.453125" defaultRowHeight="14.5" x14ac:dyDescent="0.35"/>
  <sheetData>
    <row r="1" spans="1:56" x14ac:dyDescent="0.35">
      <c r="A1" s="1"/>
      <c r="B1" s="2"/>
      <c r="C1" s="3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</row>
    <row r="2" spans="1:56" x14ac:dyDescent="0.35">
      <c r="A2" s="1" t="s">
        <v>0</v>
      </c>
      <c r="B2" s="2"/>
      <c r="C2" s="3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</row>
    <row r="3" spans="1:56" x14ac:dyDescent="0.35">
      <c r="A3" s="1" t="s">
        <v>1</v>
      </c>
      <c r="B3" s="2"/>
      <c r="C3" s="3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</row>
    <row r="4" spans="1:56" x14ac:dyDescent="0.35">
      <c r="A4" s="4" t="s">
        <v>2</v>
      </c>
      <c r="B4" s="2"/>
      <c r="C4" s="3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  <c r="AU4" s="2"/>
      <c r="AV4" s="2"/>
      <c r="AW4" s="2"/>
      <c r="AX4" s="2"/>
      <c r="AY4" s="2"/>
      <c r="AZ4" s="2"/>
      <c r="BA4" s="2"/>
      <c r="BB4" s="2"/>
      <c r="BC4" s="2"/>
      <c r="BD4" s="2"/>
    </row>
    <row r="5" spans="1:56" x14ac:dyDescent="0.35">
      <c r="A5" s="1" t="s">
        <v>108</v>
      </c>
      <c r="B5" s="2"/>
      <c r="C5" s="3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  <c r="AN5" s="2"/>
      <c r="AO5" s="2"/>
      <c r="AP5" s="2"/>
      <c r="AQ5" s="2"/>
      <c r="AR5" s="2"/>
      <c r="AS5" s="2"/>
      <c r="AT5" s="2"/>
      <c r="AU5" s="2"/>
      <c r="AV5" s="2"/>
      <c r="AW5" s="2"/>
      <c r="AX5" s="2"/>
      <c r="AY5" s="2"/>
      <c r="AZ5" s="2"/>
      <c r="BA5" s="2"/>
      <c r="BB5" s="2"/>
      <c r="BC5" s="2"/>
      <c r="BD5" s="2"/>
    </row>
    <row r="6" spans="1:56" x14ac:dyDescent="0.35">
      <c r="A6" s="5"/>
      <c r="B6" s="6"/>
      <c r="C6" s="7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  <c r="AM6" s="2"/>
      <c r="AN6" s="2"/>
      <c r="AO6" s="2"/>
      <c r="AP6" s="2"/>
      <c r="AQ6" s="2"/>
      <c r="AR6" s="2"/>
      <c r="AS6" s="2"/>
      <c r="AT6" s="2"/>
      <c r="AU6" s="2"/>
      <c r="AV6" s="2"/>
      <c r="AW6" s="2"/>
      <c r="AX6" s="2"/>
      <c r="AY6" s="2"/>
      <c r="AZ6" s="2"/>
      <c r="BA6" s="2"/>
      <c r="BB6" s="2"/>
      <c r="BC6" s="2"/>
      <c r="BD6" s="2"/>
    </row>
    <row r="7" spans="1:56" x14ac:dyDescent="0.35">
      <c r="A7" s="77" t="s">
        <v>4</v>
      </c>
      <c r="B7" s="80" t="s">
        <v>5</v>
      </c>
      <c r="C7" s="80"/>
      <c r="D7" s="81" t="s">
        <v>6</v>
      </c>
      <c r="E7" s="81"/>
      <c r="F7" s="81"/>
      <c r="G7" s="81"/>
      <c r="H7" s="81"/>
      <c r="I7" s="81"/>
      <c r="J7" s="81"/>
      <c r="K7" s="81"/>
      <c r="L7" s="81"/>
      <c r="M7" s="81"/>
      <c r="N7" s="81"/>
      <c r="O7" s="81"/>
      <c r="P7" s="81"/>
      <c r="Q7" s="81"/>
      <c r="R7" s="81"/>
      <c r="S7" s="81"/>
      <c r="T7" s="81"/>
      <c r="U7" s="81"/>
      <c r="V7" s="81"/>
      <c r="W7" s="81"/>
      <c r="X7" s="81"/>
      <c r="Y7" s="81"/>
      <c r="Z7" s="81"/>
      <c r="AA7" s="81"/>
      <c r="AB7" s="81"/>
      <c r="AC7" s="81"/>
      <c r="AD7" s="81"/>
      <c r="AE7" s="81"/>
      <c r="AF7" s="81"/>
      <c r="AG7" s="81"/>
      <c r="AH7" s="81"/>
      <c r="AI7" s="81"/>
      <c r="AJ7" s="81"/>
      <c r="AK7" s="81"/>
      <c r="AL7" s="81"/>
      <c r="AM7" s="81"/>
      <c r="AN7" s="81"/>
      <c r="AO7" s="81"/>
      <c r="AP7" s="81"/>
      <c r="AQ7" s="81"/>
      <c r="AR7" s="81"/>
      <c r="AS7" s="81"/>
      <c r="AT7" s="81"/>
      <c r="AU7" s="81"/>
      <c r="AV7" s="81"/>
      <c r="AW7" s="81"/>
      <c r="AX7" s="81"/>
      <c r="AY7" s="81"/>
      <c r="AZ7" s="81"/>
      <c r="BA7" s="81"/>
      <c r="BB7" s="81"/>
      <c r="BC7" s="81"/>
      <c r="BD7" s="81"/>
    </row>
    <row r="8" spans="1:56" x14ac:dyDescent="0.35">
      <c r="A8" s="78"/>
      <c r="B8" s="82" t="s">
        <v>7</v>
      </c>
      <c r="C8" s="84" t="s">
        <v>8</v>
      </c>
      <c r="D8" s="75">
        <v>1</v>
      </c>
      <c r="E8" s="75">
        <v>2</v>
      </c>
      <c r="F8" s="75">
        <v>3</v>
      </c>
      <c r="G8" s="75">
        <v>4</v>
      </c>
      <c r="H8" s="75">
        <v>5</v>
      </c>
      <c r="I8" s="75">
        <v>6</v>
      </c>
      <c r="J8" s="75">
        <v>7</v>
      </c>
      <c r="K8" s="75">
        <v>8</v>
      </c>
      <c r="L8" s="75">
        <v>9</v>
      </c>
      <c r="M8" s="75">
        <v>10</v>
      </c>
      <c r="N8" s="75">
        <v>11</v>
      </c>
      <c r="O8" s="75">
        <v>12</v>
      </c>
      <c r="P8" s="75">
        <v>13</v>
      </c>
      <c r="Q8" s="75">
        <v>14</v>
      </c>
      <c r="R8" s="75">
        <v>15</v>
      </c>
      <c r="S8" s="75">
        <v>16</v>
      </c>
      <c r="T8" s="75">
        <v>17</v>
      </c>
      <c r="U8" s="75">
        <v>18</v>
      </c>
      <c r="V8" s="75">
        <v>19</v>
      </c>
      <c r="W8" s="75">
        <v>20</v>
      </c>
      <c r="X8" s="75">
        <v>21</v>
      </c>
      <c r="Y8" s="75">
        <v>22</v>
      </c>
      <c r="Z8" s="75">
        <v>23</v>
      </c>
      <c r="AA8" s="75">
        <v>24</v>
      </c>
      <c r="AB8" s="75">
        <v>25</v>
      </c>
      <c r="AC8" s="75">
        <v>26</v>
      </c>
      <c r="AD8" s="75">
        <v>27</v>
      </c>
      <c r="AE8" s="75">
        <v>28</v>
      </c>
      <c r="AF8" s="75">
        <v>29</v>
      </c>
      <c r="AG8" s="75">
        <v>30</v>
      </c>
      <c r="AH8" s="75">
        <v>31</v>
      </c>
      <c r="AI8" s="75">
        <v>32</v>
      </c>
      <c r="AJ8" s="75">
        <v>33</v>
      </c>
      <c r="AK8" s="75">
        <v>34</v>
      </c>
      <c r="AL8" s="75">
        <v>35</v>
      </c>
      <c r="AM8" s="75">
        <v>36</v>
      </c>
      <c r="AN8" s="75">
        <v>37</v>
      </c>
      <c r="AO8" s="75">
        <v>38</v>
      </c>
      <c r="AP8" s="75">
        <v>39</v>
      </c>
      <c r="AQ8" s="75">
        <v>40</v>
      </c>
      <c r="AR8" s="75">
        <v>41</v>
      </c>
      <c r="AS8" s="75">
        <v>42</v>
      </c>
      <c r="AT8" s="75">
        <v>43</v>
      </c>
      <c r="AU8" s="75">
        <v>44</v>
      </c>
      <c r="AV8" s="75">
        <v>45</v>
      </c>
      <c r="AW8" s="75">
        <v>46</v>
      </c>
      <c r="AX8" s="75">
        <v>47</v>
      </c>
      <c r="AY8" s="75">
        <v>48</v>
      </c>
      <c r="AZ8" s="75">
        <v>49</v>
      </c>
      <c r="BA8" s="75">
        <v>50</v>
      </c>
      <c r="BB8" s="75">
        <v>51</v>
      </c>
      <c r="BC8" s="75">
        <v>52</v>
      </c>
      <c r="BD8" s="75">
        <v>53</v>
      </c>
    </row>
    <row r="9" spans="1:56" x14ac:dyDescent="0.35">
      <c r="A9" s="79"/>
      <c r="B9" s="83"/>
      <c r="C9" s="85"/>
      <c r="D9" s="76"/>
      <c r="E9" s="76"/>
      <c r="F9" s="76"/>
      <c r="G9" s="76"/>
      <c r="H9" s="76"/>
      <c r="I9" s="76"/>
      <c r="J9" s="76"/>
      <c r="K9" s="76"/>
      <c r="L9" s="76"/>
      <c r="M9" s="76"/>
      <c r="N9" s="76"/>
      <c r="O9" s="76"/>
      <c r="P9" s="76"/>
      <c r="Q9" s="76"/>
      <c r="R9" s="76"/>
      <c r="S9" s="76"/>
      <c r="T9" s="76"/>
      <c r="U9" s="76"/>
      <c r="V9" s="76"/>
      <c r="W9" s="76"/>
      <c r="X9" s="76"/>
      <c r="Y9" s="76"/>
      <c r="Z9" s="76"/>
      <c r="AA9" s="76"/>
      <c r="AB9" s="76"/>
      <c r="AC9" s="76"/>
      <c r="AD9" s="76"/>
      <c r="AE9" s="76"/>
      <c r="AF9" s="76"/>
      <c r="AG9" s="76"/>
      <c r="AH9" s="76"/>
      <c r="AI9" s="76"/>
      <c r="AJ9" s="76"/>
      <c r="AK9" s="76"/>
      <c r="AL9" s="76"/>
      <c r="AM9" s="76"/>
      <c r="AN9" s="76"/>
      <c r="AO9" s="76"/>
      <c r="AP9" s="76"/>
      <c r="AQ9" s="76"/>
      <c r="AR9" s="76"/>
      <c r="AS9" s="76"/>
      <c r="AT9" s="76"/>
      <c r="AU9" s="76"/>
      <c r="AV9" s="76"/>
      <c r="AW9" s="76"/>
      <c r="AX9" s="76"/>
      <c r="AY9" s="76"/>
      <c r="AZ9" s="76"/>
      <c r="BA9" s="76"/>
      <c r="BB9" s="76"/>
      <c r="BC9" s="76"/>
      <c r="BD9" s="76"/>
    </row>
    <row r="10" spans="1:56" x14ac:dyDescent="0.35">
      <c r="A10" s="8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2"/>
      <c r="AL10" s="2"/>
      <c r="AM10" s="2"/>
      <c r="AN10" s="2"/>
      <c r="AO10" s="2"/>
      <c r="AP10" s="2"/>
      <c r="AQ10" s="2"/>
      <c r="AR10" s="2"/>
      <c r="AS10" s="2"/>
      <c r="AT10" s="2"/>
      <c r="AU10" s="2"/>
      <c r="AV10" s="2"/>
      <c r="AW10" s="2"/>
      <c r="AX10" s="2"/>
      <c r="AY10" s="2"/>
      <c r="AZ10" s="2"/>
      <c r="BA10" s="2"/>
      <c r="BB10" s="2"/>
      <c r="BC10" s="2"/>
      <c r="BD10" s="2"/>
    </row>
    <row r="11" spans="1:56" x14ac:dyDescent="0.35">
      <c r="A11" s="9" t="s">
        <v>9</v>
      </c>
      <c r="B11" s="10">
        <v>7485</v>
      </c>
      <c r="C11" s="11">
        <v>143.57337932796534</v>
      </c>
      <c r="D11" s="10">
        <v>96</v>
      </c>
      <c r="E11" s="10">
        <v>56</v>
      </c>
      <c r="F11" s="10">
        <v>37</v>
      </c>
      <c r="G11" s="10">
        <v>30</v>
      </c>
      <c r="H11" s="10">
        <v>37</v>
      </c>
      <c r="I11" s="10">
        <v>44</v>
      </c>
      <c r="J11" s="10">
        <v>36</v>
      </c>
      <c r="K11" s="10">
        <v>35</v>
      </c>
      <c r="L11" s="10">
        <v>39</v>
      </c>
      <c r="M11" s="10">
        <v>30</v>
      </c>
      <c r="N11" s="10">
        <v>45</v>
      </c>
      <c r="O11" s="10">
        <v>77</v>
      </c>
      <c r="P11" s="10">
        <v>49</v>
      </c>
      <c r="Q11" s="10">
        <v>56</v>
      </c>
      <c r="R11" s="10">
        <v>68</v>
      </c>
      <c r="S11" s="10">
        <v>89</v>
      </c>
      <c r="T11" s="10">
        <v>84</v>
      </c>
      <c r="U11" s="10">
        <v>118</v>
      </c>
      <c r="V11" s="10">
        <v>152</v>
      </c>
      <c r="W11" s="10">
        <v>165</v>
      </c>
      <c r="X11" s="10">
        <v>147</v>
      </c>
      <c r="Y11" s="10">
        <v>158</v>
      </c>
      <c r="Z11" s="10">
        <v>215</v>
      </c>
      <c r="AA11" s="10">
        <v>256</v>
      </c>
      <c r="AB11" s="10">
        <v>213</v>
      </c>
      <c r="AC11" s="10">
        <v>195</v>
      </c>
      <c r="AD11" s="10">
        <v>253</v>
      </c>
      <c r="AE11" s="10">
        <v>287</v>
      </c>
      <c r="AF11" s="10">
        <v>270</v>
      </c>
      <c r="AG11" s="10">
        <v>268</v>
      </c>
      <c r="AH11" s="10">
        <v>316</v>
      </c>
      <c r="AI11" s="10">
        <v>270</v>
      </c>
      <c r="AJ11" s="10">
        <v>297</v>
      </c>
      <c r="AK11" s="10">
        <v>292</v>
      </c>
      <c r="AL11" s="10">
        <v>260</v>
      </c>
      <c r="AM11" s="10">
        <v>223</v>
      </c>
      <c r="AN11" s="10">
        <v>212</v>
      </c>
      <c r="AO11" s="10">
        <v>163</v>
      </c>
      <c r="AP11" s="10">
        <v>198</v>
      </c>
      <c r="AQ11" s="10">
        <v>200</v>
      </c>
      <c r="AR11" s="10">
        <v>175</v>
      </c>
      <c r="AS11" s="10">
        <v>181</v>
      </c>
      <c r="AT11" s="10">
        <v>185</v>
      </c>
      <c r="AU11" s="10">
        <v>139</v>
      </c>
      <c r="AV11" s="10">
        <v>155</v>
      </c>
      <c r="AW11" s="10">
        <v>136</v>
      </c>
      <c r="AX11" s="10">
        <v>106</v>
      </c>
      <c r="AY11" s="10">
        <v>106</v>
      </c>
      <c r="AZ11" s="10">
        <v>110</v>
      </c>
      <c r="BA11" s="10">
        <v>74</v>
      </c>
      <c r="BB11" s="10">
        <v>59</v>
      </c>
      <c r="BC11" s="10">
        <v>23</v>
      </c>
      <c r="BD11" s="10">
        <v>0</v>
      </c>
    </row>
    <row r="12" spans="1:56" x14ac:dyDescent="0.35">
      <c r="A12" s="1"/>
      <c r="B12" s="12"/>
      <c r="C12" s="13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/>
      <c r="AK12" s="2"/>
      <c r="AL12" s="2"/>
      <c r="AM12" s="2"/>
      <c r="AN12" s="2"/>
      <c r="AO12" s="2"/>
      <c r="AP12" s="2"/>
      <c r="AQ12" s="2"/>
      <c r="AR12" s="2"/>
      <c r="AS12" s="2"/>
      <c r="AT12" s="2"/>
      <c r="AU12" s="2"/>
      <c r="AV12" s="2"/>
      <c r="AW12" s="2"/>
      <c r="AX12" s="2"/>
      <c r="AY12" s="2"/>
      <c r="AZ12" s="2"/>
      <c r="BA12" s="2"/>
      <c r="BB12" s="2"/>
      <c r="BC12" s="2"/>
      <c r="BD12" s="2"/>
    </row>
    <row r="13" spans="1:56" x14ac:dyDescent="0.35">
      <c r="A13" s="1" t="s">
        <v>10</v>
      </c>
      <c r="B13" s="10">
        <v>465</v>
      </c>
      <c r="C13" s="11">
        <v>27.591543103033942</v>
      </c>
      <c r="D13" s="10">
        <v>9</v>
      </c>
      <c r="E13" s="10">
        <v>2</v>
      </c>
      <c r="F13" s="10">
        <v>3</v>
      </c>
      <c r="G13" s="10">
        <v>1</v>
      </c>
      <c r="H13" s="10">
        <v>6</v>
      </c>
      <c r="I13" s="10">
        <v>4</v>
      </c>
      <c r="J13" s="10">
        <v>0</v>
      </c>
      <c r="K13" s="10">
        <v>5</v>
      </c>
      <c r="L13" s="10">
        <v>3</v>
      </c>
      <c r="M13" s="10">
        <v>0</v>
      </c>
      <c r="N13" s="10">
        <v>3</v>
      </c>
      <c r="O13" s="10">
        <v>3</v>
      </c>
      <c r="P13" s="10">
        <v>1</v>
      </c>
      <c r="Q13" s="10">
        <v>3</v>
      </c>
      <c r="R13" s="10">
        <v>4</v>
      </c>
      <c r="S13" s="10">
        <v>6</v>
      </c>
      <c r="T13" s="10">
        <v>6</v>
      </c>
      <c r="U13" s="10">
        <v>3</v>
      </c>
      <c r="V13" s="10">
        <v>4</v>
      </c>
      <c r="W13" s="10">
        <v>3</v>
      </c>
      <c r="X13" s="10">
        <v>4</v>
      </c>
      <c r="Y13" s="10">
        <v>5</v>
      </c>
      <c r="Z13" s="10">
        <v>4</v>
      </c>
      <c r="AA13" s="10">
        <v>4</v>
      </c>
      <c r="AB13" s="10">
        <v>6</v>
      </c>
      <c r="AC13" s="10">
        <v>6</v>
      </c>
      <c r="AD13" s="10">
        <v>9</v>
      </c>
      <c r="AE13" s="10">
        <v>7</v>
      </c>
      <c r="AF13" s="10">
        <v>13</v>
      </c>
      <c r="AG13" s="10">
        <v>8</v>
      </c>
      <c r="AH13" s="10">
        <v>15</v>
      </c>
      <c r="AI13" s="10">
        <v>20</v>
      </c>
      <c r="AJ13" s="10">
        <v>12</v>
      </c>
      <c r="AK13" s="10">
        <v>26</v>
      </c>
      <c r="AL13" s="10">
        <v>19</v>
      </c>
      <c r="AM13" s="10">
        <v>13</v>
      </c>
      <c r="AN13" s="10">
        <v>14</v>
      </c>
      <c r="AO13" s="10">
        <v>13</v>
      </c>
      <c r="AP13" s="10">
        <v>18</v>
      </c>
      <c r="AQ13" s="10">
        <v>16</v>
      </c>
      <c r="AR13" s="10">
        <v>16</v>
      </c>
      <c r="AS13" s="10">
        <v>11</v>
      </c>
      <c r="AT13" s="10">
        <v>12</v>
      </c>
      <c r="AU13" s="10">
        <v>13</v>
      </c>
      <c r="AV13" s="10">
        <v>23</v>
      </c>
      <c r="AW13" s="10">
        <v>26</v>
      </c>
      <c r="AX13" s="10">
        <v>18</v>
      </c>
      <c r="AY13" s="10">
        <v>11</v>
      </c>
      <c r="AZ13" s="10">
        <v>16</v>
      </c>
      <c r="BA13" s="10">
        <v>8</v>
      </c>
      <c r="BB13" s="10">
        <v>7</v>
      </c>
      <c r="BC13" s="10">
        <v>3</v>
      </c>
      <c r="BD13" s="10">
        <v>0</v>
      </c>
    </row>
    <row r="14" spans="1:56" x14ac:dyDescent="0.35">
      <c r="A14" s="14" t="s">
        <v>11</v>
      </c>
      <c r="B14" s="15">
        <v>218</v>
      </c>
      <c r="C14" s="16">
        <v>61.939208655578227</v>
      </c>
      <c r="D14" s="15">
        <v>2</v>
      </c>
      <c r="E14" s="15">
        <v>0</v>
      </c>
      <c r="F14" s="15">
        <v>1</v>
      </c>
      <c r="G14" s="15">
        <v>0</v>
      </c>
      <c r="H14" s="15">
        <v>1</v>
      </c>
      <c r="I14" s="15">
        <v>0</v>
      </c>
      <c r="J14" s="15">
        <v>0</v>
      </c>
      <c r="K14" s="15">
        <v>2</v>
      </c>
      <c r="L14" s="15">
        <v>0</v>
      </c>
      <c r="M14" s="15">
        <v>0</v>
      </c>
      <c r="N14" s="15">
        <v>0</v>
      </c>
      <c r="O14" s="15">
        <v>0</v>
      </c>
      <c r="P14" s="15">
        <v>1</v>
      </c>
      <c r="Q14" s="15">
        <v>2</v>
      </c>
      <c r="R14" s="15">
        <v>0</v>
      </c>
      <c r="S14" s="15">
        <v>1</v>
      </c>
      <c r="T14" s="15">
        <v>1</v>
      </c>
      <c r="U14" s="15">
        <v>1</v>
      </c>
      <c r="V14" s="15">
        <v>0</v>
      </c>
      <c r="W14" s="15">
        <v>1</v>
      </c>
      <c r="X14" s="15">
        <v>2</v>
      </c>
      <c r="Y14" s="15">
        <v>0</v>
      </c>
      <c r="Z14" s="15">
        <v>1</v>
      </c>
      <c r="AA14" s="15">
        <v>0</v>
      </c>
      <c r="AB14" s="15">
        <v>3</v>
      </c>
      <c r="AC14" s="15">
        <v>3</v>
      </c>
      <c r="AD14" s="15">
        <v>1</v>
      </c>
      <c r="AE14" s="15">
        <v>6</v>
      </c>
      <c r="AF14" s="15">
        <v>7</v>
      </c>
      <c r="AG14" s="15">
        <v>3</v>
      </c>
      <c r="AH14" s="15">
        <v>12</v>
      </c>
      <c r="AI14" s="15">
        <v>17</v>
      </c>
      <c r="AJ14" s="15">
        <v>8</v>
      </c>
      <c r="AK14" s="15">
        <v>16</v>
      </c>
      <c r="AL14" s="15">
        <v>13</v>
      </c>
      <c r="AM14" s="15">
        <v>7</v>
      </c>
      <c r="AN14" s="15">
        <v>9</v>
      </c>
      <c r="AO14" s="15">
        <v>6</v>
      </c>
      <c r="AP14" s="15">
        <v>11</v>
      </c>
      <c r="AQ14" s="15">
        <v>4</v>
      </c>
      <c r="AR14" s="15">
        <v>8</v>
      </c>
      <c r="AS14" s="15">
        <v>5</v>
      </c>
      <c r="AT14" s="15">
        <v>5</v>
      </c>
      <c r="AU14" s="15">
        <v>6</v>
      </c>
      <c r="AV14" s="15">
        <v>10</v>
      </c>
      <c r="AW14" s="15">
        <v>13</v>
      </c>
      <c r="AX14" s="15">
        <v>11</v>
      </c>
      <c r="AY14" s="15">
        <v>5</v>
      </c>
      <c r="AZ14" s="15">
        <v>9</v>
      </c>
      <c r="BA14" s="15">
        <v>4</v>
      </c>
      <c r="BB14" s="15">
        <v>0</v>
      </c>
      <c r="BC14" s="15">
        <v>0</v>
      </c>
      <c r="BD14" s="15">
        <v>0</v>
      </c>
    </row>
    <row r="15" spans="1:56" x14ac:dyDescent="0.35">
      <c r="A15" s="14" t="s">
        <v>12</v>
      </c>
      <c r="B15" s="15">
        <v>14</v>
      </c>
      <c r="C15" s="16">
        <v>19.662369034577679</v>
      </c>
      <c r="D15" s="15">
        <v>0</v>
      </c>
      <c r="E15" s="15">
        <v>0</v>
      </c>
      <c r="F15" s="15">
        <v>0</v>
      </c>
      <c r="G15" s="15">
        <v>0</v>
      </c>
      <c r="H15" s="15">
        <v>0</v>
      </c>
      <c r="I15" s="15">
        <v>1</v>
      </c>
      <c r="J15" s="15">
        <v>0</v>
      </c>
      <c r="K15" s="15">
        <v>0</v>
      </c>
      <c r="L15" s="15">
        <v>0</v>
      </c>
      <c r="M15" s="15">
        <v>0</v>
      </c>
      <c r="N15" s="15">
        <v>0</v>
      </c>
      <c r="O15" s="15">
        <v>0</v>
      </c>
      <c r="P15" s="15">
        <v>0</v>
      </c>
      <c r="Q15" s="15">
        <v>0</v>
      </c>
      <c r="R15" s="15">
        <v>0</v>
      </c>
      <c r="S15" s="15">
        <v>1</v>
      </c>
      <c r="T15" s="15">
        <v>1</v>
      </c>
      <c r="U15" s="15">
        <v>0</v>
      </c>
      <c r="V15" s="15">
        <v>0</v>
      </c>
      <c r="W15" s="15">
        <v>0</v>
      </c>
      <c r="X15" s="15">
        <v>0</v>
      </c>
      <c r="Y15" s="15">
        <v>0</v>
      </c>
      <c r="Z15" s="15">
        <v>0</v>
      </c>
      <c r="AA15" s="15">
        <v>0</v>
      </c>
      <c r="AB15" s="15">
        <v>0</v>
      </c>
      <c r="AC15" s="15">
        <v>0</v>
      </c>
      <c r="AD15" s="15">
        <v>1</v>
      </c>
      <c r="AE15" s="15">
        <v>0</v>
      </c>
      <c r="AF15" s="15">
        <v>0</v>
      </c>
      <c r="AG15" s="15">
        <v>0</v>
      </c>
      <c r="AH15" s="15">
        <v>0</v>
      </c>
      <c r="AI15" s="15">
        <v>0</v>
      </c>
      <c r="AJ15" s="15">
        <v>0</v>
      </c>
      <c r="AK15" s="15">
        <v>0</v>
      </c>
      <c r="AL15" s="15">
        <v>1</v>
      </c>
      <c r="AM15" s="15">
        <v>0</v>
      </c>
      <c r="AN15" s="15">
        <v>0</v>
      </c>
      <c r="AO15" s="15">
        <v>0</v>
      </c>
      <c r="AP15" s="15">
        <v>0</v>
      </c>
      <c r="AQ15" s="15">
        <v>1</v>
      </c>
      <c r="AR15" s="15">
        <v>0</v>
      </c>
      <c r="AS15" s="15">
        <v>1</v>
      </c>
      <c r="AT15" s="15">
        <v>0</v>
      </c>
      <c r="AU15" s="15">
        <v>0</v>
      </c>
      <c r="AV15" s="15">
        <v>1</v>
      </c>
      <c r="AW15" s="15">
        <v>1</v>
      </c>
      <c r="AX15" s="15">
        <v>2</v>
      </c>
      <c r="AY15" s="15">
        <v>2</v>
      </c>
      <c r="AZ15" s="15">
        <v>1</v>
      </c>
      <c r="BA15" s="15">
        <v>0</v>
      </c>
      <c r="BB15" s="15">
        <v>0</v>
      </c>
      <c r="BC15" s="15">
        <v>0</v>
      </c>
      <c r="BD15" s="15">
        <v>0</v>
      </c>
    </row>
    <row r="16" spans="1:56" x14ac:dyDescent="0.35">
      <c r="A16" s="14" t="s">
        <v>13</v>
      </c>
      <c r="B16" s="15">
        <v>17</v>
      </c>
      <c r="C16" s="16">
        <v>6.8172613056258449</v>
      </c>
      <c r="D16" s="15">
        <v>1</v>
      </c>
      <c r="E16" s="15">
        <v>0</v>
      </c>
      <c r="F16" s="15">
        <v>0</v>
      </c>
      <c r="G16" s="15">
        <v>0</v>
      </c>
      <c r="H16" s="15">
        <v>0</v>
      </c>
      <c r="I16" s="15">
        <v>2</v>
      </c>
      <c r="J16" s="15">
        <v>0</v>
      </c>
      <c r="K16" s="15">
        <v>0</v>
      </c>
      <c r="L16" s="15">
        <v>0</v>
      </c>
      <c r="M16" s="15">
        <v>0</v>
      </c>
      <c r="N16" s="15">
        <v>1</v>
      </c>
      <c r="O16" s="15">
        <v>0</v>
      </c>
      <c r="P16" s="15">
        <v>0</v>
      </c>
      <c r="Q16" s="15">
        <v>0</v>
      </c>
      <c r="R16" s="15">
        <v>0</v>
      </c>
      <c r="S16" s="15">
        <v>0</v>
      </c>
      <c r="T16" s="15">
        <v>0</v>
      </c>
      <c r="U16" s="15">
        <v>0</v>
      </c>
      <c r="V16" s="15">
        <v>1</v>
      </c>
      <c r="W16" s="15">
        <v>1</v>
      </c>
      <c r="X16" s="15">
        <v>1</v>
      </c>
      <c r="Y16" s="15">
        <v>1</v>
      </c>
      <c r="Z16" s="15">
        <v>0</v>
      </c>
      <c r="AA16" s="15">
        <v>0</v>
      </c>
      <c r="AB16" s="15">
        <v>0</v>
      </c>
      <c r="AC16" s="15">
        <v>0</v>
      </c>
      <c r="AD16" s="15">
        <v>1</v>
      </c>
      <c r="AE16" s="15">
        <v>0</v>
      </c>
      <c r="AF16" s="15">
        <v>2</v>
      </c>
      <c r="AG16" s="15">
        <v>0</v>
      </c>
      <c r="AH16" s="15">
        <v>0</v>
      </c>
      <c r="AI16" s="15">
        <v>1</v>
      </c>
      <c r="AJ16" s="15">
        <v>0</v>
      </c>
      <c r="AK16" s="15">
        <v>1</v>
      </c>
      <c r="AL16" s="15">
        <v>1</v>
      </c>
      <c r="AM16" s="15">
        <v>0</v>
      </c>
      <c r="AN16" s="15">
        <v>0</v>
      </c>
      <c r="AO16" s="15">
        <v>0</v>
      </c>
      <c r="AP16" s="15">
        <v>0</v>
      </c>
      <c r="AQ16" s="15">
        <v>0</v>
      </c>
      <c r="AR16" s="15">
        <v>1</v>
      </c>
      <c r="AS16" s="15">
        <v>0</v>
      </c>
      <c r="AT16" s="15">
        <v>0</v>
      </c>
      <c r="AU16" s="15">
        <v>0</v>
      </c>
      <c r="AV16" s="15">
        <v>0</v>
      </c>
      <c r="AW16" s="15">
        <v>1</v>
      </c>
      <c r="AX16" s="15">
        <v>0</v>
      </c>
      <c r="AY16" s="15">
        <v>0</v>
      </c>
      <c r="AZ16" s="15">
        <v>1</v>
      </c>
      <c r="BA16" s="15">
        <v>0</v>
      </c>
      <c r="BB16" s="15">
        <v>0</v>
      </c>
      <c r="BC16" s="15">
        <v>0</v>
      </c>
      <c r="BD16" s="15">
        <v>0</v>
      </c>
    </row>
    <row r="17" spans="1:56" x14ac:dyDescent="0.35">
      <c r="A17" s="14" t="s">
        <v>14</v>
      </c>
      <c r="B17" s="15">
        <v>6</v>
      </c>
      <c r="C17" s="16">
        <v>15.546860829684139</v>
      </c>
      <c r="D17" s="15">
        <v>0</v>
      </c>
      <c r="E17" s="15">
        <v>0</v>
      </c>
      <c r="F17" s="15">
        <v>0</v>
      </c>
      <c r="G17" s="15">
        <v>0</v>
      </c>
      <c r="H17" s="15">
        <v>0</v>
      </c>
      <c r="I17" s="15">
        <v>0</v>
      </c>
      <c r="J17" s="15">
        <v>0</v>
      </c>
      <c r="K17" s="15">
        <v>0</v>
      </c>
      <c r="L17" s="15">
        <v>0</v>
      </c>
      <c r="M17" s="15">
        <v>0</v>
      </c>
      <c r="N17" s="15">
        <v>0</v>
      </c>
      <c r="O17" s="15">
        <v>0</v>
      </c>
      <c r="P17" s="15">
        <v>0</v>
      </c>
      <c r="Q17" s="15">
        <v>0</v>
      </c>
      <c r="R17" s="15">
        <v>0</v>
      </c>
      <c r="S17" s="15">
        <v>0</v>
      </c>
      <c r="T17" s="15">
        <v>0</v>
      </c>
      <c r="U17" s="15">
        <v>0</v>
      </c>
      <c r="V17" s="15">
        <v>0</v>
      </c>
      <c r="W17" s="15">
        <v>0</v>
      </c>
      <c r="X17" s="15">
        <v>0</v>
      </c>
      <c r="Y17" s="15">
        <v>0</v>
      </c>
      <c r="Z17" s="15">
        <v>0</v>
      </c>
      <c r="AA17" s="15">
        <v>0</v>
      </c>
      <c r="AB17" s="15">
        <v>0</v>
      </c>
      <c r="AC17" s="15">
        <v>0</v>
      </c>
      <c r="AD17" s="15">
        <v>1</v>
      </c>
      <c r="AE17" s="15">
        <v>0</v>
      </c>
      <c r="AF17" s="15">
        <v>0</v>
      </c>
      <c r="AG17" s="15">
        <v>0</v>
      </c>
      <c r="AH17" s="15">
        <v>0</v>
      </c>
      <c r="AI17" s="15">
        <v>0</v>
      </c>
      <c r="AJ17" s="15">
        <v>0</v>
      </c>
      <c r="AK17" s="15">
        <v>0</v>
      </c>
      <c r="AL17" s="15">
        <v>0</v>
      </c>
      <c r="AM17" s="15">
        <v>0</v>
      </c>
      <c r="AN17" s="15">
        <v>0</v>
      </c>
      <c r="AO17" s="15">
        <v>0</v>
      </c>
      <c r="AP17" s="15">
        <v>1</v>
      </c>
      <c r="AQ17" s="15">
        <v>0</v>
      </c>
      <c r="AR17" s="15">
        <v>0</v>
      </c>
      <c r="AS17" s="15">
        <v>0</v>
      </c>
      <c r="AT17" s="15">
        <v>1</v>
      </c>
      <c r="AU17" s="15">
        <v>0</v>
      </c>
      <c r="AV17" s="15">
        <v>1</v>
      </c>
      <c r="AW17" s="15">
        <v>0</v>
      </c>
      <c r="AX17" s="15">
        <v>0</v>
      </c>
      <c r="AY17" s="15">
        <v>0</v>
      </c>
      <c r="AZ17" s="15">
        <v>0</v>
      </c>
      <c r="BA17" s="15">
        <v>0</v>
      </c>
      <c r="BB17" s="15">
        <v>1</v>
      </c>
      <c r="BC17" s="15">
        <v>1</v>
      </c>
      <c r="BD17" s="15">
        <v>0</v>
      </c>
    </row>
    <row r="18" spans="1:56" x14ac:dyDescent="0.35">
      <c r="A18" s="14" t="s">
        <v>15</v>
      </c>
      <c r="B18" s="15">
        <v>3</v>
      </c>
      <c r="C18" s="16">
        <v>15.968488848671955</v>
      </c>
      <c r="D18" s="15">
        <v>0</v>
      </c>
      <c r="E18" s="15">
        <v>0</v>
      </c>
      <c r="F18" s="15">
        <v>0</v>
      </c>
      <c r="G18" s="15">
        <v>0</v>
      </c>
      <c r="H18" s="15">
        <v>0</v>
      </c>
      <c r="I18" s="15">
        <v>0</v>
      </c>
      <c r="J18" s="15">
        <v>0</v>
      </c>
      <c r="K18" s="15">
        <v>0</v>
      </c>
      <c r="L18" s="15">
        <v>0</v>
      </c>
      <c r="M18" s="15">
        <v>0</v>
      </c>
      <c r="N18" s="15">
        <v>0</v>
      </c>
      <c r="O18" s="15">
        <v>0</v>
      </c>
      <c r="P18" s="15">
        <v>0</v>
      </c>
      <c r="Q18" s="15">
        <v>0</v>
      </c>
      <c r="R18" s="15">
        <v>0</v>
      </c>
      <c r="S18" s="15">
        <v>0</v>
      </c>
      <c r="T18" s="15">
        <v>0</v>
      </c>
      <c r="U18" s="15">
        <v>0</v>
      </c>
      <c r="V18" s="15">
        <v>0</v>
      </c>
      <c r="W18" s="15">
        <v>0</v>
      </c>
      <c r="X18" s="15">
        <v>0</v>
      </c>
      <c r="Y18" s="15">
        <v>0</v>
      </c>
      <c r="Z18" s="15">
        <v>0</v>
      </c>
      <c r="AA18" s="15">
        <v>0</v>
      </c>
      <c r="AB18" s="15">
        <v>0</v>
      </c>
      <c r="AC18" s="15">
        <v>0</v>
      </c>
      <c r="AD18" s="15">
        <v>0</v>
      </c>
      <c r="AE18" s="15">
        <v>0</v>
      </c>
      <c r="AF18" s="15">
        <v>0</v>
      </c>
      <c r="AG18" s="15">
        <v>0</v>
      </c>
      <c r="AH18" s="15">
        <v>0</v>
      </c>
      <c r="AI18" s="15">
        <v>0</v>
      </c>
      <c r="AJ18" s="15">
        <v>0</v>
      </c>
      <c r="AK18" s="15">
        <v>0</v>
      </c>
      <c r="AL18" s="15">
        <v>0</v>
      </c>
      <c r="AM18" s="15">
        <v>0</v>
      </c>
      <c r="AN18" s="15">
        <v>0</v>
      </c>
      <c r="AO18" s="15">
        <v>1</v>
      </c>
      <c r="AP18" s="15">
        <v>0</v>
      </c>
      <c r="AQ18" s="15">
        <v>1</v>
      </c>
      <c r="AR18" s="15">
        <v>0</v>
      </c>
      <c r="AS18" s="15">
        <v>0</v>
      </c>
      <c r="AT18" s="15">
        <v>1</v>
      </c>
      <c r="AU18" s="15">
        <v>0</v>
      </c>
      <c r="AV18" s="15">
        <v>0</v>
      </c>
      <c r="AW18" s="15">
        <v>0</v>
      </c>
      <c r="AX18" s="15">
        <v>0</v>
      </c>
      <c r="AY18" s="15">
        <v>0</v>
      </c>
      <c r="AZ18" s="15">
        <v>0</v>
      </c>
      <c r="BA18" s="15">
        <v>0</v>
      </c>
      <c r="BB18" s="15">
        <v>0</v>
      </c>
      <c r="BC18" s="15">
        <v>0</v>
      </c>
      <c r="BD18" s="15">
        <v>0</v>
      </c>
    </row>
    <row r="19" spans="1:56" x14ac:dyDescent="0.35">
      <c r="A19" s="14" t="s">
        <v>16</v>
      </c>
      <c r="B19" s="15">
        <v>7</v>
      </c>
      <c r="C19" s="16">
        <v>10.856079404466501</v>
      </c>
      <c r="D19" s="15">
        <v>0</v>
      </c>
      <c r="E19" s="15">
        <v>0</v>
      </c>
      <c r="F19" s="15">
        <v>1</v>
      </c>
      <c r="G19" s="15">
        <v>0</v>
      </c>
      <c r="H19" s="15">
        <v>1</v>
      </c>
      <c r="I19" s="15">
        <v>0</v>
      </c>
      <c r="J19" s="15">
        <v>0</v>
      </c>
      <c r="K19" s="15">
        <v>0</v>
      </c>
      <c r="L19" s="15">
        <v>0</v>
      </c>
      <c r="M19" s="15">
        <v>0</v>
      </c>
      <c r="N19" s="15">
        <v>0</v>
      </c>
      <c r="O19" s="15">
        <v>0</v>
      </c>
      <c r="P19" s="15">
        <v>0</v>
      </c>
      <c r="Q19" s="15">
        <v>0</v>
      </c>
      <c r="R19" s="15">
        <v>0</v>
      </c>
      <c r="S19" s="15">
        <v>0</v>
      </c>
      <c r="T19" s="15">
        <v>0</v>
      </c>
      <c r="U19" s="15">
        <v>0</v>
      </c>
      <c r="V19" s="15">
        <v>0</v>
      </c>
      <c r="W19" s="15">
        <v>0</v>
      </c>
      <c r="X19" s="15">
        <v>0</v>
      </c>
      <c r="Y19" s="15">
        <v>0</v>
      </c>
      <c r="Z19" s="15">
        <v>0</v>
      </c>
      <c r="AA19" s="15">
        <v>0</v>
      </c>
      <c r="AB19" s="15">
        <v>0</v>
      </c>
      <c r="AC19" s="15">
        <v>0</v>
      </c>
      <c r="AD19" s="15">
        <v>0</v>
      </c>
      <c r="AE19" s="15">
        <v>0</v>
      </c>
      <c r="AF19" s="15">
        <v>1</v>
      </c>
      <c r="AG19" s="15">
        <v>0</v>
      </c>
      <c r="AH19" s="15">
        <v>0</v>
      </c>
      <c r="AI19" s="15">
        <v>1</v>
      </c>
      <c r="AJ19" s="15">
        <v>0</v>
      </c>
      <c r="AK19" s="15">
        <v>0</v>
      </c>
      <c r="AL19" s="15">
        <v>0</v>
      </c>
      <c r="AM19" s="15">
        <v>0</v>
      </c>
      <c r="AN19" s="15">
        <v>0</v>
      </c>
      <c r="AO19" s="15">
        <v>1</v>
      </c>
      <c r="AP19" s="15">
        <v>0</v>
      </c>
      <c r="AQ19" s="15">
        <v>0</v>
      </c>
      <c r="AR19" s="15">
        <v>0</v>
      </c>
      <c r="AS19" s="15">
        <v>0</v>
      </c>
      <c r="AT19" s="15">
        <v>0</v>
      </c>
      <c r="AU19" s="15">
        <v>1</v>
      </c>
      <c r="AV19" s="15">
        <v>0</v>
      </c>
      <c r="AW19" s="15">
        <v>0</v>
      </c>
      <c r="AX19" s="15">
        <v>1</v>
      </c>
      <c r="AY19" s="15">
        <v>0</v>
      </c>
      <c r="AZ19" s="15">
        <v>0</v>
      </c>
      <c r="BA19" s="15">
        <v>0</v>
      </c>
      <c r="BB19" s="15">
        <v>0</v>
      </c>
      <c r="BC19" s="15">
        <v>0</v>
      </c>
      <c r="BD19" s="15">
        <v>0</v>
      </c>
    </row>
    <row r="20" spans="1:56" x14ac:dyDescent="0.35">
      <c r="A20" s="14" t="s">
        <v>17</v>
      </c>
      <c r="B20" s="15">
        <v>5</v>
      </c>
      <c r="C20" s="16">
        <v>16.255404922136609</v>
      </c>
      <c r="D20" s="15">
        <v>0</v>
      </c>
      <c r="E20" s="15">
        <v>0</v>
      </c>
      <c r="F20" s="15">
        <v>0</v>
      </c>
      <c r="G20" s="15">
        <v>0</v>
      </c>
      <c r="H20" s="15">
        <v>0</v>
      </c>
      <c r="I20" s="15">
        <v>0</v>
      </c>
      <c r="J20" s="15">
        <v>0</v>
      </c>
      <c r="K20" s="15">
        <v>0</v>
      </c>
      <c r="L20" s="15">
        <v>0</v>
      </c>
      <c r="M20" s="15">
        <v>0</v>
      </c>
      <c r="N20" s="15">
        <v>0</v>
      </c>
      <c r="O20" s="15">
        <v>0</v>
      </c>
      <c r="P20" s="15">
        <v>0</v>
      </c>
      <c r="Q20" s="15">
        <v>0</v>
      </c>
      <c r="R20" s="15">
        <v>0</v>
      </c>
      <c r="S20" s="15">
        <v>0</v>
      </c>
      <c r="T20" s="15">
        <v>0</v>
      </c>
      <c r="U20" s="15">
        <v>1</v>
      </c>
      <c r="V20" s="15">
        <v>0</v>
      </c>
      <c r="W20" s="15">
        <v>0</v>
      </c>
      <c r="X20" s="15">
        <v>0</v>
      </c>
      <c r="Y20" s="15">
        <v>1</v>
      </c>
      <c r="Z20" s="15">
        <v>0</v>
      </c>
      <c r="AA20" s="15">
        <v>0</v>
      </c>
      <c r="AB20" s="15">
        <v>0</v>
      </c>
      <c r="AC20" s="15">
        <v>0</v>
      </c>
      <c r="AD20" s="15">
        <v>0</v>
      </c>
      <c r="AE20" s="15">
        <v>0</v>
      </c>
      <c r="AF20" s="15">
        <v>0</v>
      </c>
      <c r="AG20" s="15">
        <v>0</v>
      </c>
      <c r="AH20" s="15">
        <v>0</v>
      </c>
      <c r="AI20" s="15">
        <v>0</v>
      </c>
      <c r="AJ20" s="15">
        <v>0</v>
      </c>
      <c r="AK20" s="15">
        <v>1</v>
      </c>
      <c r="AL20" s="15">
        <v>1</v>
      </c>
      <c r="AM20" s="15">
        <v>0</v>
      </c>
      <c r="AN20" s="15">
        <v>0</v>
      </c>
      <c r="AO20" s="15">
        <v>0</v>
      </c>
      <c r="AP20" s="15">
        <v>0</v>
      </c>
      <c r="AQ20" s="15">
        <v>0</v>
      </c>
      <c r="AR20" s="15">
        <v>0</v>
      </c>
      <c r="AS20" s="15">
        <v>0</v>
      </c>
      <c r="AT20" s="15">
        <v>0</v>
      </c>
      <c r="AU20" s="15">
        <v>0</v>
      </c>
      <c r="AV20" s="15">
        <v>0</v>
      </c>
      <c r="AW20" s="15">
        <v>0</v>
      </c>
      <c r="AX20" s="15">
        <v>0</v>
      </c>
      <c r="AY20" s="15">
        <v>0</v>
      </c>
      <c r="AZ20" s="15">
        <v>0</v>
      </c>
      <c r="BA20" s="15">
        <v>0</v>
      </c>
      <c r="BB20" s="15">
        <v>0</v>
      </c>
      <c r="BC20" s="15">
        <v>1</v>
      </c>
      <c r="BD20" s="15">
        <v>0</v>
      </c>
    </row>
    <row r="21" spans="1:56" x14ac:dyDescent="0.35">
      <c r="A21" s="14" t="s">
        <v>18</v>
      </c>
      <c r="B21" s="15">
        <v>6</v>
      </c>
      <c r="C21" s="16">
        <v>4.2624534682163047</v>
      </c>
      <c r="D21" s="15">
        <v>0</v>
      </c>
      <c r="E21" s="15">
        <v>0</v>
      </c>
      <c r="F21" s="15">
        <v>0</v>
      </c>
      <c r="G21" s="15">
        <v>0</v>
      </c>
      <c r="H21" s="15">
        <v>0</v>
      </c>
      <c r="I21" s="15">
        <v>0</v>
      </c>
      <c r="J21" s="15">
        <v>0</v>
      </c>
      <c r="K21" s="15">
        <v>0</v>
      </c>
      <c r="L21" s="15">
        <v>1</v>
      </c>
      <c r="M21" s="15">
        <v>0</v>
      </c>
      <c r="N21" s="15">
        <v>0</v>
      </c>
      <c r="O21" s="15">
        <v>0</v>
      </c>
      <c r="P21" s="15">
        <v>0</v>
      </c>
      <c r="Q21" s="15">
        <v>0</v>
      </c>
      <c r="R21" s="15">
        <v>0</v>
      </c>
      <c r="S21" s="15">
        <v>0</v>
      </c>
      <c r="T21" s="15">
        <v>0</v>
      </c>
      <c r="U21" s="15">
        <v>0</v>
      </c>
      <c r="V21" s="15">
        <v>0</v>
      </c>
      <c r="W21" s="15">
        <v>0</v>
      </c>
      <c r="X21" s="15">
        <v>0</v>
      </c>
      <c r="Y21" s="15">
        <v>0</v>
      </c>
      <c r="Z21" s="15">
        <v>0</v>
      </c>
      <c r="AA21" s="15">
        <v>0</v>
      </c>
      <c r="AB21" s="15">
        <v>0</v>
      </c>
      <c r="AC21" s="15">
        <v>1</v>
      </c>
      <c r="AD21" s="15">
        <v>0</v>
      </c>
      <c r="AE21" s="15">
        <v>0</v>
      </c>
      <c r="AF21" s="15">
        <v>0</v>
      </c>
      <c r="AG21" s="15">
        <v>0</v>
      </c>
      <c r="AH21" s="15">
        <v>0</v>
      </c>
      <c r="AI21" s="15">
        <v>0</v>
      </c>
      <c r="AJ21" s="15">
        <v>0</v>
      </c>
      <c r="AK21" s="15">
        <v>0</v>
      </c>
      <c r="AL21" s="15">
        <v>0</v>
      </c>
      <c r="AM21" s="15">
        <v>1</v>
      </c>
      <c r="AN21" s="15">
        <v>0</v>
      </c>
      <c r="AO21" s="15">
        <v>0</v>
      </c>
      <c r="AP21" s="15">
        <v>2</v>
      </c>
      <c r="AQ21" s="15">
        <v>0</v>
      </c>
      <c r="AR21" s="15">
        <v>1</v>
      </c>
      <c r="AS21" s="15">
        <v>0</v>
      </c>
      <c r="AT21" s="15">
        <v>0</v>
      </c>
      <c r="AU21" s="15">
        <v>0</v>
      </c>
      <c r="AV21" s="15">
        <v>0</v>
      </c>
      <c r="AW21" s="15">
        <v>0</v>
      </c>
      <c r="AX21" s="15">
        <v>0</v>
      </c>
      <c r="AY21" s="15">
        <v>0</v>
      </c>
      <c r="AZ21" s="15">
        <v>0</v>
      </c>
      <c r="BA21" s="15">
        <v>0</v>
      </c>
      <c r="BB21" s="15">
        <v>0</v>
      </c>
      <c r="BC21" s="15">
        <v>0</v>
      </c>
      <c r="BD21" s="15">
        <v>0</v>
      </c>
    </row>
    <row r="22" spans="1:56" x14ac:dyDescent="0.35">
      <c r="A22" s="14" t="s">
        <v>19</v>
      </c>
      <c r="B22" s="15">
        <v>30</v>
      </c>
      <c r="C22" s="16">
        <v>48.502093673710249</v>
      </c>
      <c r="D22" s="15">
        <v>0</v>
      </c>
      <c r="E22" s="15">
        <v>0</v>
      </c>
      <c r="F22" s="15">
        <v>0</v>
      </c>
      <c r="G22" s="15">
        <v>0</v>
      </c>
      <c r="H22" s="15">
        <v>0</v>
      </c>
      <c r="I22" s="15">
        <v>0</v>
      </c>
      <c r="J22" s="15">
        <v>0</v>
      </c>
      <c r="K22" s="15">
        <v>1</v>
      </c>
      <c r="L22" s="15">
        <v>0</v>
      </c>
      <c r="M22" s="15">
        <v>0</v>
      </c>
      <c r="N22" s="15">
        <v>1</v>
      </c>
      <c r="O22" s="15">
        <v>2</v>
      </c>
      <c r="P22" s="15">
        <v>0</v>
      </c>
      <c r="Q22" s="15">
        <v>0</v>
      </c>
      <c r="R22" s="15">
        <v>0</v>
      </c>
      <c r="S22" s="15">
        <v>0</v>
      </c>
      <c r="T22" s="15">
        <v>1</v>
      </c>
      <c r="U22" s="15">
        <v>0</v>
      </c>
      <c r="V22" s="15">
        <v>1</v>
      </c>
      <c r="W22" s="15">
        <v>0</v>
      </c>
      <c r="X22" s="15">
        <v>0</v>
      </c>
      <c r="Y22" s="15">
        <v>0</v>
      </c>
      <c r="Z22" s="15">
        <v>1</v>
      </c>
      <c r="AA22" s="15">
        <v>0</v>
      </c>
      <c r="AB22" s="15">
        <v>0</v>
      </c>
      <c r="AC22" s="15">
        <v>0</v>
      </c>
      <c r="AD22" s="15">
        <v>0</v>
      </c>
      <c r="AE22" s="15">
        <v>1</v>
      </c>
      <c r="AF22" s="15">
        <v>1</v>
      </c>
      <c r="AG22" s="15">
        <v>3</v>
      </c>
      <c r="AH22" s="15">
        <v>1</v>
      </c>
      <c r="AI22" s="15">
        <v>1</v>
      </c>
      <c r="AJ22" s="15">
        <v>0</v>
      </c>
      <c r="AK22" s="15">
        <v>1</v>
      </c>
      <c r="AL22" s="15">
        <v>0</v>
      </c>
      <c r="AM22" s="15">
        <v>0</v>
      </c>
      <c r="AN22" s="15">
        <v>0</v>
      </c>
      <c r="AO22" s="15">
        <v>1</v>
      </c>
      <c r="AP22" s="15">
        <v>1</v>
      </c>
      <c r="AQ22" s="15">
        <v>2</v>
      </c>
      <c r="AR22" s="15">
        <v>0</v>
      </c>
      <c r="AS22" s="15">
        <v>2</v>
      </c>
      <c r="AT22" s="15">
        <v>2</v>
      </c>
      <c r="AU22" s="15">
        <v>2</v>
      </c>
      <c r="AV22" s="15">
        <v>1</v>
      </c>
      <c r="AW22" s="15">
        <v>1</v>
      </c>
      <c r="AX22" s="15">
        <v>1</v>
      </c>
      <c r="AY22" s="15">
        <v>1</v>
      </c>
      <c r="AZ22" s="15">
        <v>1</v>
      </c>
      <c r="BA22" s="15">
        <v>0</v>
      </c>
      <c r="BB22" s="15">
        <v>0</v>
      </c>
      <c r="BC22" s="15">
        <v>0</v>
      </c>
      <c r="BD22" s="15">
        <v>0</v>
      </c>
    </row>
    <row r="23" spans="1:56" x14ac:dyDescent="0.35">
      <c r="A23" s="14" t="s">
        <v>20</v>
      </c>
      <c r="B23" s="15">
        <v>3</v>
      </c>
      <c r="C23" s="16">
        <v>3.0877539677638484</v>
      </c>
      <c r="D23" s="15">
        <v>0</v>
      </c>
      <c r="E23" s="15">
        <v>0</v>
      </c>
      <c r="F23" s="15">
        <v>0</v>
      </c>
      <c r="G23" s="15">
        <v>0</v>
      </c>
      <c r="H23" s="15">
        <v>0</v>
      </c>
      <c r="I23" s="15">
        <v>1</v>
      </c>
      <c r="J23" s="15">
        <v>0</v>
      </c>
      <c r="K23" s="15">
        <v>0</v>
      </c>
      <c r="L23" s="15">
        <v>0</v>
      </c>
      <c r="M23" s="15">
        <v>0</v>
      </c>
      <c r="N23" s="15">
        <v>0</v>
      </c>
      <c r="O23" s="15">
        <v>0</v>
      </c>
      <c r="P23" s="15">
        <v>0</v>
      </c>
      <c r="Q23" s="15">
        <v>0</v>
      </c>
      <c r="R23" s="15">
        <v>0</v>
      </c>
      <c r="S23" s="15">
        <v>0</v>
      </c>
      <c r="T23" s="15">
        <v>1</v>
      </c>
      <c r="U23" s="15">
        <v>1</v>
      </c>
      <c r="V23" s="15">
        <v>0</v>
      </c>
      <c r="W23" s="15">
        <v>0</v>
      </c>
      <c r="X23" s="15">
        <v>0</v>
      </c>
      <c r="Y23" s="15">
        <v>0</v>
      </c>
      <c r="Z23" s="15">
        <v>0</v>
      </c>
      <c r="AA23" s="15">
        <v>0</v>
      </c>
      <c r="AB23" s="15">
        <v>0</v>
      </c>
      <c r="AC23" s="15">
        <v>0</v>
      </c>
      <c r="AD23" s="15">
        <v>0</v>
      </c>
      <c r="AE23" s="15">
        <v>0</v>
      </c>
      <c r="AF23" s="15">
        <v>0</v>
      </c>
      <c r="AG23" s="15">
        <v>0</v>
      </c>
      <c r="AH23" s="15">
        <v>0</v>
      </c>
      <c r="AI23" s="15">
        <v>0</v>
      </c>
      <c r="AJ23" s="15">
        <v>0</v>
      </c>
      <c r="AK23" s="15">
        <v>0</v>
      </c>
      <c r="AL23" s="15">
        <v>0</v>
      </c>
      <c r="AM23" s="15">
        <v>0</v>
      </c>
      <c r="AN23" s="15">
        <v>0</v>
      </c>
      <c r="AO23" s="15">
        <v>0</v>
      </c>
      <c r="AP23" s="15">
        <v>0</v>
      </c>
      <c r="AQ23" s="15">
        <v>0</v>
      </c>
      <c r="AR23" s="15">
        <v>0</v>
      </c>
      <c r="AS23" s="15">
        <v>0</v>
      </c>
      <c r="AT23" s="15">
        <v>0</v>
      </c>
      <c r="AU23" s="15">
        <v>0</v>
      </c>
      <c r="AV23" s="15">
        <v>0</v>
      </c>
      <c r="AW23" s="15">
        <v>0</v>
      </c>
      <c r="AX23" s="15">
        <v>0</v>
      </c>
      <c r="AY23" s="15">
        <v>0</v>
      </c>
      <c r="AZ23" s="15">
        <v>0</v>
      </c>
      <c r="BA23" s="15">
        <v>0</v>
      </c>
      <c r="BB23" s="15">
        <v>0</v>
      </c>
      <c r="BC23" s="15">
        <v>0</v>
      </c>
      <c r="BD23" s="15">
        <v>0</v>
      </c>
    </row>
    <row r="24" spans="1:56" x14ac:dyDescent="0.35">
      <c r="A24" s="14" t="s">
        <v>21</v>
      </c>
      <c r="B24" s="15">
        <v>6</v>
      </c>
      <c r="C24" s="16">
        <v>8.2268414413426196</v>
      </c>
      <c r="D24" s="15">
        <v>0</v>
      </c>
      <c r="E24" s="15">
        <v>0</v>
      </c>
      <c r="F24" s="15">
        <v>0</v>
      </c>
      <c r="G24" s="15">
        <v>0</v>
      </c>
      <c r="H24" s="15">
        <v>0</v>
      </c>
      <c r="I24" s="15">
        <v>0</v>
      </c>
      <c r="J24" s="15">
        <v>0</v>
      </c>
      <c r="K24" s="15">
        <v>0</v>
      </c>
      <c r="L24" s="15">
        <v>0</v>
      </c>
      <c r="M24" s="15">
        <v>0</v>
      </c>
      <c r="N24" s="15">
        <v>0</v>
      </c>
      <c r="O24" s="15">
        <v>1</v>
      </c>
      <c r="P24" s="15">
        <v>0</v>
      </c>
      <c r="Q24" s="15">
        <v>0</v>
      </c>
      <c r="R24" s="15">
        <v>0</v>
      </c>
      <c r="S24" s="15">
        <v>0</v>
      </c>
      <c r="T24" s="15">
        <v>0</v>
      </c>
      <c r="U24" s="15">
        <v>0</v>
      </c>
      <c r="V24" s="15">
        <v>0</v>
      </c>
      <c r="W24" s="15">
        <v>0</v>
      </c>
      <c r="X24" s="15">
        <v>0</v>
      </c>
      <c r="Y24" s="15">
        <v>0</v>
      </c>
      <c r="Z24" s="15">
        <v>0</v>
      </c>
      <c r="AA24" s="15">
        <v>0</v>
      </c>
      <c r="AB24" s="15">
        <v>0</v>
      </c>
      <c r="AC24" s="15">
        <v>0</v>
      </c>
      <c r="AD24" s="15">
        <v>0</v>
      </c>
      <c r="AE24" s="15">
        <v>0</v>
      </c>
      <c r="AF24" s="15">
        <v>0</v>
      </c>
      <c r="AG24" s="15">
        <v>0</v>
      </c>
      <c r="AH24" s="15">
        <v>0</v>
      </c>
      <c r="AI24" s="15">
        <v>0</v>
      </c>
      <c r="AJ24" s="15">
        <v>0</v>
      </c>
      <c r="AK24" s="15">
        <v>0</v>
      </c>
      <c r="AL24" s="15">
        <v>1</v>
      </c>
      <c r="AM24" s="15">
        <v>0</v>
      </c>
      <c r="AN24" s="15">
        <v>0</v>
      </c>
      <c r="AO24" s="15">
        <v>0</v>
      </c>
      <c r="AP24" s="15">
        <v>0</v>
      </c>
      <c r="AQ24" s="15">
        <v>0</v>
      </c>
      <c r="AR24" s="15">
        <v>1</v>
      </c>
      <c r="AS24" s="15">
        <v>0</v>
      </c>
      <c r="AT24" s="15">
        <v>0</v>
      </c>
      <c r="AU24" s="15">
        <v>1</v>
      </c>
      <c r="AV24" s="15">
        <v>2</v>
      </c>
      <c r="AW24" s="15">
        <v>0</v>
      </c>
      <c r="AX24" s="15">
        <v>0</v>
      </c>
      <c r="AY24" s="15">
        <v>0</v>
      </c>
      <c r="AZ24" s="15">
        <v>0</v>
      </c>
      <c r="BA24" s="15">
        <v>0</v>
      </c>
      <c r="BB24" s="15">
        <v>0</v>
      </c>
      <c r="BC24" s="15">
        <v>0</v>
      </c>
      <c r="BD24" s="15">
        <v>0</v>
      </c>
    </row>
    <row r="25" spans="1:56" x14ac:dyDescent="0.35">
      <c r="A25" s="14" t="s">
        <v>22</v>
      </c>
      <c r="B25" s="15">
        <v>5</v>
      </c>
      <c r="C25" s="16">
        <v>22.464842521453924</v>
      </c>
      <c r="D25" s="15">
        <v>0</v>
      </c>
      <c r="E25" s="15">
        <v>0</v>
      </c>
      <c r="F25" s="15">
        <v>0</v>
      </c>
      <c r="G25" s="15">
        <v>0</v>
      </c>
      <c r="H25" s="15">
        <v>0</v>
      </c>
      <c r="I25" s="15">
        <v>0</v>
      </c>
      <c r="J25" s="15">
        <v>0</v>
      </c>
      <c r="K25" s="15">
        <v>0</v>
      </c>
      <c r="L25" s="15">
        <v>0</v>
      </c>
      <c r="M25" s="15">
        <v>0</v>
      </c>
      <c r="N25" s="15">
        <v>0</v>
      </c>
      <c r="O25" s="15">
        <v>0</v>
      </c>
      <c r="P25" s="15">
        <v>0</v>
      </c>
      <c r="Q25" s="15">
        <v>0</v>
      </c>
      <c r="R25" s="15">
        <v>0</v>
      </c>
      <c r="S25" s="15">
        <v>1</v>
      </c>
      <c r="T25" s="15">
        <v>0</v>
      </c>
      <c r="U25" s="15">
        <v>0</v>
      </c>
      <c r="V25" s="15">
        <v>0</v>
      </c>
      <c r="W25" s="15">
        <v>0</v>
      </c>
      <c r="X25" s="15">
        <v>0</v>
      </c>
      <c r="Y25" s="15">
        <v>0</v>
      </c>
      <c r="Z25" s="15">
        <v>0</v>
      </c>
      <c r="AA25" s="15">
        <v>0</v>
      </c>
      <c r="AB25" s="15">
        <v>0</v>
      </c>
      <c r="AC25" s="15">
        <v>0</v>
      </c>
      <c r="AD25" s="15">
        <v>0</v>
      </c>
      <c r="AE25" s="15">
        <v>0</v>
      </c>
      <c r="AF25" s="15">
        <v>0</v>
      </c>
      <c r="AG25" s="15">
        <v>0</v>
      </c>
      <c r="AH25" s="15">
        <v>0</v>
      </c>
      <c r="AI25" s="15">
        <v>0</v>
      </c>
      <c r="AJ25" s="15">
        <v>0</v>
      </c>
      <c r="AK25" s="15">
        <v>0</v>
      </c>
      <c r="AL25" s="15">
        <v>0</v>
      </c>
      <c r="AM25" s="15">
        <v>0</v>
      </c>
      <c r="AN25" s="15">
        <v>1</v>
      </c>
      <c r="AO25" s="15">
        <v>1</v>
      </c>
      <c r="AP25" s="15">
        <v>0</v>
      </c>
      <c r="AQ25" s="15">
        <v>1</v>
      </c>
      <c r="AR25" s="15">
        <v>0</v>
      </c>
      <c r="AS25" s="15">
        <v>0</v>
      </c>
      <c r="AT25" s="15">
        <v>0</v>
      </c>
      <c r="AU25" s="15">
        <v>1</v>
      </c>
      <c r="AV25" s="15">
        <v>0</v>
      </c>
      <c r="AW25" s="15">
        <v>0</v>
      </c>
      <c r="AX25" s="15">
        <v>0</v>
      </c>
      <c r="AY25" s="15">
        <v>0</v>
      </c>
      <c r="AZ25" s="15">
        <v>0</v>
      </c>
      <c r="BA25" s="15">
        <v>0</v>
      </c>
      <c r="BB25" s="15">
        <v>0</v>
      </c>
      <c r="BC25" s="15">
        <v>0</v>
      </c>
      <c r="BD25" s="15">
        <v>0</v>
      </c>
    </row>
    <row r="26" spans="1:56" x14ac:dyDescent="0.35">
      <c r="A26" s="14" t="s">
        <v>23</v>
      </c>
      <c r="B26" s="15">
        <v>9</v>
      </c>
      <c r="C26" s="16">
        <v>10.457212571893336</v>
      </c>
      <c r="D26" s="15">
        <v>0</v>
      </c>
      <c r="E26" s="15">
        <v>0</v>
      </c>
      <c r="F26" s="15">
        <v>0</v>
      </c>
      <c r="G26" s="15">
        <v>0</v>
      </c>
      <c r="H26" s="15">
        <v>0</v>
      </c>
      <c r="I26" s="15">
        <v>0</v>
      </c>
      <c r="J26" s="15">
        <v>0</v>
      </c>
      <c r="K26" s="15">
        <v>0</v>
      </c>
      <c r="L26" s="15">
        <v>0</v>
      </c>
      <c r="M26" s="15">
        <v>0</v>
      </c>
      <c r="N26" s="15">
        <v>0</v>
      </c>
      <c r="O26" s="15">
        <v>0</v>
      </c>
      <c r="P26" s="15">
        <v>0</v>
      </c>
      <c r="Q26" s="15">
        <v>0</v>
      </c>
      <c r="R26" s="15">
        <v>0</v>
      </c>
      <c r="S26" s="15">
        <v>0</v>
      </c>
      <c r="T26" s="15">
        <v>0</v>
      </c>
      <c r="U26" s="15">
        <v>0</v>
      </c>
      <c r="V26" s="15">
        <v>0</v>
      </c>
      <c r="W26" s="15">
        <v>1</v>
      </c>
      <c r="X26" s="15">
        <v>0</v>
      </c>
      <c r="Y26" s="15">
        <v>0</v>
      </c>
      <c r="Z26" s="15">
        <v>0</v>
      </c>
      <c r="AA26" s="15">
        <v>0</v>
      </c>
      <c r="AB26" s="15">
        <v>0</v>
      </c>
      <c r="AC26" s="15">
        <v>0</v>
      </c>
      <c r="AD26" s="15">
        <v>0</v>
      </c>
      <c r="AE26" s="15">
        <v>0</v>
      </c>
      <c r="AF26" s="15">
        <v>1</v>
      </c>
      <c r="AG26" s="15">
        <v>0</v>
      </c>
      <c r="AH26" s="15">
        <v>0</v>
      </c>
      <c r="AI26" s="15">
        <v>0</v>
      </c>
      <c r="AJ26" s="15">
        <v>1</v>
      </c>
      <c r="AK26" s="15">
        <v>1</v>
      </c>
      <c r="AL26" s="15">
        <v>0</v>
      </c>
      <c r="AM26" s="15">
        <v>1</v>
      </c>
      <c r="AN26" s="15">
        <v>1</v>
      </c>
      <c r="AO26" s="15">
        <v>1</v>
      </c>
      <c r="AP26" s="15">
        <v>0</v>
      </c>
      <c r="AQ26" s="15">
        <v>0</v>
      </c>
      <c r="AR26" s="15">
        <v>0</v>
      </c>
      <c r="AS26" s="15">
        <v>0</v>
      </c>
      <c r="AT26" s="15">
        <v>0</v>
      </c>
      <c r="AU26" s="15">
        <v>0</v>
      </c>
      <c r="AV26" s="15">
        <v>1</v>
      </c>
      <c r="AW26" s="15">
        <v>0</v>
      </c>
      <c r="AX26" s="15">
        <v>0</v>
      </c>
      <c r="AY26" s="15">
        <v>1</v>
      </c>
      <c r="AZ26" s="15">
        <v>0</v>
      </c>
      <c r="BA26" s="15">
        <v>0</v>
      </c>
      <c r="BB26" s="15">
        <v>0</v>
      </c>
      <c r="BC26" s="15">
        <v>0</v>
      </c>
      <c r="BD26" s="15">
        <v>0</v>
      </c>
    </row>
    <row r="27" spans="1:56" x14ac:dyDescent="0.35">
      <c r="A27" s="14" t="s">
        <v>24</v>
      </c>
      <c r="B27" s="15">
        <v>7</v>
      </c>
      <c r="C27" s="16">
        <v>11.065619121389842</v>
      </c>
      <c r="D27" s="15">
        <v>0</v>
      </c>
      <c r="E27" s="15">
        <v>0</v>
      </c>
      <c r="F27" s="15">
        <v>0</v>
      </c>
      <c r="G27" s="15">
        <v>0</v>
      </c>
      <c r="H27" s="15">
        <v>0</v>
      </c>
      <c r="I27" s="15">
        <v>0</v>
      </c>
      <c r="J27" s="15">
        <v>0</v>
      </c>
      <c r="K27" s="15">
        <v>0</v>
      </c>
      <c r="L27" s="15">
        <v>0</v>
      </c>
      <c r="M27" s="15">
        <v>0</v>
      </c>
      <c r="N27" s="15">
        <v>0</v>
      </c>
      <c r="O27" s="15">
        <v>0</v>
      </c>
      <c r="P27" s="15">
        <v>0</v>
      </c>
      <c r="Q27" s="15">
        <v>0</v>
      </c>
      <c r="R27" s="15">
        <v>1</v>
      </c>
      <c r="S27" s="15">
        <v>0</v>
      </c>
      <c r="T27" s="15">
        <v>0</v>
      </c>
      <c r="U27" s="15">
        <v>0</v>
      </c>
      <c r="V27" s="15">
        <v>0</v>
      </c>
      <c r="W27" s="15">
        <v>0</v>
      </c>
      <c r="X27" s="15">
        <v>0</v>
      </c>
      <c r="Y27" s="15">
        <v>0</v>
      </c>
      <c r="Z27" s="15">
        <v>0</v>
      </c>
      <c r="AA27" s="15">
        <v>0</v>
      </c>
      <c r="AB27" s="15">
        <v>0</v>
      </c>
      <c r="AC27" s="15">
        <v>0</v>
      </c>
      <c r="AD27" s="15">
        <v>0</v>
      </c>
      <c r="AE27" s="15">
        <v>0</v>
      </c>
      <c r="AF27" s="15">
        <v>1</v>
      </c>
      <c r="AG27" s="15">
        <v>0</v>
      </c>
      <c r="AH27" s="15">
        <v>0</v>
      </c>
      <c r="AI27" s="15">
        <v>0</v>
      </c>
      <c r="AJ27" s="15">
        <v>0</v>
      </c>
      <c r="AK27" s="15">
        <v>0</v>
      </c>
      <c r="AL27" s="15">
        <v>1</v>
      </c>
      <c r="AM27" s="15">
        <v>1</v>
      </c>
      <c r="AN27" s="15">
        <v>1</v>
      </c>
      <c r="AO27" s="15">
        <v>0</v>
      </c>
      <c r="AP27" s="15">
        <v>0</v>
      </c>
      <c r="AQ27" s="15">
        <v>0</v>
      </c>
      <c r="AR27" s="15">
        <v>0</v>
      </c>
      <c r="AS27" s="15">
        <v>1</v>
      </c>
      <c r="AT27" s="15">
        <v>0</v>
      </c>
      <c r="AU27" s="15">
        <v>1</v>
      </c>
      <c r="AV27" s="15">
        <v>0</v>
      </c>
      <c r="AW27" s="15">
        <v>0</v>
      </c>
      <c r="AX27" s="15">
        <v>0</v>
      </c>
      <c r="AY27" s="15">
        <v>0</v>
      </c>
      <c r="AZ27" s="15">
        <v>0</v>
      </c>
      <c r="BA27" s="15">
        <v>0</v>
      </c>
      <c r="BB27" s="15">
        <v>0</v>
      </c>
      <c r="BC27" s="15">
        <v>0</v>
      </c>
      <c r="BD27" s="15">
        <v>0</v>
      </c>
    </row>
    <row r="28" spans="1:56" x14ac:dyDescent="0.35">
      <c r="A28" s="14" t="s">
        <v>25</v>
      </c>
      <c r="B28" s="15">
        <v>9</v>
      </c>
      <c r="C28" s="16">
        <v>14.321176245942334</v>
      </c>
      <c r="D28" s="15">
        <v>0</v>
      </c>
      <c r="E28" s="15">
        <v>1</v>
      </c>
      <c r="F28" s="15">
        <v>0</v>
      </c>
      <c r="G28" s="15">
        <v>0</v>
      </c>
      <c r="H28" s="15">
        <v>0</v>
      </c>
      <c r="I28" s="15">
        <v>0</v>
      </c>
      <c r="J28" s="15">
        <v>0</v>
      </c>
      <c r="K28" s="15">
        <v>0</v>
      </c>
      <c r="L28" s="15">
        <v>0</v>
      </c>
      <c r="M28" s="15">
        <v>0</v>
      </c>
      <c r="N28" s="15">
        <v>0</v>
      </c>
      <c r="O28" s="15">
        <v>0</v>
      </c>
      <c r="P28" s="15">
        <v>0</v>
      </c>
      <c r="Q28" s="15">
        <v>0</v>
      </c>
      <c r="R28" s="15">
        <v>1</v>
      </c>
      <c r="S28" s="15">
        <v>0</v>
      </c>
      <c r="T28" s="15">
        <v>0</v>
      </c>
      <c r="U28" s="15">
        <v>0</v>
      </c>
      <c r="V28" s="15">
        <v>0</v>
      </c>
      <c r="W28" s="15">
        <v>0</v>
      </c>
      <c r="X28" s="15">
        <v>0</v>
      </c>
      <c r="Y28" s="15">
        <v>0</v>
      </c>
      <c r="Z28" s="15">
        <v>0</v>
      </c>
      <c r="AA28" s="15">
        <v>0</v>
      </c>
      <c r="AB28" s="15">
        <v>0</v>
      </c>
      <c r="AC28" s="15">
        <v>0</v>
      </c>
      <c r="AD28" s="15">
        <v>2</v>
      </c>
      <c r="AE28" s="15">
        <v>0</v>
      </c>
      <c r="AF28" s="15">
        <v>0</v>
      </c>
      <c r="AG28" s="15">
        <v>0</v>
      </c>
      <c r="AH28" s="15">
        <v>0</v>
      </c>
      <c r="AI28" s="15">
        <v>0</v>
      </c>
      <c r="AJ28" s="15">
        <v>0</v>
      </c>
      <c r="AK28" s="15">
        <v>0</v>
      </c>
      <c r="AL28" s="15">
        <v>0</v>
      </c>
      <c r="AM28" s="15">
        <v>0</v>
      </c>
      <c r="AN28" s="15">
        <v>0</v>
      </c>
      <c r="AO28" s="15">
        <v>1</v>
      </c>
      <c r="AP28" s="15">
        <v>0</v>
      </c>
      <c r="AQ28" s="15">
        <v>1</v>
      </c>
      <c r="AR28" s="15">
        <v>1</v>
      </c>
      <c r="AS28" s="15">
        <v>0</v>
      </c>
      <c r="AT28" s="15">
        <v>0</v>
      </c>
      <c r="AU28" s="15">
        <v>0</v>
      </c>
      <c r="AV28" s="15">
        <v>1</v>
      </c>
      <c r="AW28" s="15">
        <v>0</v>
      </c>
      <c r="AX28" s="15">
        <v>0</v>
      </c>
      <c r="AY28" s="15">
        <v>1</v>
      </c>
      <c r="AZ28" s="15">
        <v>0</v>
      </c>
      <c r="BA28" s="15">
        <v>0</v>
      </c>
      <c r="BB28" s="15">
        <v>0</v>
      </c>
      <c r="BC28" s="15">
        <v>0</v>
      </c>
      <c r="BD28" s="15">
        <v>0</v>
      </c>
    </row>
    <row r="29" spans="1:56" x14ac:dyDescent="0.35">
      <c r="A29" s="14" t="s">
        <v>26</v>
      </c>
      <c r="B29" s="15">
        <v>1</v>
      </c>
      <c r="C29" s="16">
        <v>14.222727919214906</v>
      </c>
      <c r="D29" s="15">
        <v>0</v>
      </c>
      <c r="E29" s="15">
        <v>0</v>
      </c>
      <c r="F29" s="15">
        <v>0</v>
      </c>
      <c r="G29" s="15">
        <v>0</v>
      </c>
      <c r="H29" s="15">
        <v>0</v>
      </c>
      <c r="I29" s="15">
        <v>0</v>
      </c>
      <c r="J29" s="15">
        <v>0</v>
      </c>
      <c r="K29" s="15">
        <v>0</v>
      </c>
      <c r="L29" s="15">
        <v>0</v>
      </c>
      <c r="M29" s="15">
        <v>0</v>
      </c>
      <c r="N29" s="15">
        <v>0</v>
      </c>
      <c r="O29" s="15">
        <v>0</v>
      </c>
      <c r="P29" s="15">
        <v>0</v>
      </c>
      <c r="Q29" s="15">
        <v>0</v>
      </c>
      <c r="R29" s="15">
        <v>0</v>
      </c>
      <c r="S29" s="15">
        <v>0</v>
      </c>
      <c r="T29" s="15">
        <v>0</v>
      </c>
      <c r="U29" s="15">
        <v>0</v>
      </c>
      <c r="V29" s="15">
        <v>0</v>
      </c>
      <c r="W29" s="15">
        <v>0</v>
      </c>
      <c r="X29" s="15">
        <v>0</v>
      </c>
      <c r="Y29" s="15">
        <v>0</v>
      </c>
      <c r="Z29" s="15">
        <v>0</v>
      </c>
      <c r="AA29" s="15">
        <v>0</v>
      </c>
      <c r="AB29" s="15">
        <v>1</v>
      </c>
      <c r="AC29" s="15">
        <v>0</v>
      </c>
      <c r="AD29" s="15">
        <v>0</v>
      </c>
      <c r="AE29" s="15">
        <v>0</v>
      </c>
      <c r="AF29" s="15">
        <v>0</v>
      </c>
      <c r="AG29" s="15">
        <v>0</v>
      </c>
      <c r="AH29" s="15">
        <v>0</v>
      </c>
      <c r="AI29" s="15">
        <v>0</v>
      </c>
      <c r="AJ29" s="15">
        <v>0</v>
      </c>
      <c r="AK29" s="15">
        <v>0</v>
      </c>
      <c r="AL29" s="15">
        <v>0</v>
      </c>
      <c r="AM29" s="15">
        <v>0</v>
      </c>
      <c r="AN29" s="15">
        <v>0</v>
      </c>
      <c r="AO29" s="15">
        <v>0</v>
      </c>
      <c r="AP29" s="15">
        <v>0</v>
      </c>
      <c r="AQ29" s="15">
        <v>0</v>
      </c>
      <c r="AR29" s="15">
        <v>0</v>
      </c>
      <c r="AS29" s="15">
        <v>0</v>
      </c>
      <c r="AT29" s="15">
        <v>0</v>
      </c>
      <c r="AU29" s="15">
        <v>0</v>
      </c>
      <c r="AV29" s="15">
        <v>0</v>
      </c>
      <c r="AW29" s="15">
        <v>0</v>
      </c>
      <c r="AX29" s="15">
        <v>0</v>
      </c>
      <c r="AY29" s="15">
        <v>0</v>
      </c>
      <c r="AZ29" s="15">
        <v>0</v>
      </c>
      <c r="BA29" s="15">
        <v>0</v>
      </c>
      <c r="BB29" s="15">
        <v>0</v>
      </c>
      <c r="BC29" s="15">
        <v>0</v>
      </c>
      <c r="BD29" s="15">
        <v>0</v>
      </c>
    </row>
    <row r="30" spans="1:56" x14ac:dyDescent="0.35">
      <c r="A30" s="14" t="s">
        <v>27</v>
      </c>
      <c r="B30" s="15">
        <v>1</v>
      </c>
      <c r="C30" s="16">
        <v>12.436264146250466</v>
      </c>
      <c r="D30" s="15">
        <v>0</v>
      </c>
      <c r="E30" s="15">
        <v>0</v>
      </c>
      <c r="F30" s="15">
        <v>0</v>
      </c>
      <c r="G30" s="15">
        <v>0</v>
      </c>
      <c r="H30" s="15">
        <v>1</v>
      </c>
      <c r="I30" s="15">
        <v>0</v>
      </c>
      <c r="J30" s="15">
        <v>0</v>
      </c>
      <c r="K30" s="15">
        <v>0</v>
      </c>
      <c r="L30" s="15">
        <v>0</v>
      </c>
      <c r="M30" s="15">
        <v>0</v>
      </c>
      <c r="N30" s="15">
        <v>0</v>
      </c>
      <c r="O30" s="15">
        <v>0</v>
      </c>
      <c r="P30" s="15">
        <v>0</v>
      </c>
      <c r="Q30" s="15">
        <v>0</v>
      </c>
      <c r="R30" s="15">
        <v>0</v>
      </c>
      <c r="S30" s="15">
        <v>0</v>
      </c>
      <c r="T30" s="15">
        <v>0</v>
      </c>
      <c r="U30" s="15">
        <v>0</v>
      </c>
      <c r="V30" s="15">
        <v>0</v>
      </c>
      <c r="W30" s="15">
        <v>0</v>
      </c>
      <c r="X30" s="15">
        <v>0</v>
      </c>
      <c r="Y30" s="15">
        <v>0</v>
      </c>
      <c r="Z30" s="15">
        <v>0</v>
      </c>
      <c r="AA30" s="15">
        <v>0</v>
      </c>
      <c r="AB30" s="15">
        <v>0</v>
      </c>
      <c r="AC30" s="15">
        <v>0</v>
      </c>
      <c r="AD30" s="15">
        <v>0</v>
      </c>
      <c r="AE30" s="15">
        <v>0</v>
      </c>
      <c r="AF30" s="15">
        <v>0</v>
      </c>
      <c r="AG30" s="15">
        <v>0</v>
      </c>
      <c r="AH30" s="15">
        <v>0</v>
      </c>
      <c r="AI30" s="15">
        <v>0</v>
      </c>
      <c r="AJ30" s="15">
        <v>0</v>
      </c>
      <c r="AK30" s="15">
        <v>0</v>
      </c>
      <c r="AL30" s="15">
        <v>0</v>
      </c>
      <c r="AM30" s="15">
        <v>0</v>
      </c>
      <c r="AN30" s="15">
        <v>0</v>
      </c>
      <c r="AO30" s="15">
        <v>0</v>
      </c>
      <c r="AP30" s="15">
        <v>0</v>
      </c>
      <c r="AQ30" s="15">
        <v>0</v>
      </c>
      <c r="AR30" s="15">
        <v>0</v>
      </c>
      <c r="AS30" s="15">
        <v>0</v>
      </c>
      <c r="AT30" s="15">
        <v>0</v>
      </c>
      <c r="AU30" s="15">
        <v>0</v>
      </c>
      <c r="AV30" s="15">
        <v>0</v>
      </c>
      <c r="AW30" s="15">
        <v>0</v>
      </c>
      <c r="AX30" s="15">
        <v>0</v>
      </c>
      <c r="AY30" s="15">
        <v>0</v>
      </c>
      <c r="AZ30" s="15">
        <v>0</v>
      </c>
      <c r="BA30" s="15">
        <v>0</v>
      </c>
      <c r="BB30" s="15">
        <v>0</v>
      </c>
      <c r="BC30" s="15">
        <v>0</v>
      </c>
      <c r="BD30" s="15">
        <v>0</v>
      </c>
    </row>
    <row r="31" spans="1:56" x14ac:dyDescent="0.35">
      <c r="A31" s="14" t="s">
        <v>28</v>
      </c>
      <c r="B31" s="15">
        <v>8</v>
      </c>
      <c r="C31" s="16">
        <v>9.9160851295908383</v>
      </c>
      <c r="D31" s="15">
        <v>0</v>
      </c>
      <c r="E31" s="15">
        <v>0</v>
      </c>
      <c r="F31" s="15">
        <v>0</v>
      </c>
      <c r="G31" s="15">
        <v>0</v>
      </c>
      <c r="H31" s="15">
        <v>0</v>
      </c>
      <c r="I31" s="15">
        <v>0</v>
      </c>
      <c r="J31" s="15">
        <v>0</v>
      </c>
      <c r="K31" s="15">
        <v>0</v>
      </c>
      <c r="L31" s="15">
        <v>0</v>
      </c>
      <c r="M31" s="15">
        <v>0</v>
      </c>
      <c r="N31" s="15">
        <v>0</v>
      </c>
      <c r="O31" s="15">
        <v>0</v>
      </c>
      <c r="P31" s="15">
        <v>0</v>
      </c>
      <c r="Q31" s="15">
        <v>0</v>
      </c>
      <c r="R31" s="15">
        <v>0</v>
      </c>
      <c r="S31" s="15">
        <v>1</v>
      </c>
      <c r="T31" s="15">
        <v>0</v>
      </c>
      <c r="U31" s="15">
        <v>0</v>
      </c>
      <c r="V31" s="15">
        <v>0</v>
      </c>
      <c r="W31" s="15">
        <v>0</v>
      </c>
      <c r="X31" s="15">
        <v>0</v>
      </c>
      <c r="Y31" s="15">
        <v>0</v>
      </c>
      <c r="Z31" s="15">
        <v>0</v>
      </c>
      <c r="AA31" s="15">
        <v>0</v>
      </c>
      <c r="AB31" s="15">
        <v>0</v>
      </c>
      <c r="AC31" s="15">
        <v>0</v>
      </c>
      <c r="AD31" s="15">
        <v>0</v>
      </c>
      <c r="AE31" s="15">
        <v>0</v>
      </c>
      <c r="AF31" s="15">
        <v>0</v>
      </c>
      <c r="AG31" s="15">
        <v>0</v>
      </c>
      <c r="AH31" s="15">
        <v>0</v>
      </c>
      <c r="AI31" s="15">
        <v>0</v>
      </c>
      <c r="AJ31" s="15">
        <v>0</v>
      </c>
      <c r="AK31" s="15">
        <v>0</v>
      </c>
      <c r="AL31" s="15">
        <v>1</v>
      </c>
      <c r="AM31" s="15">
        <v>1</v>
      </c>
      <c r="AN31" s="15">
        <v>0</v>
      </c>
      <c r="AO31" s="15">
        <v>0</v>
      </c>
      <c r="AP31" s="15">
        <v>1</v>
      </c>
      <c r="AQ31" s="15">
        <v>1</v>
      </c>
      <c r="AR31" s="15">
        <v>1</v>
      </c>
      <c r="AS31" s="15">
        <v>0</v>
      </c>
      <c r="AT31" s="15">
        <v>0</v>
      </c>
      <c r="AU31" s="15">
        <v>0</v>
      </c>
      <c r="AV31" s="15">
        <v>0</v>
      </c>
      <c r="AW31" s="15">
        <v>1</v>
      </c>
      <c r="AX31" s="15">
        <v>0</v>
      </c>
      <c r="AY31" s="15">
        <v>0</v>
      </c>
      <c r="AZ31" s="15">
        <v>1</v>
      </c>
      <c r="BA31" s="15">
        <v>0</v>
      </c>
      <c r="BB31" s="15">
        <v>0</v>
      </c>
      <c r="BC31" s="15">
        <v>0</v>
      </c>
      <c r="BD31" s="15">
        <v>0</v>
      </c>
    </row>
    <row r="32" spans="1:56" x14ac:dyDescent="0.35">
      <c r="A32" s="14" t="s">
        <v>29</v>
      </c>
      <c r="B32" s="15">
        <v>109</v>
      </c>
      <c r="C32" s="16">
        <v>76.073756647729653</v>
      </c>
      <c r="D32" s="15">
        <v>6</v>
      </c>
      <c r="E32" s="15">
        <v>1</v>
      </c>
      <c r="F32" s="15">
        <v>1</v>
      </c>
      <c r="G32" s="15">
        <v>1</v>
      </c>
      <c r="H32" s="15">
        <v>3</v>
      </c>
      <c r="I32" s="15">
        <v>0</v>
      </c>
      <c r="J32" s="15">
        <v>0</v>
      </c>
      <c r="K32" s="15">
        <v>2</v>
      </c>
      <c r="L32" s="15">
        <v>2</v>
      </c>
      <c r="M32" s="15">
        <v>0</v>
      </c>
      <c r="N32" s="15">
        <v>1</v>
      </c>
      <c r="O32" s="15">
        <v>0</v>
      </c>
      <c r="P32" s="15">
        <v>0</v>
      </c>
      <c r="Q32" s="15">
        <v>0</v>
      </c>
      <c r="R32" s="15">
        <v>2</v>
      </c>
      <c r="S32" s="15">
        <v>2</v>
      </c>
      <c r="T32" s="15">
        <v>2</v>
      </c>
      <c r="U32" s="15">
        <v>0</v>
      </c>
      <c r="V32" s="15">
        <v>2</v>
      </c>
      <c r="W32" s="15">
        <v>0</v>
      </c>
      <c r="X32" s="15">
        <v>1</v>
      </c>
      <c r="Y32" s="15">
        <v>3</v>
      </c>
      <c r="Z32" s="15">
        <v>2</v>
      </c>
      <c r="AA32" s="15">
        <v>4</v>
      </c>
      <c r="AB32" s="15">
        <v>2</v>
      </c>
      <c r="AC32" s="15">
        <v>2</v>
      </c>
      <c r="AD32" s="15">
        <v>3</v>
      </c>
      <c r="AE32" s="15">
        <v>0</v>
      </c>
      <c r="AF32" s="15">
        <v>0</v>
      </c>
      <c r="AG32" s="15">
        <v>2</v>
      </c>
      <c r="AH32" s="15">
        <v>2</v>
      </c>
      <c r="AI32" s="15">
        <v>0</v>
      </c>
      <c r="AJ32" s="15">
        <v>3</v>
      </c>
      <c r="AK32" s="15">
        <v>6</v>
      </c>
      <c r="AL32" s="15">
        <v>0</v>
      </c>
      <c r="AM32" s="15">
        <v>2</v>
      </c>
      <c r="AN32" s="15">
        <v>2</v>
      </c>
      <c r="AO32" s="15">
        <v>1</v>
      </c>
      <c r="AP32" s="15">
        <v>2</v>
      </c>
      <c r="AQ32" s="15">
        <v>5</v>
      </c>
      <c r="AR32" s="15">
        <v>3</v>
      </c>
      <c r="AS32" s="15">
        <v>2</v>
      </c>
      <c r="AT32" s="15">
        <v>3</v>
      </c>
      <c r="AU32" s="15">
        <v>1</v>
      </c>
      <c r="AV32" s="15">
        <v>6</v>
      </c>
      <c r="AW32" s="15">
        <v>9</v>
      </c>
      <c r="AX32" s="15">
        <v>3</v>
      </c>
      <c r="AY32" s="15">
        <v>1</v>
      </c>
      <c r="AZ32" s="15">
        <v>3</v>
      </c>
      <c r="BA32" s="15">
        <v>4</v>
      </c>
      <c r="BB32" s="15">
        <v>6</v>
      </c>
      <c r="BC32" s="15">
        <v>1</v>
      </c>
      <c r="BD32" s="15">
        <v>0</v>
      </c>
    </row>
    <row r="33" spans="1:56" x14ac:dyDescent="0.35">
      <c r="A33" s="14" t="s">
        <v>30</v>
      </c>
      <c r="B33" s="15">
        <v>1</v>
      </c>
      <c r="C33" s="16">
        <v>7.147962830593281</v>
      </c>
      <c r="D33" s="15">
        <v>0</v>
      </c>
      <c r="E33" s="15">
        <v>0</v>
      </c>
      <c r="F33" s="15">
        <v>0</v>
      </c>
      <c r="G33" s="15">
        <v>0</v>
      </c>
      <c r="H33" s="15">
        <v>0</v>
      </c>
      <c r="I33" s="15">
        <v>0</v>
      </c>
      <c r="J33" s="15">
        <v>0</v>
      </c>
      <c r="K33" s="15">
        <v>0</v>
      </c>
      <c r="L33" s="15">
        <v>0</v>
      </c>
      <c r="M33" s="15">
        <v>0</v>
      </c>
      <c r="N33" s="15">
        <v>0</v>
      </c>
      <c r="O33" s="15">
        <v>0</v>
      </c>
      <c r="P33" s="15">
        <v>0</v>
      </c>
      <c r="Q33" s="15">
        <v>1</v>
      </c>
      <c r="R33" s="15">
        <v>0</v>
      </c>
      <c r="S33" s="15">
        <v>0</v>
      </c>
      <c r="T33" s="15">
        <v>0</v>
      </c>
      <c r="U33" s="15">
        <v>0</v>
      </c>
      <c r="V33" s="15">
        <v>0</v>
      </c>
      <c r="W33" s="15">
        <v>0</v>
      </c>
      <c r="X33" s="15">
        <v>0</v>
      </c>
      <c r="Y33" s="15">
        <v>0</v>
      </c>
      <c r="Z33" s="15">
        <v>0</v>
      </c>
      <c r="AA33" s="15">
        <v>0</v>
      </c>
      <c r="AB33" s="15">
        <v>0</v>
      </c>
      <c r="AC33" s="15">
        <v>0</v>
      </c>
      <c r="AD33" s="15">
        <v>0</v>
      </c>
      <c r="AE33" s="15">
        <v>0</v>
      </c>
      <c r="AF33" s="15">
        <v>0</v>
      </c>
      <c r="AG33" s="15">
        <v>0</v>
      </c>
      <c r="AH33" s="15">
        <v>0</v>
      </c>
      <c r="AI33" s="15">
        <v>0</v>
      </c>
      <c r="AJ33" s="15">
        <v>0</v>
      </c>
      <c r="AK33" s="15">
        <v>0</v>
      </c>
      <c r="AL33" s="15">
        <v>0</v>
      </c>
      <c r="AM33" s="15">
        <v>0</v>
      </c>
      <c r="AN33" s="15">
        <v>0</v>
      </c>
      <c r="AO33" s="15">
        <v>0</v>
      </c>
      <c r="AP33" s="15">
        <v>0</v>
      </c>
      <c r="AQ33" s="15">
        <v>0</v>
      </c>
      <c r="AR33" s="15">
        <v>0</v>
      </c>
      <c r="AS33" s="15">
        <v>0</v>
      </c>
      <c r="AT33" s="15">
        <v>0</v>
      </c>
      <c r="AU33" s="15">
        <v>0</v>
      </c>
      <c r="AV33" s="15">
        <v>0</v>
      </c>
      <c r="AW33" s="15">
        <v>0</v>
      </c>
      <c r="AX33" s="15">
        <v>0</v>
      </c>
      <c r="AY33" s="15">
        <v>0</v>
      </c>
      <c r="AZ33" s="15">
        <v>0</v>
      </c>
      <c r="BA33" s="15">
        <v>0</v>
      </c>
      <c r="BB33" s="15">
        <v>0</v>
      </c>
      <c r="BC33" s="15">
        <v>0</v>
      </c>
      <c r="BD33" s="15">
        <v>0</v>
      </c>
    </row>
    <row r="34" spans="1:56" x14ac:dyDescent="0.35">
      <c r="A34" s="14"/>
      <c r="B34" s="12"/>
      <c r="C34" s="13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2"/>
      <c r="BC34" s="2"/>
      <c r="BD34" s="2"/>
    </row>
    <row r="35" spans="1:56" x14ac:dyDescent="0.35">
      <c r="A35" s="1" t="s">
        <v>31</v>
      </c>
      <c r="B35" s="10">
        <v>687</v>
      </c>
      <c r="C35" s="11">
        <v>65.079189153089558</v>
      </c>
      <c r="D35" s="10">
        <v>16</v>
      </c>
      <c r="E35" s="10">
        <v>5</v>
      </c>
      <c r="F35" s="10">
        <v>7</v>
      </c>
      <c r="G35" s="10">
        <v>8</v>
      </c>
      <c r="H35" s="10">
        <v>3</v>
      </c>
      <c r="I35" s="10">
        <v>4</v>
      </c>
      <c r="J35" s="10">
        <v>5</v>
      </c>
      <c r="K35" s="10">
        <v>8</v>
      </c>
      <c r="L35" s="10">
        <v>4</v>
      </c>
      <c r="M35" s="10">
        <v>4</v>
      </c>
      <c r="N35" s="10">
        <v>4</v>
      </c>
      <c r="O35" s="10">
        <v>5</v>
      </c>
      <c r="P35" s="10">
        <v>6</v>
      </c>
      <c r="Q35" s="10">
        <v>5</v>
      </c>
      <c r="R35" s="10">
        <v>2</v>
      </c>
      <c r="S35" s="10">
        <v>8</v>
      </c>
      <c r="T35" s="10">
        <v>10</v>
      </c>
      <c r="U35" s="10">
        <v>15</v>
      </c>
      <c r="V35" s="10">
        <v>19</v>
      </c>
      <c r="W35" s="10">
        <v>22</v>
      </c>
      <c r="X35" s="10">
        <v>7</v>
      </c>
      <c r="Y35" s="10">
        <v>18</v>
      </c>
      <c r="Z35" s="10">
        <v>25</v>
      </c>
      <c r="AA35" s="10">
        <v>31</v>
      </c>
      <c r="AB35" s="10">
        <v>16</v>
      </c>
      <c r="AC35" s="10">
        <v>19</v>
      </c>
      <c r="AD35" s="10">
        <v>20</v>
      </c>
      <c r="AE35" s="10">
        <v>25</v>
      </c>
      <c r="AF35" s="10">
        <v>25</v>
      </c>
      <c r="AG35" s="10">
        <v>30</v>
      </c>
      <c r="AH35" s="10">
        <v>28</v>
      </c>
      <c r="AI35" s="10">
        <v>23</v>
      </c>
      <c r="AJ35" s="10">
        <v>19</v>
      </c>
      <c r="AK35" s="10">
        <v>16</v>
      </c>
      <c r="AL35" s="10">
        <v>15</v>
      </c>
      <c r="AM35" s="10">
        <v>12</v>
      </c>
      <c r="AN35" s="10">
        <v>12</v>
      </c>
      <c r="AO35" s="10">
        <v>5</v>
      </c>
      <c r="AP35" s="10">
        <v>17</v>
      </c>
      <c r="AQ35" s="10">
        <v>16</v>
      </c>
      <c r="AR35" s="10">
        <v>16</v>
      </c>
      <c r="AS35" s="10">
        <v>9</v>
      </c>
      <c r="AT35" s="10">
        <v>14</v>
      </c>
      <c r="AU35" s="10">
        <v>16</v>
      </c>
      <c r="AV35" s="10">
        <v>14</v>
      </c>
      <c r="AW35" s="10">
        <v>11</v>
      </c>
      <c r="AX35" s="10">
        <v>8</v>
      </c>
      <c r="AY35" s="10">
        <v>18</v>
      </c>
      <c r="AZ35" s="10">
        <v>19</v>
      </c>
      <c r="BA35" s="10">
        <v>7</v>
      </c>
      <c r="BB35" s="10">
        <v>10</v>
      </c>
      <c r="BC35" s="10">
        <v>6</v>
      </c>
      <c r="BD35" s="10">
        <v>0</v>
      </c>
    </row>
    <row r="36" spans="1:56" x14ac:dyDescent="0.35">
      <c r="A36" s="14" t="s">
        <v>32</v>
      </c>
      <c r="B36" s="15">
        <v>128</v>
      </c>
      <c r="C36" s="16">
        <v>39.767360938509718</v>
      </c>
      <c r="D36" s="15">
        <v>1</v>
      </c>
      <c r="E36" s="15">
        <v>0</v>
      </c>
      <c r="F36" s="15">
        <v>1</v>
      </c>
      <c r="G36" s="15">
        <v>0</v>
      </c>
      <c r="H36" s="15">
        <v>0</v>
      </c>
      <c r="I36" s="15">
        <v>0</v>
      </c>
      <c r="J36" s="15">
        <v>0</v>
      </c>
      <c r="K36" s="15">
        <v>1</v>
      </c>
      <c r="L36" s="15">
        <v>0</v>
      </c>
      <c r="M36" s="15">
        <v>0</v>
      </c>
      <c r="N36" s="15">
        <v>0</v>
      </c>
      <c r="O36" s="15">
        <v>0</v>
      </c>
      <c r="P36" s="15">
        <v>0</v>
      </c>
      <c r="Q36" s="15">
        <v>0</v>
      </c>
      <c r="R36" s="15">
        <v>1</v>
      </c>
      <c r="S36" s="15">
        <v>5</v>
      </c>
      <c r="T36" s="15">
        <v>3</v>
      </c>
      <c r="U36" s="15">
        <v>2</v>
      </c>
      <c r="V36" s="15">
        <v>1</v>
      </c>
      <c r="W36" s="15">
        <v>3</v>
      </c>
      <c r="X36" s="15">
        <v>1</v>
      </c>
      <c r="Y36" s="15">
        <v>4</v>
      </c>
      <c r="Z36" s="15">
        <v>3</v>
      </c>
      <c r="AA36" s="15">
        <v>7</v>
      </c>
      <c r="AB36" s="15">
        <v>5</v>
      </c>
      <c r="AC36" s="15">
        <v>3</v>
      </c>
      <c r="AD36" s="15">
        <v>2</v>
      </c>
      <c r="AE36" s="15">
        <v>2</v>
      </c>
      <c r="AF36" s="15">
        <v>3</v>
      </c>
      <c r="AG36" s="15">
        <v>3</v>
      </c>
      <c r="AH36" s="15">
        <v>7</v>
      </c>
      <c r="AI36" s="15">
        <v>6</v>
      </c>
      <c r="AJ36" s="15">
        <v>2</v>
      </c>
      <c r="AK36" s="15">
        <v>6</v>
      </c>
      <c r="AL36" s="15">
        <v>2</v>
      </c>
      <c r="AM36" s="15">
        <v>1</v>
      </c>
      <c r="AN36" s="15">
        <v>0</v>
      </c>
      <c r="AO36" s="15">
        <v>0</v>
      </c>
      <c r="AP36" s="15">
        <v>9</v>
      </c>
      <c r="AQ36" s="15">
        <v>4</v>
      </c>
      <c r="AR36" s="15">
        <v>3</v>
      </c>
      <c r="AS36" s="15">
        <v>5</v>
      </c>
      <c r="AT36" s="15">
        <v>6</v>
      </c>
      <c r="AU36" s="15">
        <v>6</v>
      </c>
      <c r="AV36" s="15">
        <v>5</v>
      </c>
      <c r="AW36" s="15">
        <v>5</v>
      </c>
      <c r="AX36" s="15">
        <v>4</v>
      </c>
      <c r="AY36" s="15">
        <v>4</v>
      </c>
      <c r="AZ36" s="15">
        <v>1</v>
      </c>
      <c r="BA36" s="15">
        <v>1</v>
      </c>
      <c r="BB36" s="15">
        <v>0</v>
      </c>
      <c r="BC36" s="15">
        <v>0</v>
      </c>
      <c r="BD36" s="15">
        <v>0</v>
      </c>
    </row>
    <row r="37" spans="1:56" x14ac:dyDescent="0.35">
      <c r="A37" s="14" t="s">
        <v>33</v>
      </c>
      <c r="B37" s="15">
        <v>5</v>
      </c>
      <c r="C37" s="16">
        <v>5.2195335824790696</v>
      </c>
      <c r="D37" s="15">
        <v>0</v>
      </c>
      <c r="E37" s="15">
        <v>0</v>
      </c>
      <c r="F37" s="15">
        <v>0</v>
      </c>
      <c r="G37" s="15">
        <v>0</v>
      </c>
      <c r="H37" s="15">
        <v>0</v>
      </c>
      <c r="I37" s="15">
        <v>0</v>
      </c>
      <c r="J37" s="15">
        <v>0</v>
      </c>
      <c r="K37" s="15">
        <v>0</v>
      </c>
      <c r="L37" s="15">
        <v>0</v>
      </c>
      <c r="M37" s="15">
        <v>0</v>
      </c>
      <c r="N37" s="15">
        <v>0</v>
      </c>
      <c r="O37" s="15">
        <v>0</v>
      </c>
      <c r="P37" s="15">
        <v>0</v>
      </c>
      <c r="Q37" s="15">
        <v>0</v>
      </c>
      <c r="R37" s="15">
        <v>0</v>
      </c>
      <c r="S37" s="15">
        <v>0</v>
      </c>
      <c r="T37" s="15">
        <v>0</v>
      </c>
      <c r="U37" s="15">
        <v>0</v>
      </c>
      <c r="V37" s="15">
        <v>0</v>
      </c>
      <c r="W37" s="15">
        <v>0</v>
      </c>
      <c r="X37" s="15">
        <v>0</v>
      </c>
      <c r="Y37" s="15">
        <v>0</v>
      </c>
      <c r="Z37" s="15">
        <v>0</v>
      </c>
      <c r="AA37" s="15">
        <v>1</v>
      </c>
      <c r="AB37" s="15">
        <v>0</v>
      </c>
      <c r="AC37" s="15">
        <v>0</v>
      </c>
      <c r="AD37" s="15">
        <v>0</v>
      </c>
      <c r="AE37" s="15">
        <v>0</v>
      </c>
      <c r="AF37" s="15">
        <v>0</v>
      </c>
      <c r="AG37" s="15">
        <v>0</v>
      </c>
      <c r="AH37" s="15">
        <v>0</v>
      </c>
      <c r="AI37" s="15">
        <v>0</v>
      </c>
      <c r="AJ37" s="15">
        <v>0</v>
      </c>
      <c r="AK37" s="15">
        <v>0</v>
      </c>
      <c r="AL37" s="15">
        <v>1</v>
      </c>
      <c r="AM37" s="15">
        <v>0</v>
      </c>
      <c r="AN37" s="15">
        <v>0</v>
      </c>
      <c r="AO37" s="15">
        <v>1</v>
      </c>
      <c r="AP37" s="15">
        <v>0</v>
      </c>
      <c r="AQ37" s="15">
        <v>0</v>
      </c>
      <c r="AR37" s="15">
        <v>0</v>
      </c>
      <c r="AS37" s="15">
        <v>0</v>
      </c>
      <c r="AT37" s="15">
        <v>2</v>
      </c>
      <c r="AU37" s="15">
        <v>0</v>
      </c>
      <c r="AV37" s="15">
        <v>0</v>
      </c>
      <c r="AW37" s="15">
        <v>0</v>
      </c>
      <c r="AX37" s="15">
        <v>0</v>
      </c>
      <c r="AY37" s="15">
        <v>0</v>
      </c>
      <c r="AZ37" s="15">
        <v>0</v>
      </c>
      <c r="BA37" s="15">
        <v>0</v>
      </c>
      <c r="BB37" s="15">
        <v>0</v>
      </c>
      <c r="BC37" s="15">
        <v>0</v>
      </c>
      <c r="BD37" s="15">
        <v>0</v>
      </c>
    </row>
    <row r="38" spans="1:56" x14ac:dyDescent="0.35">
      <c r="A38" s="14" t="s">
        <v>34</v>
      </c>
      <c r="B38" s="15">
        <v>91</v>
      </c>
      <c r="C38" s="16">
        <v>94.612297519286344</v>
      </c>
      <c r="D38" s="15">
        <v>0</v>
      </c>
      <c r="E38" s="15">
        <v>0</v>
      </c>
      <c r="F38" s="15">
        <v>0</v>
      </c>
      <c r="G38" s="15">
        <v>0</v>
      </c>
      <c r="H38" s="15">
        <v>0</v>
      </c>
      <c r="I38" s="15">
        <v>0</v>
      </c>
      <c r="J38" s="15">
        <v>1</v>
      </c>
      <c r="K38" s="15">
        <v>3</v>
      </c>
      <c r="L38" s="15">
        <v>0</v>
      </c>
      <c r="M38" s="15">
        <v>0</v>
      </c>
      <c r="N38" s="15">
        <v>0</v>
      </c>
      <c r="O38" s="15">
        <v>0</v>
      </c>
      <c r="P38" s="15">
        <v>0</v>
      </c>
      <c r="Q38" s="15">
        <v>0</v>
      </c>
      <c r="R38" s="15">
        <v>0</v>
      </c>
      <c r="S38" s="15">
        <v>2</v>
      </c>
      <c r="T38" s="15">
        <v>4</v>
      </c>
      <c r="U38" s="15">
        <v>5</v>
      </c>
      <c r="V38" s="15">
        <v>9</v>
      </c>
      <c r="W38" s="15">
        <v>8</v>
      </c>
      <c r="X38" s="15">
        <v>3</v>
      </c>
      <c r="Y38" s="15">
        <v>2</v>
      </c>
      <c r="Z38" s="15">
        <v>7</v>
      </c>
      <c r="AA38" s="15">
        <v>5</v>
      </c>
      <c r="AB38" s="15">
        <v>1</v>
      </c>
      <c r="AC38" s="15">
        <v>2</v>
      </c>
      <c r="AD38" s="15">
        <v>5</v>
      </c>
      <c r="AE38" s="15">
        <v>10</v>
      </c>
      <c r="AF38" s="15">
        <v>4</v>
      </c>
      <c r="AG38" s="15">
        <v>5</v>
      </c>
      <c r="AH38" s="15">
        <v>1</v>
      </c>
      <c r="AI38" s="15">
        <v>1</v>
      </c>
      <c r="AJ38" s="15">
        <v>4</v>
      </c>
      <c r="AK38" s="15">
        <v>2</v>
      </c>
      <c r="AL38" s="15">
        <v>1</v>
      </c>
      <c r="AM38" s="15">
        <v>0</v>
      </c>
      <c r="AN38" s="15">
        <v>1</v>
      </c>
      <c r="AO38" s="15">
        <v>1</v>
      </c>
      <c r="AP38" s="15">
        <v>2</v>
      </c>
      <c r="AQ38" s="15">
        <v>1</v>
      </c>
      <c r="AR38" s="15">
        <v>0</v>
      </c>
      <c r="AS38" s="15">
        <v>0</v>
      </c>
      <c r="AT38" s="15">
        <v>0</v>
      </c>
      <c r="AU38" s="15">
        <v>1</v>
      </c>
      <c r="AV38" s="15">
        <v>0</v>
      </c>
      <c r="AW38" s="15">
        <v>0</v>
      </c>
      <c r="AX38" s="15">
        <v>0</v>
      </c>
      <c r="AY38" s="15">
        <v>0</v>
      </c>
      <c r="AZ38" s="15">
        <v>0</v>
      </c>
      <c r="BA38" s="15">
        <v>0</v>
      </c>
      <c r="BB38" s="15">
        <v>0</v>
      </c>
      <c r="BC38" s="15">
        <v>0</v>
      </c>
      <c r="BD38" s="15">
        <v>0</v>
      </c>
    </row>
    <row r="39" spans="1:56" x14ac:dyDescent="0.35">
      <c r="A39" s="14" t="s">
        <v>35</v>
      </c>
      <c r="B39" s="15">
        <v>4</v>
      </c>
      <c r="C39" s="16">
        <v>54.975261132490381</v>
      </c>
      <c r="D39" s="15">
        <v>0</v>
      </c>
      <c r="E39" s="15">
        <v>0</v>
      </c>
      <c r="F39" s="15">
        <v>0</v>
      </c>
      <c r="G39" s="15">
        <v>0</v>
      </c>
      <c r="H39" s="15">
        <v>0</v>
      </c>
      <c r="I39" s="15">
        <v>0</v>
      </c>
      <c r="J39" s="15">
        <v>1</v>
      </c>
      <c r="K39" s="15">
        <v>0</v>
      </c>
      <c r="L39" s="15">
        <v>0</v>
      </c>
      <c r="M39" s="15">
        <v>0</v>
      </c>
      <c r="N39" s="15">
        <v>0</v>
      </c>
      <c r="O39" s="15">
        <v>1</v>
      </c>
      <c r="P39" s="15">
        <v>1</v>
      </c>
      <c r="Q39" s="15">
        <v>0</v>
      </c>
      <c r="R39" s="15">
        <v>0</v>
      </c>
      <c r="S39" s="15">
        <v>0</v>
      </c>
      <c r="T39" s="15">
        <v>0</v>
      </c>
      <c r="U39" s="15">
        <v>1</v>
      </c>
      <c r="V39" s="15">
        <v>0</v>
      </c>
      <c r="W39" s="15">
        <v>0</v>
      </c>
      <c r="X39" s="15">
        <v>0</v>
      </c>
      <c r="Y39" s="15">
        <v>0</v>
      </c>
      <c r="Z39" s="15">
        <v>0</v>
      </c>
      <c r="AA39" s="15">
        <v>0</v>
      </c>
      <c r="AB39" s="15">
        <v>0</v>
      </c>
      <c r="AC39" s="15">
        <v>0</v>
      </c>
      <c r="AD39" s="15">
        <v>0</v>
      </c>
      <c r="AE39" s="15">
        <v>0</v>
      </c>
      <c r="AF39" s="15">
        <v>0</v>
      </c>
      <c r="AG39" s="15">
        <v>0</v>
      </c>
      <c r="AH39" s="15">
        <v>0</v>
      </c>
      <c r="AI39" s="15">
        <v>0</v>
      </c>
      <c r="AJ39" s="15">
        <v>0</v>
      </c>
      <c r="AK39" s="15">
        <v>0</v>
      </c>
      <c r="AL39" s="15">
        <v>0</v>
      </c>
      <c r="AM39" s="15">
        <v>0</v>
      </c>
      <c r="AN39" s="15">
        <v>0</v>
      </c>
      <c r="AO39" s="15">
        <v>0</v>
      </c>
      <c r="AP39" s="15">
        <v>0</v>
      </c>
      <c r="AQ39" s="15">
        <v>0</v>
      </c>
      <c r="AR39" s="15">
        <v>0</v>
      </c>
      <c r="AS39" s="15">
        <v>0</v>
      </c>
      <c r="AT39" s="15">
        <v>0</v>
      </c>
      <c r="AU39" s="15">
        <v>0</v>
      </c>
      <c r="AV39" s="15">
        <v>0</v>
      </c>
      <c r="AW39" s="15">
        <v>0</v>
      </c>
      <c r="AX39" s="15">
        <v>0</v>
      </c>
      <c r="AY39" s="15">
        <v>0</v>
      </c>
      <c r="AZ39" s="15">
        <v>0</v>
      </c>
      <c r="BA39" s="15">
        <v>0</v>
      </c>
      <c r="BB39" s="15">
        <v>0</v>
      </c>
      <c r="BC39" s="15">
        <v>0</v>
      </c>
      <c r="BD39" s="15">
        <v>0</v>
      </c>
    </row>
    <row r="40" spans="1:56" x14ac:dyDescent="0.35">
      <c r="A40" s="14" t="s">
        <v>36</v>
      </c>
      <c r="B40" s="15">
        <v>39</v>
      </c>
      <c r="C40" s="16">
        <v>130.52208835341366</v>
      </c>
      <c r="D40" s="15">
        <v>0</v>
      </c>
      <c r="E40" s="15">
        <v>1</v>
      </c>
      <c r="F40" s="15">
        <v>0</v>
      </c>
      <c r="G40" s="15">
        <v>1</v>
      </c>
      <c r="H40" s="15">
        <v>0</v>
      </c>
      <c r="I40" s="15">
        <v>0</v>
      </c>
      <c r="J40" s="15">
        <v>0</v>
      </c>
      <c r="K40" s="15">
        <v>1</v>
      </c>
      <c r="L40" s="15">
        <v>0</v>
      </c>
      <c r="M40" s="15">
        <v>0</v>
      </c>
      <c r="N40" s="15">
        <v>0</v>
      </c>
      <c r="O40" s="15">
        <v>1</v>
      </c>
      <c r="P40" s="15">
        <v>1</v>
      </c>
      <c r="Q40" s="15">
        <v>0</v>
      </c>
      <c r="R40" s="15">
        <v>0</v>
      </c>
      <c r="S40" s="15">
        <v>0</v>
      </c>
      <c r="T40" s="15">
        <v>0</v>
      </c>
      <c r="U40" s="15">
        <v>2</v>
      </c>
      <c r="V40" s="15">
        <v>1</v>
      </c>
      <c r="W40" s="15">
        <v>1</v>
      </c>
      <c r="X40" s="15">
        <v>0</v>
      </c>
      <c r="Y40" s="15">
        <v>0</v>
      </c>
      <c r="Z40" s="15">
        <v>0</v>
      </c>
      <c r="AA40" s="15">
        <v>2</v>
      </c>
      <c r="AB40" s="15">
        <v>1</v>
      </c>
      <c r="AC40" s="15">
        <v>3</v>
      </c>
      <c r="AD40" s="15">
        <v>1</v>
      </c>
      <c r="AE40" s="15">
        <v>1</v>
      </c>
      <c r="AF40" s="15">
        <v>0</v>
      </c>
      <c r="AG40" s="15">
        <v>1</v>
      </c>
      <c r="AH40" s="15">
        <v>3</v>
      </c>
      <c r="AI40" s="15">
        <v>1</v>
      </c>
      <c r="AJ40" s="15">
        <v>0</v>
      </c>
      <c r="AK40" s="15">
        <v>2</v>
      </c>
      <c r="AL40" s="15">
        <v>3</v>
      </c>
      <c r="AM40" s="15">
        <v>1</v>
      </c>
      <c r="AN40" s="15">
        <v>4</v>
      </c>
      <c r="AO40" s="15">
        <v>1</v>
      </c>
      <c r="AP40" s="15">
        <v>0</v>
      </c>
      <c r="AQ40" s="15">
        <v>2</v>
      </c>
      <c r="AR40" s="15">
        <v>0</v>
      </c>
      <c r="AS40" s="15">
        <v>1</v>
      </c>
      <c r="AT40" s="15">
        <v>0</v>
      </c>
      <c r="AU40" s="15">
        <v>0</v>
      </c>
      <c r="AV40" s="15">
        <v>1</v>
      </c>
      <c r="AW40" s="15">
        <v>0</v>
      </c>
      <c r="AX40" s="15">
        <v>0</v>
      </c>
      <c r="AY40" s="15">
        <v>1</v>
      </c>
      <c r="AZ40" s="15">
        <v>0</v>
      </c>
      <c r="BA40" s="15">
        <v>0</v>
      </c>
      <c r="BB40" s="15">
        <v>1</v>
      </c>
      <c r="BC40" s="15">
        <v>0</v>
      </c>
      <c r="BD40" s="15">
        <v>0</v>
      </c>
    </row>
    <row r="41" spans="1:56" x14ac:dyDescent="0.35">
      <c r="A41" s="14" t="s">
        <v>37</v>
      </c>
      <c r="B41" s="15">
        <v>6</v>
      </c>
      <c r="C41" s="16">
        <v>12.056908608632748</v>
      </c>
      <c r="D41" s="15">
        <v>1</v>
      </c>
      <c r="E41" s="15">
        <v>0</v>
      </c>
      <c r="F41" s="15">
        <v>0</v>
      </c>
      <c r="G41" s="15">
        <v>0</v>
      </c>
      <c r="H41" s="15">
        <v>0</v>
      </c>
      <c r="I41" s="15">
        <v>0</v>
      </c>
      <c r="J41" s="15">
        <v>0</v>
      </c>
      <c r="K41" s="15">
        <v>0</v>
      </c>
      <c r="L41" s="15">
        <v>0</v>
      </c>
      <c r="M41" s="15">
        <v>0</v>
      </c>
      <c r="N41" s="15">
        <v>0</v>
      </c>
      <c r="O41" s="15">
        <v>0</v>
      </c>
      <c r="P41" s="15">
        <v>0</v>
      </c>
      <c r="Q41" s="15">
        <v>0</v>
      </c>
      <c r="R41" s="15">
        <v>0</v>
      </c>
      <c r="S41" s="15">
        <v>0</v>
      </c>
      <c r="T41" s="15">
        <v>0</v>
      </c>
      <c r="U41" s="15">
        <v>0</v>
      </c>
      <c r="V41" s="15">
        <v>1</v>
      </c>
      <c r="W41" s="15">
        <v>0</v>
      </c>
      <c r="X41" s="15">
        <v>0</v>
      </c>
      <c r="Y41" s="15">
        <v>0</v>
      </c>
      <c r="Z41" s="15">
        <v>0</v>
      </c>
      <c r="AA41" s="15">
        <v>0</v>
      </c>
      <c r="AB41" s="15">
        <v>1</v>
      </c>
      <c r="AC41" s="15">
        <v>0</v>
      </c>
      <c r="AD41" s="15">
        <v>0</v>
      </c>
      <c r="AE41" s="15">
        <v>0</v>
      </c>
      <c r="AF41" s="15">
        <v>0</v>
      </c>
      <c r="AG41" s="15">
        <v>1</v>
      </c>
      <c r="AH41" s="15">
        <v>0</v>
      </c>
      <c r="AI41" s="15">
        <v>2</v>
      </c>
      <c r="AJ41" s="15">
        <v>0</v>
      </c>
      <c r="AK41" s="15">
        <v>0</v>
      </c>
      <c r="AL41" s="15">
        <v>0</v>
      </c>
      <c r="AM41" s="15">
        <v>0</v>
      </c>
      <c r="AN41" s="15">
        <v>0</v>
      </c>
      <c r="AO41" s="15">
        <v>0</v>
      </c>
      <c r="AP41" s="15">
        <v>0</v>
      </c>
      <c r="AQ41" s="15">
        <v>0</v>
      </c>
      <c r="AR41" s="15">
        <v>0</v>
      </c>
      <c r="AS41" s="15">
        <v>0</v>
      </c>
      <c r="AT41" s="15">
        <v>0</v>
      </c>
      <c r="AU41" s="15">
        <v>0</v>
      </c>
      <c r="AV41" s="15">
        <v>0</v>
      </c>
      <c r="AW41" s="15">
        <v>0</v>
      </c>
      <c r="AX41" s="15">
        <v>0</v>
      </c>
      <c r="AY41" s="15">
        <v>0</v>
      </c>
      <c r="AZ41" s="15">
        <v>0</v>
      </c>
      <c r="BA41" s="15">
        <v>0</v>
      </c>
      <c r="BB41" s="15">
        <v>0</v>
      </c>
      <c r="BC41" s="15">
        <v>0</v>
      </c>
      <c r="BD41" s="15">
        <v>0</v>
      </c>
    </row>
    <row r="42" spans="1:56" x14ac:dyDescent="0.35">
      <c r="A42" s="14" t="s">
        <v>38</v>
      </c>
      <c r="B42" s="15">
        <v>2</v>
      </c>
      <c r="C42" s="16">
        <v>4.7841167324482718</v>
      </c>
      <c r="D42" s="15">
        <v>0</v>
      </c>
      <c r="E42" s="15">
        <v>0</v>
      </c>
      <c r="F42" s="15">
        <v>0</v>
      </c>
      <c r="G42" s="15">
        <v>0</v>
      </c>
      <c r="H42" s="15">
        <v>0</v>
      </c>
      <c r="I42" s="15">
        <v>0</v>
      </c>
      <c r="J42" s="15">
        <v>0</v>
      </c>
      <c r="K42" s="15">
        <v>0</v>
      </c>
      <c r="L42" s="15">
        <v>0</v>
      </c>
      <c r="M42" s="15">
        <v>0</v>
      </c>
      <c r="N42" s="15">
        <v>0</v>
      </c>
      <c r="O42" s="15">
        <v>0</v>
      </c>
      <c r="P42" s="15">
        <v>0</v>
      </c>
      <c r="Q42" s="15">
        <v>0</v>
      </c>
      <c r="R42" s="15">
        <v>0</v>
      </c>
      <c r="S42" s="15">
        <v>0</v>
      </c>
      <c r="T42" s="15">
        <v>0</v>
      </c>
      <c r="U42" s="15">
        <v>0</v>
      </c>
      <c r="V42" s="15">
        <v>0</v>
      </c>
      <c r="W42" s="15">
        <v>0</v>
      </c>
      <c r="X42" s="15">
        <v>0</v>
      </c>
      <c r="Y42" s="15">
        <v>0</v>
      </c>
      <c r="Z42" s="15">
        <v>0</v>
      </c>
      <c r="AA42" s="15">
        <v>0</v>
      </c>
      <c r="AB42" s="15">
        <v>0</v>
      </c>
      <c r="AC42" s="15">
        <v>0</v>
      </c>
      <c r="AD42" s="15">
        <v>0</v>
      </c>
      <c r="AE42" s="15">
        <v>0</v>
      </c>
      <c r="AF42" s="15">
        <v>0</v>
      </c>
      <c r="AG42" s="15">
        <v>0</v>
      </c>
      <c r="AH42" s="15">
        <v>1</v>
      </c>
      <c r="AI42" s="15">
        <v>0</v>
      </c>
      <c r="AJ42" s="15">
        <v>0</v>
      </c>
      <c r="AK42" s="15">
        <v>0</v>
      </c>
      <c r="AL42" s="15">
        <v>0</v>
      </c>
      <c r="AM42" s="15">
        <v>1</v>
      </c>
      <c r="AN42" s="15">
        <v>0</v>
      </c>
      <c r="AO42" s="15">
        <v>0</v>
      </c>
      <c r="AP42" s="15">
        <v>0</v>
      </c>
      <c r="AQ42" s="15">
        <v>0</v>
      </c>
      <c r="AR42" s="15">
        <v>0</v>
      </c>
      <c r="AS42" s="15">
        <v>0</v>
      </c>
      <c r="AT42" s="15">
        <v>0</v>
      </c>
      <c r="AU42" s="15">
        <v>0</v>
      </c>
      <c r="AV42" s="15">
        <v>0</v>
      </c>
      <c r="AW42" s="15">
        <v>0</v>
      </c>
      <c r="AX42" s="15">
        <v>0</v>
      </c>
      <c r="AY42" s="15">
        <v>0</v>
      </c>
      <c r="AZ42" s="15">
        <v>0</v>
      </c>
      <c r="BA42" s="15">
        <v>0</v>
      </c>
      <c r="BB42" s="15">
        <v>0</v>
      </c>
      <c r="BC42" s="15">
        <v>0</v>
      </c>
      <c r="BD42" s="15">
        <v>0</v>
      </c>
    </row>
    <row r="43" spans="1:56" x14ac:dyDescent="0.35">
      <c r="A43" s="14" t="s">
        <v>39</v>
      </c>
      <c r="B43" s="15">
        <v>10</v>
      </c>
      <c r="C43" s="16">
        <v>28.631964725419458</v>
      </c>
      <c r="D43" s="15">
        <v>2</v>
      </c>
      <c r="E43" s="15">
        <v>0</v>
      </c>
      <c r="F43" s="15">
        <v>0</v>
      </c>
      <c r="G43" s="15">
        <v>1</v>
      </c>
      <c r="H43" s="15">
        <v>0</v>
      </c>
      <c r="I43" s="15">
        <v>0</v>
      </c>
      <c r="J43" s="15">
        <v>0</v>
      </c>
      <c r="K43" s="15">
        <v>0</v>
      </c>
      <c r="L43" s="15">
        <v>1</v>
      </c>
      <c r="M43" s="15">
        <v>0</v>
      </c>
      <c r="N43" s="15">
        <v>0</v>
      </c>
      <c r="O43" s="15">
        <v>0</v>
      </c>
      <c r="P43" s="15">
        <v>0</v>
      </c>
      <c r="Q43" s="15">
        <v>0</v>
      </c>
      <c r="R43" s="15">
        <v>0</v>
      </c>
      <c r="S43" s="15">
        <v>0</v>
      </c>
      <c r="T43" s="15">
        <v>0</v>
      </c>
      <c r="U43" s="15">
        <v>0</v>
      </c>
      <c r="V43" s="15">
        <v>0</v>
      </c>
      <c r="W43" s="15">
        <v>0</v>
      </c>
      <c r="X43" s="15">
        <v>0</v>
      </c>
      <c r="Y43" s="15">
        <v>0</v>
      </c>
      <c r="Z43" s="15">
        <v>0</v>
      </c>
      <c r="AA43" s="15">
        <v>0</v>
      </c>
      <c r="AB43" s="15">
        <v>0</v>
      </c>
      <c r="AC43" s="15">
        <v>0</v>
      </c>
      <c r="AD43" s="15">
        <v>0</v>
      </c>
      <c r="AE43" s="15">
        <v>0</v>
      </c>
      <c r="AF43" s="15">
        <v>0</v>
      </c>
      <c r="AG43" s="15">
        <v>0</v>
      </c>
      <c r="AH43" s="15">
        <v>0</v>
      </c>
      <c r="AI43" s="15">
        <v>0</v>
      </c>
      <c r="AJ43" s="15">
        <v>0</v>
      </c>
      <c r="AK43" s="15">
        <v>0</v>
      </c>
      <c r="AL43" s="15">
        <v>0</v>
      </c>
      <c r="AM43" s="15">
        <v>1</v>
      </c>
      <c r="AN43" s="15">
        <v>0</v>
      </c>
      <c r="AO43" s="15">
        <v>0</v>
      </c>
      <c r="AP43" s="15">
        <v>2</v>
      </c>
      <c r="AQ43" s="15">
        <v>1</v>
      </c>
      <c r="AR43" s="15">
        <v>1</v>
      </c>
      <c r="AS43" s="15">
        <v>0</v>
      </c>
      <c r="AT43" s="15">
        <v>0</v>
      </c>
      <c r="AU43" s="15">
        <v>0</v>
      </c>
      <c r="AV43" s="15">
        <v>0</v>
      </c>
      <c r="AW43" s="15">
        <v>0</v>
      </c>
      <c r="AX43" s="15">
        <v>0</v>
      </c>
      <c r="AY43" s="15">
        <v>0</v>
      </c>
      <c r="AZ43" s="15">
        <v>1</v>
      </c>
      <c r="BA43" s="15">
        <v>0</v>
      </c>
      <c r="BB43" s="15">
        <v>0</v>
      </c>
      <c r="BC43" s="15">
        <v>0</v>
      </c>
      <c r="BD43" s="15">
        <v>0</v>
      </c>
    </row>
    <row r="44" spans="1:56" x14ac:dyDescent="0.35">
      <c r="A44" s="14" t="s">
        <v>40</v>
      </c>
      <c r="B44" s="15">
        <v>21</v>
      </c>
      <c r="C44" s="16">
        <v>85.896596858638745</v>
      </c>
      <c r="D44" s="15">
        <v>0</v>
      </c>
      <c r="E44" s="15">
        <v>1</v>
      </c>
      <c r="F44" s="15">
        <v>3</v>
      </c>
      <c r="G44" s="15">
        <v>0</v>
      </c>
      <c r="H44" s="15">
        <v>0</v>
      </c>
      <c r="I44" s="15">
        <v>0</v>
      </c>
      <c r="J44" s="15">
        <v>0</v>
      </c>
      <c r="K44" s="15">
        <v>0</v>
      </c>
      <c r="L44" s="15">
        <v>0</v>
      </c>
      <c r="M44" s="15">
        <v>0</v>
      </c>
      <c r="N44" s="15">
        <v>0</v>
      </c>
      <c r="O44" s="15">
        <v>0</v>
      </c>
      <c r="P44" s="15">
        <v>0</v>
      </c>
      <c r="Q44" s="15">
        <v>0</v>
      </c>
      <c r="R44" s="15">
        <v>0</v>
      </c>
      <c r="S44" s="15">
        <v>0</v>
      </c>
      <c r="T44" s="15">
        <v>0</v>
      </c>
      <c r="U44" s="15">
        <v>1</v>
      </c>
      <c r="V44" s="15">
        <v>0</v>
      </c>
      <c r="W44" s="15">
        <v>1</v>
      </c>
      <c r="X44" s="15">
        <v>0</v>
      </c>
      <c r="Y44" s="15">
        <v>0</v>
      </c>
      <c r="Z44" s="15">
        <v>0</v>
      </c>
      <c r="AA44" s="15">
        <v>0</v>
      </c>
      <c r="AB44" s="15">
        <v>1</v>
      </c>
      <c r="AC44" s="15">
        <v>0</v>
      </c>
      <c r="AD44" s="15">
        <v>0</v>
      </c>
      <c r="AE44" s="15">
        <v>0</v>
      </c>
      <c r="AF44" s="15">
        <v>2</v>
      </c>
      <c r="AG44" s="15">
        <v>1</v>
      </c>
      <c r="AH44" s="15">
        <v>0</v>
      </c>
      <c r="AI44" s="15">
        <v>1</v>
      </c>
      <c r="AJ44" s="15">
        <v>0</v>
      </c>
      <c r="AK44" s="15">
        <v>0</v>
      </c>
      <c r="AL44" s="15">
        <v>0</v>
      </c>
      <c r="AM44" s="15">
        <v>0</v>
      </c>
      <c r="AN44" s="15">
        <v>1</v>
      </c>
      <c r="AO44" s="15">
        <v>0</v>
      </c>
      <c r="AP44" s="15">
        <v>1</v>
      </c>
      <c r="AQ44" s="15">
        <v>2</v>
      </c>
      <c r="AR44" s="15">
        <v>1</v>
      </c>
      <c r="AS44" s="15">
        <v>0</v>
      </c>
      <c r="AT44" s="15">
        <v>1</v>
      </c>
      <c r="AU44" s="15">
        <v>1</v>
      </c>
      <c r="AV44" s="15">
        <v>1</v>
      </c>
      <c r="AW44" s="15">
        <v>0</v>
      </c>
      <c r="AX44" s="15">
        <v>0</v>
      </c>
      <c r="AY44" s="15">
        <v>1</v>
      </c>
      <c r="AZ44" s="15">
        <v>1</v>
      </c>
      <c r="BA44" s="15">
        <v>0</v>
      </c>
      <c r="BB44" s="15">
        <v>0</v>
      </c>
      <c r="BC44" s="15">
        <v>0</v>
      </c>
      <c r="BD44" s="15">
        <v>0</v>
      </c>
    </row>
    <row r="45" spans="1:56" x14ac:dyDescent="0.35">
      <c r="A45" s="14" t="s">
        <v>41</v>
      </c>
      <c r="B45" s="15">
        <v>216</v>
      </c>
      <c r="C45" s="16">
        <v>104.79586638527036</v>
      </c>
      <c r="D45" s="15">
        <v>5</v>
      </c>
      <c r="E45" s="15">
        <v>0</v>
      </c>
      <c r="F45" s="15">
        <v>0</v>
      </c>
      <c r="G45" s="15">
        <v>3</v>
      </c>
      <c r="H45" s="15">
        <v>1</v>
      </c>
      <c r="I45" s="15">
        <v>2</v>
      </c>
      <c r="J45" s="15">
        <v>1</v>
      </c>
      <c r="K45" s="15">
        <v>1</v>
      </c>
      <c r="L45" s="15">
        <v>2</v>
      </c>
      <c r="M45" s="15">
        <v>4</v>
      </c>
      <c r="N45" s="15">
        <v>1</v>
      </c>
      <c r="O45" s="15">
        <v>1</v>
      </c>
      <c r="P45" s="15">
        <v>2</v>
      </c>
      <c r="Q45" s="15">
        <v>5</v>
      </c>
      <c r="R45" s="15">
        <v>1</v>
      </c>
      <c r="S45" s="15">
        <v>1</v>
      </c>
      <c r="T45" s="15">
        <v>3</v>
      </c>
      <c r="U45" s="15">
        <v>2</v>
      </c>
      <c r="V45" s="15">
        <v>5</v>
      </c>
      <c r="W45" s="15">
        <v>3</v>
      </c>
      <c r="X45" s="15">
        <v>1</v>
      </c>
      <c r="Y45" s="15">
        <v>4</v>
      </c>
      <c r="Z45" s="15">
        <v>3</v>
      </c>
      <c r="AA45" s="15">
        <v>5</v>
      </c>
      <c r="AB45" s="15">
        <v>2</v>
      </c>
      <c r="AC45" s="15">
        <v>6</v>
      </c>
      <c r="AD45" s="15">
        <v>5</v>
      </c>
      <c r="AE45" s="15">
        <v>2</v>
      </c>
      <c r="AF45" s="15">
        <v>9</v>
      </c>
      <c r="AG45" s="15">
        <v>10</v>
      </c>
      <c r="AH45" s="15">
        <v>6</v>
      </c>
      <c r="AI45" s="15">
        <v>10</v>
      </c>
      <c r="AJ45" s="15">
        <v>12</v>
      </c>
      <c r="AK45" s="15">
        <v>5</v>
      </c>
      <c r="AL45" s="15">
        <v>8</v>
      </c>
      <c r="AM45" s="15">
        <v>7</v>
      </c>
      <c r="AN45" s="15">
        <v>5</v>
      </c>
      <c r="AO45" s="15">
        <v>2</v>
      </c>
      <c r="AP45" s="15">
        <v>3</v>
      </c>
      <c r="AQ45" s="15">
        <v>5</v>
      </c>
      <c r="AR45" s="15">
        <v>9</v>
      </c>
      <c r="AS45" s="15">
        <v>2</v>
      </c>
      <c r="AT45" s="15">
        <v>5</v>
      </c>
      <c r="AU45" s="15">
        <v>6</v>
      </c>
      <c r="AV45" s="15">
        <v>4</v>
      </c>
      <c r="AW45" s="15">
        <v>1</v>
      </c>
      <c r="AX45" s="15">
        <v>4</v>
      </c>
      <c r="AY45" s="15">
        <v>8</v>
      </c>
      <c r="AZ45" s="15">
        <v>12</v>
      </c>
      <c r="BA45" s="15">
        <v>3</v>
      </c>
      <c r="BB45" s="15">
        <v>5</v>
      </c>
      <c r="BC45" s="15">
        <v>4</v>
      </c>
      <c r="BD45" s="15">
        <v>0</v>
      </c>
    </row>
    <row r="46" spans="1:56" x14ac:dyDescent="0.35">
      <c r="A46" s="14" t="s">
        <v>42</v>
      </c>
      <c r="B46" s="15">
        <v>0</v>
      </c>
      <c r="C46" s="16">
        <v>0</v>
      </c>
      <c r="D46" s="15">
        <v>0</v>
      </c>
      <c r="E46" s="15">
        <v>0</v>
      </c>
      <c r="F46" s="15">
        <v>0</v>
      </c>
      <c r="G46" s="15">
        <v>0</v>
      </c>
      <c r="H46" s="15">
        <v>0</v>
      </c>
      <c r="I46" s="15">
        <v>0</v>
      </c>
      <c r="J46" s="15">
        <v>0</v>
      </c>
      <c r="K46" s="15">
        <v>0</v>
      </c>
      <c r="L46" s="15">
        <v>0</v>
      </c>
      <c r="M46" s="15">
        <v>0</v>
      </c>
      <c r="N46" s="15">
        <v>0</v>
      </c>
      <c r="O46" s="15">
        <v>0</v>
      </c>
      <c r="P46" s="15">
        <v>0</v>
      </c>
      <c r="Q46" s="15">
        <v>0</v>
      </c>
      <c r="R46" s="15">
        <v>0</v>
      </c>
      <c r="S46" s="15">
        <v>0</v>
      </c>
      <c r="T46" s="15">
        <v>0</v>
      </c>
      <c r="U46" s="15">
        <v>0</v>
      </c>
      <c r="V46" s="15">
        <v>0</v>
      </c>
      <c r="W46" s="15">
        <v>0</v>
      </c>
      <c r="X46" s="15">
        <v>0</v>
      </c>
      <c r="Y46" s="15">
        <v>0</v>
      </c>
      <c r="Z46" s="15">
        <v>0</v>
      </c>
      <c r="AA46" s="15">
        <v>0</v>
      </c>
      <c r="AB46" s="15">
        <v>0</v>
      </c>
      <c r="AC46" s="15">
        <v>0</v>
      </c>
      <c r="AD46" s="15">
        <v>0</v>
      </c>
      <c r="AE46" s="15">
        <v>0</v>
      </c>
      <c r="AF46" s="15">
        <v>0</v>
      </c>
      <c r="AG46" s="15">
        <v>0</v>
      </c>
      <c r="AH46" s="15">
        <v>0</v>
      </c>
      <c r="AI46" s="15">
        <v>0</v>
      </c>
      <c r="AJ46" s="15">
        <v>0</v>
      </c>
      <c r="AK46" s="15">
        <v>0</v>
      </c>
      <c r="AL46" s="15">
        <v>0</v>
      </c>
      <c r="AM46" s="15">
        <v>0</v>
      </c>
      <c r="AN46" s="15">
        <v>0</v>
      </c>
      <c r="AO46" s="15">
        <v>0</v>
      </c>
      <c r="AP46" s="15">
        <v>0</v>
      </c>
      <c r="AQ46" s="15">
        <v>0</v>
      </c>
      <c r="AR46" s="15">
        <v>0</v>
      </c>
      <c r="AS46" s="15">
        <v>0</v>
      </c>
      <c r="AT46" s="15">
        <v>0</v>
      </c>
      <c r="AU46" s="15">
        <v>0</v>
      </c>
      <c r="AV46" s="15">
        <v>0</v>
      </c>
      <c r="AW46" s="15">
        <v>0</v>
      </c>
      <c r="AX46" s="15">
        <v>0</v>
      </c>
      <c r="AY46" s="15">
        <v>0</v>
      </c>
      <c r="AZ46" s="15">
        <v>0</v>
      </c>
      <c r="BA46" s="15">
        <v>0</v>
      </c>
      <c r="BB46" s="15">
        <v>0</v>
      </c>
      <c r="BC46" s="15">
        <v>0</v>
      </c>
      <c r="BD46" s="15">
        <v>0</v>
      </c>
    </row>
    <row r="47" spans="1:56" x14ac:dyDescent="0.35">
      <c r="A47" s="14" t="s">
        <v>43</v>
      </c>
      <c r="B47" s="15">
        <v>2</v>
      </c>
      <c r="C47" s="16">
        <v>8.851124092759779</v>
      </c>
      <c r="D47" s="15">
        <v>0</v>
      </c>
      <c r="E47" s="15">
        <v>0</v>
      </c>
      <c r="F47" s="15">
        <v>0</v>
      </c>
      <c r="G47" s="15">
        <v>0</v>
      </c>
      <c r="H47" s="15">
        <v>0</v>
      </c>
      <c r="I47" s="15">
        <v>0</v>
      </c>
      <c r="J47" s="15">
        <v>0</v>
      </c>
      <c r="K47" s="15">
        <v>0</v>
      </c>
      <c r="L47" s="15">
        <v>0</v>
      </c>
      <c r="M47" s="15">
        <v>0</v>
      </c>
      <c r="N47" s="15">
        <v>0</v>
      </c>
      <c r="O47" s="15">
        <v>0</v>
      </c>
      <c r="P47" s="15">
        <v>0</v>
      </c>
      <c r="Q47" s="15">
        <v>0</v>
      </c>
      <c r="R47" s="15">
        <v>0</v>
      </c>
      <c r="S47" s="15">
        <v>0</v>
      </c>
      <c r="T47" s="15">
        <v>0</v>
      </c>
      <c r="U47" s="15">
        <v>0</v>
      </c>
      <c r="V47" s="15">
        <v>0</v>
      </c>
      <c r="W47" s="15">
        <v>0</v>
      </c>
      <c r="X47" s="15">
        <v>0</v>
      </c>
      <c r="Y47" s="15">
        <v>0</v>
      </c>
      <c r="Z47" s="15">
        <v>0</v>
      </c>
      <c r="AA47" s="15">
        <v>1</v>
      </c>
      <c r="AB47" s="15">
        <v>0</v>
      </c>
      <c r="AC47" s="15">
        <v>0</v>
      </c>
      <c r="AD47" s="15">
        <v>0</v>
      </c>
      <c r="AE47" s="15">
        <v>1</v>
      </c>
      <c r="AF47" s="15">
        <v>0</v>
      </c>
      <c r="AG47" s="15">
        <v>0</v>
      </c>
      <c r="AH47" s="15">
        <v>0</v>
      </c>
      <c r="AI47" s="15">
        <v>0</v>
      </c>
      <c r="AJ47" s="15">
        <v>0</v>
      </c>
      <c r="AK47" s="15">
        <v>0</v>
      </c>
      <c r="AL47" s="15">
        <v>0</v>
      </c>
      <c r="AM47" s="15">
        <v>0</v>
      </c>
      <c r="AN47" s="15">
        <v>0</v>
      </c>
      <c r="AO47" s="15">
        <v>0</v>
      </c>
      <c r="AP47" s="15">
        <v>0</v>
      </c>
      <c r="AQ47" s="15">
        <v>0</v>
      </c>
      <c r="AR47" s="15">
        <v>0</v>
      </c>
      <c r="AS47" s="15">
        <v>0</v>
      </c>
      <c r="AT47" s="15">
        <v>0</v>
      </c>
      <c r="AU47" s="15">
        <v>0</v>
      </c>
      <c r="AV47" s="15">
        <v>0</v>
      </c>
      <c r="AW47" s="15">
        <v>0</v>
      </c>
      <c r="AX47" s="15">
        <v>0</v>
      </c>
      <c r="AY47" s="15">
        <v>0</v>
      </c>
      <c r="AZ47" s="15">
        <v>0</v>
      </c>
      <c r="BA47" s="15">
        <v>0</v>
      </c>
      <c r="BB47" s="15">
        <v>0</v>
      </c>
      <c r="BC47" s="15">
        <v>0</v>
      </c>
      <c r="BD47" s="15">
        <v>0</v>
      </c>
    </row>
    <row r="48" spans="1:56" x14ac:dyDescent="0.35">
      <c r="A48" s="14" t="s">
        <v>44</v>
      </c>
      <c r="B48" s="15">
        <v>6</v>
      </c>
      <c r="C48" s="16">
        <v>10.817437709587855</v>
      </c>
      <c r="D48" s="15">
        <v>0</v>
      </c>
      <c r="E48" s="15">
        <v>0</v>
      </c>
      <c r="F48" s="15">
        <v>1</v>
      </c>
      <c r="G48" s="15">
        <v>0</v>
      </c>
      <c r="H48" s="15">
        <v>1</v>
      </c>
      <c r="I48" s="15">
        <v>0</v>
      </c>
      <c r="J48" s="15">
        <v>0</v>
      </c>
      <c r="K48" s="15">
        <v>1</v>
      </c>
      <c r="L48" s="15">
        <v>0</v>
      </c>
      <c r="M48" s="15">
        <v>0</v>
      </c>
      <c r="N48" s="15">
        <v>2</v>
      </c>
      <c r="O48" s="15">
        <v>0</v>
      </c>
      <c r="P48" s="15">
        <v>0</v>
      </c>
      <c r="Q48" s="15">
        <v>0</v>
      </c>
      <c r="R48" s="15">
        <v>0</v>
      </c>
      <c r="S48" s="15">
        <v>0</v>
      </c>
      <c r="T48" s="15">
        <v>0</v>
      </c>
      <c r="U48" s="15">
        <v>0</v>
      </c>
      <c r="V48" s="15">
        <v>0</v>
      </c>
      <c r="W48" s="15">
        <v>0</v>
      </c>
      <c r="X48" s="15">
        <v>0</v>
      </c>
      <c r="Y48" s="15">
        <v>0</v>
      </c>
      <c r="Z48" s="15">
        <v>0</v>
      </c>
      <c r="AA48" s="15">
        <v>1</v>
      </c>
      <c r="AB48" s="15">
        <v>0</v>
      </c>
      <c r="AC48" s="15">
        <v>0</v>
      </c>
      <c r="AD48" s="15">
        <v>0</v>
      </c>
      <c r="AE48" s="15">
        <v>0</v>
      </c>
      <c r="AF48" s="15">
        <v>0</v>
      </c>
      <c r="AG48" s="15">
        <v>0</v>
      </c>
      <c r="AH48" s="15">
        <v>0</v>
      </c>
      <c r="AI48" s="15">
        <v>0</v>
      </c>
      <c r="AJ48" s="15">
        <v>0</v>
      </c>
      <c r="AK48" s="15">
        <v>0</v>
      </c>
      <c r="AL48" s="15">
        <v>0</v>
      </c>
      <c r="AM48" s="15">
        <v>0</v>
      </c>
      <c r="AN48" s="15">
        <v>0</v>
      </c>
      <c r="AO48" s="15">
        <v>0</v>
      </c>
      <c r="AP48" s="15">
        <v>0</v>
      </c>
      <c r="AQ48" s="15">
        <v>0</v>
      </c>
      <c r="AR48" s="15">
        <v>0</v>
      </c>
      <c r="AS48" s="15">
        <v>0</v>
      </c>
      <c r="AT48" s="15">
        <v>0</v>
      </c>
      <c r="AU48" s="15">
        <v>0</v>
      </c>
      <c r="AV48" s="15">
        <v>0</v>
      </c>
      <c r="AW48" s="15">
        <v>0</v>
      </c>
      <c r="AX48" s="15">
        <v>0</v>
      </c>
      <c r="AY48" s="15">
        <v>0</v>
      </c>
      <c r="AZ48" s="15">
        <v>0</v>
      </c>
      <c r="BA48" s="15">
        <v>0</v>
      </c>
      <c r="BB48" s="15">
        <v>0</v>
      </c>
      <c r="BC48" s="15">
        <v>0</v>
      </c>
      <c r="BD48" s="15">
        <v>0</v>
      </c>
    </row>
    <row r="49" spans="1:56" x14ac:dyDescent="0.35">
      <c r="A49" s="14" t="s">
        <v>45</v>
      </c>
      <c r="B49" s="15">
        <v>134</v>
      </c>
      <c r="C49" s="16">
        <v>380.81164033193136</v>
      </c>
      <c r="D49" s="15">
        <v>6</v>
      </c>
      <c r="E49" s="15">
        <v>3</v>
      </c>
      <c r="F49" s="15">
        <v>2</v>
      </c>
      <c r="G49" s="15">
        <v>3</v>
      </c>
      <c r="H49" s="15">
        <v>1</v>
      </c>
      <c r="I49" s="15">
        <v>2</v>
      </c>
      <c r="J49" s="15">
        <v>2</v>
      </c>
      <c r="K49" s="15">
        <v>1</v>
      </c>
      <c r="L49" s="15">
        <v>1</v>
      </c>
      <c r="M49" s="15">
        <v>0</v>
      </c>
      <c r="N49" s="15">
        <v>1</v>
      </c>
      <c r="O49" s="15">
        <v>1</v>
      </c>
      <c r="P49" s="15">
        <v>2</v>
      </c>
      <c r="Q49" s="15">
        <v>0</v>
      </c>
      <c r="R49" s="15">
        <v>0</v>
      </c>
      <c r="S49" s="15">
        <v>0</v>
      </c>
      <c r="T49" s="15">
        <v>0</v>
      </c>
      <c r="U49" s="15">
        <v>1</v>
      </c>
      <c r="V49" s="15">
        <v>2</v>
      </c>
      <c r="W49" s="15">
        <v>6</v>
      </c>
      <c r="X49" s="15">
        <v>2</v>
      </c>
      <c r="Y49" s="15">
        <v>7</v>
      </c>
      <c r="Z49" s="15">
        <v>12</v>
      </c>
      <c r="AA49" s="15">
        <v>8</v>
      </c>
      <c r="AB49" s="15">
        <v>5</v>
      </c>
      <c r="AC49" s="15">
        <v>5</v>
      </c>
      <c r="AD49" s="15">
        <v>7</v>
      </c>
      <c r="AE49" s="15">
        <v>8</v>
      </c>
      <c r="AF49" s="15">
        <v>6</v>
      </c>
      <c r="AG49" s="15">
        <v>8</v>
      </c>
      <c r="AH49" s="15">
        <v>9</v>
      </c>
      <c r="AI49" s="15">
        <v>2</v>
      </c>
      <c r="AJ49" s="15">
        <v>1</v>
      </c>
      <c r="AK49" s="15">
        <v>1</v>
      </c>
      <c r="AL49" s="15">
        <v>0</v>
      </c>
      <c r="AM49" s="15">
        <v>0</v>
      </c>
      <c r="AN49" s="15">
        <v>1</v>
      </c>
      <c r="AO49" s="15">
        <v>0</v>
      </c>
      <c r="AP49" s="15">
        <v>0</v>
      </c>
      <c r="AQ49" s="15">
        <v>0</v>
      </c>
      <c r="AR49" s="15">
        <v>2</v>
      </c>
      <c r="AS49" s="15">
        <v>1</v>
      </c>
      <c r="AT49" s="15">
        <v>0</v>
      </c>
      <c r="AU49" s="15">
        <v>1</v>
      </c>
      <c r="AV49" s="15">
        <v>2</v>
      </c>
      <c r="AW49" s="15">
        <v>2</v>
      </c>
      <c r="AX49" s="15">
        <v>0</v>
      </c>
      <c r="AY49" s="15">
        <v>1</v>
      </c>
      <c r="AZ49" s="15">
        <v>0</v>
      </c>
      <c r="BA49" s="15">
        <v>3</v>
      </c>
      <c r="BB49" s="15">
        <v>4</v>
      </c>
      <c r="BC49" s="15">
        <v>2</v>
      </c>
      <c r="BD49" s="15">
        <v>0</v>
      </c>
    </row>
    <row r="50" spans="1:56" x14ac:dyDescent="0.35">
      <c r="A50" s="14" t="s">
        <v>46</v>
      </c>
      <c r="B50" s="15">
        <v>0</v>
      </c>
      <c r="C50" s="16">
        <v>0</v>
      </c>
      <c r="D50" s="15">
        <v>0</v>
      </c>
      <c r="E50" s="15">
        <v>0</v>
      </c>
      <c r="F50" s="15">
        <v>0</v>
      </c>
      <c r="G50" s="15">
        <v>0</v>
      </c>
      <c r="H50" s="15">
        <v>0</v>
      </c>
      <c r="I50" s="15">
        <v>0</v>
      </c>
      <c r="J50" s="15">
        <v>0</v>
      </c>
      <c r="K50" s="15">
        <v>0</v>
      </c>
      <c r="L50" s="15">
        <v>0</v>
      </c>
      <c r="M50" s="15">
        <v>0</v>
      </c>
      <c r="N50" s="15">
        <v>0</v>
      </c>
      <c r="O50" s="15">
        <v>0</v>
      </c>
      <c r="P50" s="15">
        <v>0</v>
      </c>
      <c r="Q50" s="15">
        <v>0</v>
      </c>
      <c r="R50" s="15">
        <v>0</v>
      </c>
      <c r="S50" s="15">
        <v>0</v>
      </c>
      <c r="T50" s="15">
        <v>0</v>
      </c>
      <c r="U50" s="15">
        <v>0</v>
      </c>
      <c r="V50" s="15">
        <v>0</v>
      </c>
      <c r="W50" s="15">
        <v>0</v>
      </c>
      <c r="X50" s="15">
        <v>0</v>
      </c>
      <c r="Y50" s="15">
        <v>0</v>
      </c>
      <c r="Z50" s="15">
        <v>0</v>
      </c>
      <c r="AA50" s="15">
        <v>0</v>
      </c>
      <c r="AB50" s="15">
        <v>0</v>
      </c>
      <c r="AC50" s="15">
        <v>0</v>
      </c>
      <c r="AD50" s="15">
        <v>0</v>
      </c>
      <c r="AE50" s="15">
        <v>0</v>
      </c>
      <c r="AF50" s="15">
        <v>0</v>
      </c>
      <c r="AG50" s="15">
        <v>0</v>
      </c>
      <c r="AH50" s="15">
        <v>0</v>
      </c>
      <c r="AI50" s="15">
        <v>0</v>
      </c>
      <c r="AJ50" s="15">
        <v>0</v>
      </c>
      <c r="AK50" s="15">
        <v>0</v>
      </c>
      <c r="AL50" s="15">
        <v>0</v>
      </c>
      <c r="AM50" s="15">
        <v>0</v>
      </c>
      <c r="AN50" s="15">
        <v>0</v>
      </c>
      <c r="AO50" s="15">
        <v>0</v>
      </c>
      <c r="AP50" s="15">
        <v>0</v>
      </c>
      <c r="AQ50" s="15">
        <v>0</v>
      </c>
      <c r="AR50" s="15">
        <v>0</v>
      </c>
      <c r="AS50" s="15">
        <v>0</v>
      </c>
      <c r="AT50" s="15">
        <v>0</v>
      </c>
      <c r="AU50" s="15">
        <v>0</v>
      </c>
      <c r="AV50" s="15">
        <v>0</v>
      </c>
      <c r="AW50" s="15">
        <v>0</v>
      </c>
      <c r="AX50" s="15">
        <v>0</v>
      </c>
      <c r="AY50" s="15">
        <v>0</v>
      </c>
      <c r="AZ50" s="15">
        <v>0</v>
      </c>
      <c r="BA50" s="15">
        <v>0</v>
      </c>
      <c r="BB50" s="15">
        <v>0</v>
      </c>
      <c r="BC50" s="15">
        <v>0</v>
      </c>
      <c r="BD50" s="15">
        <v>0</v>
      </c>
    </row>
    <row r="51" spans="1:56" x14ac:dyDescent="0.35">
      <c r="A51" s="14" t="s">
        <v>105</v>
      </c>
      <c r="B51" s="15">
        <v>23</v>
      </c>
      <c r="C51" s="16" t="s">
        <v>106</v>
      </c>
      <c r="D51" s="15">
        <v>1</v>
      </c>
      <c r="E51" s="15">
        <v>0</v>
      </c>
      <c r="F51" s="15">
        <v>0</v>
      </c>
      <c r="G51" s="15">
        <v>0</v>
      </c>
      <c r="H51" s="15">
        <v>0</v>
      </c>
      <c r="I51" s="15">
        <v>0</v>
      </c>
      <c r="J51" s="15">
        <v>0</v>
      </c>
      <c r="K51" s="15">
        <v>0</v>
      </c>
      <c r="L51" s="15">
        <v>0</v>
      </c>
      <c r="M51" s="15">
        <v>0</v>
      </c>
      <c r="N51" s="15">
        <v>0</v>
      </c>
      <c r="O51" s="15">
        <v>1</v>
      </c>
      <c r="P51" s="15">
        <v>0</v>
      </c>
      <c r="Q51" s="15">
        <v>0</v>
      </c>
      <c r="R51" s="15">
        <v>0</v>
      </c>
      <c r="S51" s="15">
        <v>0</v>
      </c>
      <c r="T51" s="15">
        <v>0</v>
      </c>
      <c r="U51" s="15">
        <v>1</v>
      </c>
      <c r="V51" s="15">
        <v>0</v>
      </c>
      <c r="W51" s="15">
        <v>0</v>
      </c>
      <c r="X51" s="15">
        <v>0</v>
      </c>
      <c r="Y51" s="15">
        <v>1</v>
      </c>
      <c r="Z51" s="15">
        <v>0</v>
      </c>
      <c r="AA51" s="15">
        <v>1</v>
      </c>
      <c r="AB51" s="15">
        <v>0</v>
      </c>
      <c r="AC51" s="15">
        <v>0</v>
      </c>
      <c r="AD51" s="15">
        <v>0</v>
      </c>
      <c r="AE51" s="15">
        <v>1</v>
      </c>
      <c r="AF51" s="15">
        <v>1</v>
      </c>
      <c r="AG51" s="15">
        <v>1</v>
      </c>
      <c r="AH51" s="15">
        <v>1</v>
      </c>
      <c r="AI51" s="15">
        <v>0</v>
      </c>
      <c r="AJ51" s="15">
        <v>0</v>
      </c>
      <c r="AK51" s="15">
        <v>0</v>
      </c>
      <c r="AL51" s="15">
        <v>0</v>
      </c>
      <c r="AM51" s="15">
        <v>1</v>
      </c>
      <c r="AN51" s="15">
        <v>0</v>
      </c>
      <c r="AO51" s="15">
        <v>0</v>
      </c>
      <c r="AP51" s="15">
        <v>0</v>
      </c>
      <c r="AQ51" s="15">
        <v>1</v>
      </c>
      <c r="AR51" s="15">
        <v>0</v>
      </c>
      <c r="AS51" s="15">
        <v>0</v>
      </c>
      <c r="AT51" s="15">
        <v>0</v>
      </c>
      <c r="AU51" s="15">
        <v>1</v>
      </c>
      <c r="AV51" s="15">
        <v>1</v>
      </c>
      <c r="AW51" s="15">
        <v>3</v>
      </c>
      <c r="AX51" s="15">
        <v>0</v>
      </c>
      <c r="AY51" s="15">
        <v>3</v>
      </c>
      <c r="AZ51" s="15">
        <v>4</v>
      </c>
      <c r="BA51" s="15">
        <v>0</v>
      </c>
      <c r="BB51" s="15">
        <v>0</v>
      </c>
      <c r="BC51" s="15">
        <v>0</v>
      </c>
      <c r="BD51" s="15">
        <v>0</v>
      </c>
    </row>
    <row r="52" spans="1:56" x14ac:dyDescent="0.35">
      <c r="A52" s="19"/>
      <c r="B52" s="19"/>
      <c r="C52" s="19"/>
      <c r="D52" s="19"/>
      <c r="E52" s="19"/>
      <c r="F52" s="19"/>
      <c r="G52" s="19"/>
      <c r="H52" s="19"/>
      <c r="I52" s="19"/>
      <c r="J52" s="19"/>
      <c r="K52" s="19"/>
      <c r="L52" s="19"/>
      <c r="M52" s="19"/>
      <c r="N52" s="19"/>
      <c r="O52" s="19"/>
      <c r="P52" s="19"/>
      <c r="Q52" s="19"/>
      <c r="R52" s="19"/>
      <c r="S52" s="19"/>
      <c r="T52" s="19"/>
      <c r="U52" s="19"/>
      <c r="V52" s="19"/>
      <c r="W52" s="19"/>
      <c r="X52" s="19"/>
      <c r="Y52" s="19"/>
      <c r="Z52" s="19"/>
      <c r="AA52" s="19"/>
      <c r="AB52" s="19"/>
      <c r="AC52" s="19"/>
      <c r="AD52" s="19"/>
      <c r="AE52" s="19"/>
      <c r="AF52" s="19"/>
      <c r="AG52" s="19"/>
      <c r="AH52" s="19"/>
      <c r="AI52" s="19"/>
      <c r="AJ52" s="19"/>
      <c r="AK52" s="19"/>
      <c r="AL52" s="19"/>
      <c r="AM52" s="19"/>
      <c r="AN52" s="19"/>
      <c r="AO52" s="19"/>
      <c r="AP52" s="19"/>
      <c r="AQ52" s="19"/>
      <c r="AR52" s="19"/>
      <c r="AS52" s="19"/>
      <c r="AT52" s="19"/>
      <c r="AU52" s="19"/>
      <c r="AV52" s="19"/>
      <c r="AW52" s="19"/>
      <c r="AX52" s="19"/>
      <c r="AY52" s="19"/>
      <c r="AZ52" s="19"/>
      <c r="BA52" s="19"/>
      <c r="BB52" s="19"/>
      <c r="BC52" s="19"/>
      <c r="BD52" s="19"/>
    </row>
    <row r="53" spans="1:56" x14ac:dyDescent="0.35">
      <c r="A53" s="1" t="s">
        <v>47</v>
      </c>
      <c r="B53" s="10">
        <v>2208</v>
      </c>
      <c r="C53" s="11">
        <v>403.14702998588621</v>
      </c>
      <c r="D53" s="10">
        <v>20</v>
      </c>
      <c r="E53" s="10">
        <v>20</v>
      </c>
      <c r="F53" s="10">
        <v>9</v>
      </c>
      <c r="G53" s="10">
        <v>10</v>
      </c>
      <c r="H53" s="10">
        <v>6</v>
      </c>
      <c r="I53" s="10">
        <v>8</v>
      </c>
      <c r="J53" s="10">
        <v>5</v>
      </c>
      <c r="K53" s="10">
        <v>3</v>
      </c>
      <c r="L53" s="10">
        <v>9</v>
      </c>
      <c r="M53" s="10">
        <v>5</v>
      </c>
      <c r="N53" s="10">
        <v>11</v>
      </c>
      <c r="O53" s="10">
        <v>20</v>
      </c>
      <c r="P53" s="10">
        <v>11</v>
      </c>
      <c r="Q53" s="10">
        <v>22</v>
      </c>
      <c r="R53" s="10">
        <v>12</v>
      </c>
      <c r="S53" s="10">
        <v>11</v>
      </c>
      <c r="T53" s="10">
        <v>9</v>
      </c>
      <c r="U53" s="10">
        <v>6</v>
      </c>
      <c r="V53" s="10">
        <v>31</v>
      </c>
      <c r="W53" s="10">
        <v>40</v>
      </c>
      <c r="X53" s="10">
        <v>45</v>
      </c>
      <c r="Y53" s="10">
        <v>15</v>
      </c>
      <c r="Z53" s="10">
        <v>27</v>
      </c>
      <c r="AA53" s="10">
        <v>54</v>
      </c>
      <c r="AB53" s="10">
        <v>42</v>
      </c>
      <c r="AC53" s="10">
        <v>28</v>
      </c>
      <c r="AD53" s="10">
        <v>63</v>
      </c>
      <c r="AE53" s="10">
        <v>71</v>
      </c>
      <c r="AF53" s="10">
        <v>66</v>
      </c>
      <c r="AG53" s="10">
        <v>84</v>
      </c>
      <c r="AH53" s="10">
        <v>106</v>
      </c>
      <c r="AI53" s="10">
        <v>89</v>
      </c>
      <c r="AJ53" s="10">
        <v>99</v>
      </c>
      <c r="AK53" s="10">
        <v>120</v>
      </c>
      <c r="AL53" s="10">
        <v>101</v>
      </c>
      <c r="AM53" s="10">
        <v>108</v>
      </c>
      <c r="AN53" s="10">
        <v>84</v>
      </c>
      <c r="AO53" s="10">
        <v>70</v>
      </c>
      <c r="AP53" s="10">
        <v>77</v>
      </c>
      <c r="AQ53" s="10">
        <v>83</v>
      </c>
      <c r="AR53" s="10">
        <v>69</v>
      </c>
      <c r="AS53" s="10">
        <v>81</v>
      </c>
      <c r="AT53" s="10">
        <v>79</v>
      </c>
      <c r="AU53" s="10">
        <v>29</v>
      </c>
      <c r="AV53" s="10">
        <v>56</v>
      </c>
      <c r="AW53" s="10">
        <v>36</v>
      </c>
      <c r="AX53" s="10">
        <v>38</v>
      </c>
      <c r="AY53" s="10">
        <v>32</v>
      </c>
      <c r="AZ53" s="10">
        <v>27</v>
      </c>
      <c r="BA53" s="10">
        <v>22</v>
      </c>
      <c r="BB53" s="10">
        <v>25</v>
      </c>
      <c r="BC53" s="10">
        <v>14</v>
      </c>
      <c r="BD53" s="10">
        <v>0</v>
      </c>
    </row>
    <row r="54" spans="1:56" x14ac:dyDescent="0.35">
      <c r="A54" s="14" t="s">
        <v>48</v>
      </c>
      <c r="B54" s="15">
        <v>18</v>
      </c>
      <c r="C54" s="16">
        <v>10.830064258381267</v>
      </c>
      <c r="D54" s="15">
        <v>0</v>
      </c>
      <c r="E54" s="15">
        <v>0</v>
      </c>
      <c r="F54" s="15">
        <v>0</v>
      </c>
      <c r="G54" s="15">
        <v>0</v>
      </c>
      <c r="H54" s="15">
        <v>0</v>
      </c>
      <c r="I54" s="15">
        <v>0</v>
      </c>
      <c r="J54" s="15">
        <v>0</v>
      </c>
      <c r="K54" s="15">
        <v>0</v>
      </c>
      <c r="L54" s="15">
        <v>0</v>
      </c>
      <c r="M54" s="15">
        <v>0</v>
      </c>
      <c r="N54" s="15">
        <v>0</v>
      </c>
      <c r="O54" s="15">
        <v>0</v>
      </c>
      <c r="P54" s="15">
        <v>1</v>
      </c>
      <c r="Q54" s="15">
        <v>0</v>
      </c>
      <c r="R54" s="15">
        <v>0</v>
      </c>
      <c r="S54" s="15">
        <v>0</v>
      </c>
      <c r="T54" s="15">
        <v>0</v>
      </c>
      <c r="U54" s="15">
        <v>0</v>
      </c>
      <c r="V54" s="15">
        <v>0</v>
      </c>
      <c r="W54" s="15">
        <v>0</v>
      </c>
      <c r="X54" s="15">
        <v>0</v>
      </c>
      <c r="Y54" s="15">
        <v>1</v>
      </c>
      <c r="Z54" s="15">
        <v>0</v>
      </c>
      <c r="AA54" s="15">
        <v>0</v>
      </c>
      <c r="AB54" s="15">
        <v>0</v>
      </c>
      <c r="AC54" s="15">
        <v>0</v>
      </c>
      <c r="AD54" s="15">
        <v>3</v>
      </c>
      <c r="AE54" s="15">
        <v>0</v>
      </c>
      <c r="AF54" s="15">
        <v>2</v>
      </c>
      <c r="AG54" s="15">
        <v>0</v>
      </c>
      <c r="AH54" s="15">
        <v>0</v>
      </c>
      <c r="AI54" s="15">
        <v>0</v>
      </c>
      <c r="AJ54" s="15">
        <v>0</v>
      </c>
      <c r="AK54" s="15">
        <v>1</v>
      </c>
      <c r="AL54" s="15">
        <v>3</v>
      </c>
      <c r="AM54" s="15">
        <v>1</v>
      </c>
      <c r="AN54" s="15">
        <v>2</v>
      </c>
      <c r="AO54" s="15">
        <v>1</v>
      </c>
      <c r="AP54" s="15">
        <v>1</v>
      </c>
      <c r="AQ54" s="15">
        <v>1</v>
      </c>
      <c r="AR54" s="15">
        <v>0</v>
      </c>
      <c r="AS54" s="15">
        <v>0</v>
      </c>
      <c r="AT54" s="15">
        <v>0</v>
      </c>
      <c r="AU54" s="15">
        <v>0</v>
      </c>
      <c r="AV54" s="15">
        <v>0</v>
      </c>
      <c r="AW54" s="15">
        <v>0</v>
      </c>
      <c r="AX54" s="15">
        <v>1</v>
      </c>
      <c r="AY54" s="15">
        <v>0</v>
      </c>
      <c r="AZ54" s="15">
        <v>0</v>
      </c>
      <c r="BA54" s="15">
        <v>0</v>
      </c>
      <c r="BB54" s="15">
        <v>0</v>
      </c>
      <c r="BC54" s="15">
        <v>0</v>
      </c>
      <c r="BD54" s="15">
        <v>0</v>
      </c>
    </row>
    <row r="55" spans="1:56" x14ac:dyDescent="0.35">
      <c r="A55" s="14" t="s">
        <v>49</v>
      </c>
      <c r="B55" s="15">
        <v>6</v>
      </c>
      <c r="C55" s="16">
        <v>9.4049783685497523</v>
      </c>
      <c r="D55" s="15">
        <v>0</v>
      </c>
      <c r="E55" s="15">
        <v>0</v>
      </c>
      <c r="F55" s="15">
        <v>0</v>
      </c>
      <c r="G55" s="15">
        <v>0</v>
      </c>
      <c r="H55" s="15">
        <v>0</v>
      </c>
      <c r="I55" s="15">
        <v>0</v>
      </c>
      <c r="J55" s="15">
        <v>0</v>
      </c>
      <c r="K55" s="15">
        <v>0</v>
      </c>
      <c r="L55" s="15">
        <v>0</v>
      </c>
      <c r="M55" s="15">
        <v>0</v>
      </c>
      <c r="N55" s="15">
        <v>0</v>
      </c>
      <c r="O55" s="15">
        <v>0</v>
      </c>
      <c r="P55" s="15">
        <v>0</v>
      </c>
      <c r="Q55" s="15">
        <v>0</v>
      </c>
      <c r="R55" s="15">
        <v>0</v>
      </c>
      <c r="S55" s="15">
        <v>0</v>
      </c>
      <c r="T55" s="15">
        <v>0</v>
      </c>
      <c r="U55" s="15">
        <v>0</v>
      </c>
      <c r="V55" s="15">
        <v>0</v>
      </c>
      <c r="W55" s="15">
        <v>0</v>
      </c>
      <c r="X55" s="15">
        <v>0</v>
      </c>
      <c r="Y55" s="15">
        <v>0</v>
      </c>
      <c r="Z55" s="15">
        <v>1</v>
      </c>
      <c r="AA55" s="15">
        <v>0</v>
      </c>
      <c r="AB55" s="15">
        <v>1</v>
      </c>
      <c r="AC55" s="15">
        <v>1</v>
      </c>
      <c r="AD55" s="15">
        <v>1</v>
      </c>
      <c r="AE55" s="15">
        <v>0</v>
      </c>
      <c r="AF55" s="15">
        <v>0</v>
      </c>
      <c r="AG55" s="15">
        <v>0</v>
      </c>
      <c r="AH55" s="15">
        <v>0</v>
      </c>
      <c r="AI55" s="15">
        <v>0</v>
      </c>
      <c r="AJ55" s="15">
        <v>0</v>
      </c>
      <c r="AK55" s="15">
        <v>0</v>
      </c>
      <c r="AL55" s="15">
        <v>0</v>
      </c>
      <c r="AM55" s="15">
        <v>0</v>
      </c>
      <c r="AN55" s="15">
        <v>1</v>
      </c>
      <c r="AO55" s="15">
        <v>0</v>
      </c>
      <c r="AP55" s="15">
        <v>0</v>
      </c>
      <c r="AQ55" s="15">
        <v>1</v>
      </c>
      <c r="AR55" s="15">
        <v>0</v>
      </c>
      <c r="AS55" s="15">
        <v>0</v>
      </c>
      <c r="AT55" s="15">
        <v>0</v>
      </c>
      <c r="AU55" s="15">
        <v>0</v>
      </c>
      <c r="AV55" s="15">
        <v>0</v>
      </c>
      <c r="AW55" s="15">
        <v>0</v>
      </c>
      <c r="AX55" s="15">
        <v>0</v>
      </c>
      <c r="AY55" s="15">
        <v>0</v>
      </c>
      <c r="AZ55" s="15">
        <v>0</v>
      </c>
      <c r="BA55" s="15">
        <v>0</v>
      </c>
      <c r="BB55" s="15">
        <v>0</v>
      </c>
      <c r="BC55" s="15">
        <v>0</v>
      </c>
      <c r="BD55" s="15">
        <v>0</v>
      </c>
    </row>
    <row r="56" spans="1:56" x14ac:dyDescent="0.35">
      <c r="A56" s="14" t="s">
        <v>50</v>
      </c>
      <c r="B56" s="15">
        <v>15</v>
      </c>
      <c r="C56" s="16">
        <v>13.087292239235703</v>
      </c>
      <c r="D56" s="15">
        <v>0</v>
      </c>
      <c r="E56" s="15">
        <v>0</v>
      </c>
      <c r="F56" s="15">
        <v>0</v>
      </c>
      <c r="G56" s="15">
        <v>0</v>
      </c>
      <c r="H56" s="15">
        <v>0</v>
      </c>
      <c r="I56" s="15">
        <v>0</v>
      </c>
      <c r="J56" s="15">
        <v>0</v>
      </c>
      <c r="K56" s="15">
        <v>0</v>
      </c>
      <c r="L56" s="15">
        <v>0</v>
      </c>
      <c r="M56" s="15">
        <v>0</v>
      </c>
      <c r="N56" s="15">
        <v>1</v>
      </c>
      <c r="O56" s="15">
        <v>0</v>
      </c>
      <c r="P56" s="15">
        <v>0</v>
      </c>
      <c r="Q56" s="15">
        <v>1</v>
      </c>
      <c r="R56" s="15">
        <v>0</v>
      </c>
      <c r="S56" s="15">
        <v>0</v>
      </c>
      <c r="T56" s="15">
        <v>0</v>
      </c>
      <c r="U56" s="15">
        <v>0</v>
      </c>
      <c r="V56" s="15">
        <v>0</v>
      </c>
      <c r="W56" s="15">
        <v>0</v>
      </c>
      <c r="X56" s="15">
        <v>0</v>
      </c>
      <c r="Y56" s="15">
        <v>0</v>
      </c>
      <c r="Z56" s="15">
        <v>1</v>
      </c>
      <c r="AA56" s="15">
        <v>0</v>
      </c>
      <c r="AB56" s="15">
        <v>0</v>
      </c>
      <c r="AC56" s="15">
        <v>1</v>
      </c>
      <c r="AD56" s="15">
        <v>1</v>
      </c>
      <c r="AE56" s="15">
        <v>1</v>
      </c>
      <c r="AF56" s="15">
        <v>0</v>
      </c>
      <c r="AG56" s="15">
        <v>0</v>
      </c>
      <c r="AH56" s="15">
        <v>1</v>
      </c>
      <c r="AI56" s="15">
        <v>0</v>
      </c>
      <c r="AJ56" s="15">
        <v>0</v>
      </c>
      <c r="AK56" s="15">
        <v>3</v>
      </c>
      <c r="AL56" s="15">
        <v>1</v>
      </c>
      <c r="AM56" s="15">
        <v>0</v>
      </c>
      <c r="AN56" s="15">
        <v>0</v>
      </c>
      <c r="AO56" s="15">
        <v>0</v>
      </c>
      <c r="AP56" s="15">
        <v>1</v>
      </c>
      <c r="AQ56" s="15">
        <v>0</v>
      </c>
      <c r="AR56" s="15">
        <v>0</v>
      </c>
      <c r="AS56" s="15">
        <v>1</v>
      </c>
      <c r="AT56" s="15">
        <v>0</v>
      </c>
      <c r="AU56" s="15">
        <v>1</v>
      </c>
      <c r="AV56" s="15">
        <v>0</v>
      </c>
      <c r="AW56" s="15">
        <v>0</v>
      </c>
      <c r="AX56" s="15">
        <v>0</v>
      </c>
      <c r="AY56" s="15">
        <v>0</v>
      </c>
      <c r="AZ56" s="15">
        <v>1</v>
      </c>
      <c r="BA56" s="15">
        <v>0</v>
      </c>
      <c r="BB56" s="15">
        <v>0</v>
      </c>
      <c r="BC56" s="15">
        <v>0</v>
      </c>
      <c r="BD56" s="15">
        <v>0</v>
      </c>
    </row>
    <row r="57" spans="1:56" x14ac:dyDescent="0.35">
      <c r="A57" s="14" t="s">
        <v>51</v>
      </c>
      <c r="B57" s="15">
        <v>189</v>
      </c>
      <c r="C57" s="16">
        <v>1155.1861133182567</v>
      </c>
      <c r="D57" s="15">
        <v>6</v>
      </c>
      <c r="E57" s="15">
        <v>2</v>
      </c>
      <c r="F57" s="15">
        <v>1</v>
      </c>
      <c r="G57" s="15">
        <v>0</v>
      </c>
      <c r="H57" s="15">
        <v>1</v>
      </c>
      <c r="I57" s="15">
        <v>1</v>
      </c>
      <c r="J57" s="15">
        <v>0</v>
      </c>
      <c r="K57" s="15">
        <v>0</v>
      </c>
      <c r="L57" s="15">
        <v>0</v>
      </c>
      <c r="M57" s="15">
        <v>0</v>
      </c>
      <c r="N57" s="15">
        <v>0</v>
      </c>
      <c r="O57" s="15">
        <v>1</v>
      </c>
      <c r="P57" s="15">
        <v>2</v>
      </c>
      <c r="Q57" s="15">
        <v>3</v>
      </c>
      <c r="R57" s="15">
        <v>3</v>
      </c>
      <c r="S57" s="15">
        <v>2</v>
      </c>
      <c r="T57" s="15">
        <v>1</v>
      </c>
      <c r="U57" s="15">
        <v>2</v>
      </c>
      <c r="V57" s="15">
        <v>1</v>
      </c>
      <c r="W57" s="15">
        <v>1</v>
      </c>
      <c r="X57" s="15">
        <v>1</v>
      </c>
      <c r="Y57" s="15">
        <v>1</v>
      </c>
      <c r="Z57" s="15">
        <v>0</v>
      </c>
      <c r="AA57" s="15">
        <v>3</v>
      </c>
      <c r="AB57" s="15">
        <v>4</v>
      </c>
      <c r="AC57" s="15">
        <v>1</v>
      </c>
      <c r="AD57" s="15">
        <v>2</v>
      </c>
      <c r="AE57" s="15">
        <v>6</v>
      </c>
      <c r="AF57" s="15">
        <v>3</v>
      </c>
      <c r="AG57" s="15">
        <v>9</v>
      </c>
      <c r="AH57" s="15">
        <v>11</v>
      </c>
      <c r="AI57" s="15">
        <v>13</v>
      </c>
      <c r="AJ57" s="15">
        <v>12</v>
      </c>
      <c r="AK57" s="15">
        <v>10</v>
      </c>
      <c r="AL57" s="15">
        <v>9</v>
      </c>
      <c r="AM57" s="15">
        <v>12</v>
      </c>
      <c r="AN57" s="15">
        <v>6</v>
      </c>
      <c r="AO57" s="15">
        <v>8</v>
      </c>
      <c r="AP57" s="15">
        <v>3</v>
      </c>
      <c r="AQ57" s="15">
        <v>7</v>
      </c>
      <c r="AR57" s="15">
        <v>5</v>
      </c>
      <c r="AS57" s="15">
        <v>7</v>
      </c>
      <c r="AT57" s="15">
        <v>7</v>
      </c>
      <c r="AU57" s="15">
        <v>2</v>
      </c>
      <c r="AV57" s="15">
        <v>5</v>
      </c>
      <c r="AW57" s="15">
        <v>4</v>
      </c>
      <c r="AX57" s="15">
        <v>0</v>
      </c>
      <c r="AY57" s="15">
        <v>3</v>
      </c>
      <c r="AZ57" s="15">
        <v>2</v>
      </c>
      <c r="BA57" s="15">
        <v>4</v>
      </c>
      <c r="BB57" s="15">
        <v>0</v>
      </c>
      <c r="BC57" s="15">
        <v>2</v>
      </c>
      <c r="BD57" s="15">
        <v>0</v>
      </c>
    </row>
    <row r="58" spans="1:56" x14ac:dyDescent="0.35">
      <c r="A58" s="14" t="s">
        <v>52</v>
      </c>
      <c r="B58" s="15">
        <v>1969</v>
      </c>
      <c r="C58" s="16">
        <v>2677.2360155548909</v>
      </c>
      <c r="D58" s="15">
        <v>14</v>
      </c>
      <c r="E58" s="15">
        <v>18</v>
      </c>
      <c r="F58" s="15">
        <v>8</v>
      </c>
      <c r="G58" s="15">
        <v>10</v>
      </c>
      <c r="H58" s="15">
        <v>5</v>
      </c>
      <c r="I58" s="15">
        <v>7</v>
      </c>
      <c r="J58" s="15">
        <v>5</v>
      </c>
      <c r="K58" s="15">
        <v>3</v>
      </c>
      <c r="L58" s="15">
        <v>9</v>
      </c>
      <c r="M58" s="15">
        <v>5</v>
      </c>
      <c r="N58" s="15">
        <v>9</v>
      </c>
      <c r="O58" s="15">
        <v>19</v>
      </c>
      <c r="P58" s="15">
        <v>8</v>
      </c>
      <c r="Q58" s="15">
        <v>18</v>
      </c>
      <c r="R58" s="15">
        <v>9</v>
      </c>
      <c r="S58" s="15">
        <v>7</v>
      </c>
      <c r="T58" s="15">
        <v>8</v>
      </c>
      <c r="U58" s="15">
        <v>3</v>
      </c>
      <c r="V58" s="15">
        <v>29</v>
      </c>
      <c r="W58" s="15">
        <v>39</v>
      </c>
      <c r="X58" s="15">
        <v>44</v>
      </c>
      <c r="Y58" s="15">
        <v>13</v>
      </c>
      <c r="Z58" s="15">
        <v>25</v>
      </c>
      <c r="AA58" s="15">
        <v>51</v>
      </c>
      <c r="AB58" s="15">
        <v>37</v>
      </c>
      <c r="AC58" s="15">
        <v>25</v>
      </c>
      <c r="AD58" s="15">
        <v>56</v>
      </c>
      <c r="AE58" s="15">
        <v>64</v>
      </c>
      <c r="AF58" s="15">
        <v>61</v>
      </c>
      <c r="AG58" s="15">
        <v>75</v>
      </c>
      <c r="AH58" s="15">
        <v>94</v>
      </c>
      <c r="AI58" s="15">
        <v>76</v>
      </c>
      <c r="AJ58" s="15">
        <v>87</v>
      </c>
      <c r="AK58" s="15">
        <v>105</v>
      </c>
      <c r="AL58" s="15">
        <v>88</v>
      </c>
      <c r="AM58" s="15">
        <v>95</v>
      </c>
      <c r="AN58" s="15">
        <v>75</v>
      </c>
      <c r="AO58" s="15">
        <v>61</v>
      </c>
      <c r="AP58" s="15">
        <v>71</v>
      </c>
      <c r="AQ58" s="15">
        <v>73</v>
      </c>
      <c r="AR58" s="15">
        <v>64</v>
      </c>
      <c r="AS58" s="15">
        <v>72</v>
      </c>
      <c r="AT58" s="15">
        <v>71</v>
      </c>
      <c r="AU58" s="15">
        <v>26</v>
      </c>
      <c r="AV58" s="15">
        <v>51</v>
      </c>
      <c r="AW58" s="15">
        <v>32</v>
      </c>
      <c r="AX58" s="15">
        <v>37</v>
      </c>
      <c r="AY58" s="15">
        <v>28</v>
      </c>
      <c r="AZ58" s="15">
        <v>24</v>
      </c>
      <c r="BA58" s="15">
        <v>18</v>
      </c>
      <c r="BB58" s="15">
        <v>25</v>
      </c>
      <c r="BC58" s="15">
        <v>12</v>
      </c>
      <c r="BD58" s="15">
        <v>0</v>
      </c>
    </row>
    <row r="59" spans="1:56" x14ac:dyDescent="0.35">
      <c r="A59" s="14" t="s">
        <v>53</v>
      </c>
      <c r="B59" s="15">
        <v>4</v>
      </c>
      <c r="C59" s="16">
        <v>25.616394492475184</v>
      </c>
      <c r="D59" s="15">
        <v>0</v>
      </c>
      <c r="E59" s="15">
        <v>0</v>
      </c>
      <c r="F59" s="15">
        <v>0</v>
      </c>
      <c r="G59" s="15">
        <v>0</v>
      </c>
      <c r="H59" s="15">
        <v>0</v>
      </c>
      <c r="I59" s="15">
        <v>0</v>
      </c>
      <c r="J59" s="15">
        <v>0</v>
      </c>
      <c r="K59" s="15">
        <v>0</v>
      </c>
      <c r="L59" s="15">
        <v>0</v>
      </c>
      <c r="M59" s="15">
        <v>0</v>
      </c>
      <c r="N59" s="15">
        <v>1</v>
      </c>
      <c r="O59" s="15">
        <v>0</v>
      </c>
      <c r="P59" s="15">
        <v>0</v>
      </c>
      <c r="Q59" s="15">
        <v>0</v>
      </c>
      <c r="R59" s="15">
        <v>0</v>
      </c>
      <c r="S59" s="15">
        <v>0</v>
      </c>
      <c r="T59" s="15">
        <v>0</v>
      </c>
      <c r="U59" s="15">
        <v>0</v>
      </c>
      <c r="V59" s="15">
        <v>0</v>
      </c>
      <c r="W59" s="15">
        <v>0</v>
      </c>
      <c r="X59" s="15">
        <v>0</v>
      </c>
      <c r="Y59" s="15">
        <v>0</v>
      </c>
      <c r="Z59" s="15">
        <v>0</v>
      </c>
      <c r="AA59" s="15">
        <v>0</v>
      </c>
      <c r="AB59" s="15">
        <v>0</v>
      </c>
      <c r="AC59" s="15">
        <v>0</v>
      </c>
      <c r="AD59" s="15">
        <v>0</v>
      </c>
      <c r="AE59" s="15">
        <v>0</v>
      </c>
      <c r="AF59" s="15">
        <v>0</v>
      </c>
      <c r="AG59" s="15">
        <v>0</v>
      </c>
      <c r="AH59" s="15">
        <v>0</v>
      </c>
      <c r="AI59" s="15">
        <v>0</v>
      </c>
      <c r="AJ59" s="15">
        <v>0</v>
      </c>
      <c r="AK59" s="15">
        <v>0</v>
      </c>
      <c r="AL59" s="15">
        <v>0</v>
      </c>
      <c r="AM59" s="15">
        <v>0</v>
      </c>
      <c r="AN59" s="15">
        <v>0</v>
      </c>
      <c r="AO59" s="15">
        <v>0</v>
      </c>
      <c r="AP59" s="15">
        <v>1</v>
      </c>
      <c r="AQ59" s="15">
        <v>1</v>
      </c>
      <c r="AR59" s="15">
        <v>0</v>
      </c>
      <c r="AS59" s="15">
        <v>0</v>
      </c>
      <c r="AT59" s="15">
        <v>1</v>
      </c>
      <c r="AU59" s="15">
        <v>0</v>
      </c>
      <c r="AV59" s="15">
        <v>0</v>
      </c>
      <c r="AW59" s="15">
        <v>0</v>
      </c>
      <c r="AX59" s="15">
        <v>0</v>
      </c>
      <c r="AY59" s="15">
        <v>0</v>
      </c>
      <c r="AZ59" s="15">
        <v>0</v>
      </c>
      <c r="BA59" s="15">
        <v>0</v>
      </c>
      <c r="BB59" s="15">
        <v>0</v>
      </c>
      <c r="BC59" s="15">
        <v>0</v>
      </c>
      <c r="BD59" s="15">
        <v>0</v>
      </c>
    </row>
    <row r="60" spans="1:56" x14ac:dyDescent="0.35">
      <c r="A60" s="14" t="s">
        <v>54</v>
      </c>
      <c r="B60" s="15">
        <v>5</v>
      </c>
      <c r="C60" s="16">
        <v>9.882399446585632</v>
      </c>
      <c r="D60" s="15">
        <v>0</v>
      </c>
      <c r="E60" s="15">
        <v>0</v>
      </c>
      <c r="F60" s="15">
        <v>0</v>
      </c>
      <c r="G60" s="15">
        <v>0</v>
      </c>
      <c r="H60" s="15">
        <v>0</v>
      </c>
      <c r="I60" s="15">
        <v>0</v>
      </c>
      <c r="J60" s="15">
        <v>0</v>
      </c>
      <c r="K60" s="15">
        <v>0</v>
      </c>
      <c r="L60" s="15">
        <v>0</v>
      </c>
      <c r="M60" s="15">
        <v>0</v>
      </c>
      <c r="N60" s="15">
        <v>0</v>
      </c>
      <c r="O60" s="15">
        <v>0</v>
      </c>
      <c r="P60" s="15">
        <v>0</v>
      </c>
      <c r="Q60" s="15">
        <v>0</v>
      </c>
      <c r="R60" s="15">
        <v>0</v>
      </c>
      <c r="S60" s="15">
        <v>0</v>
      </c>
      <c r="T60" s="15">
        <v>0</v>
      </c>
      <c r="U60" s="15">
        <v>1</v>
      </c>
      <c r="V60" s="15">
        <v>1</v>
      </c>
      <c r="W60" s="15">
        <v>0</v>
      </c>
      <c r="X60" s="15">
        <v>0</v>
      </c>
      <c r="Y60" s="15">
        <v>0</v>
      </c>
      <c r="Z60" s="15">
        <v>0</v>
      </c>
      <c r="AA60" s="15">
        <v>0</v>
      </c>
      <c r="AB60" s="15">
        <v>0</v>
      </c>
      <c r="AC60" s="15">
        <v>0</v>
      </c>
      <c r="AD60" s="15">
        <v>0</v>
      </c>
      <c r="AE60" s="15">
        <v>0</v>
      </c>
      <c r="AF60" s="15">
        <v>0</v>
      </c>
      <c r="AG60" s="15">
        <v>0</v>
      </c>
      <c r="AH60" s="15">
        <v>0</v>
      </c>
      <c r="AI60" s="15">
        <v>0</v>
      </c>
      <c r="AJ60" s="15">
        <v>0</v>
      </c>
      <c r="AK60" s="15">
        <v>1</v>
      </c>
      <c r="AL60" s="15">
        <v>0</v>
      </c>
      <c r="AM60" s="15">
        <v>0</v>
      </c>
      <c r="AN60" s="15">
        <v>0</v>
      </c>
      <c r="AO60" s="15">
        <v>0</v>
      </c>
      <c r="AP60" s="15">
        <v>0</v>
      </c>
      <c r="AQ60" s="15">
        <v>0</v>
      </c>
      <c r="AR60" s="15">
        <v>0</v>
      </c>
      <c r="AS60" s="15">
        <v>1</v>
      </c>
      <c r="AT60" s="15">
        <v>0</v>
      </c>
      <c r="AU60" s="15">
        <v>0</v>
      </c>
      <c r="AV60" s="15">
        <v>0</v>
      </c>
      <c r="AW60" s="15">
        <v>0</v>
      </c>
      <c r="AX60" s="15">
        <v>0</v>
      </c>
      <c r="AY60" s="15">
        <v>1</v>
      </c>
      <c r="AZ60" s="15">
        <v>0</v>
      </c>
      <c r="BA60" s="15">
        <v>0</v>
      </c>
      <c r="BB60" s="15">
        <v>0</v>
      </c>
      <c r="BC60" s="15">
        <v>0</v>
      </c>
      <c r="BD60" s="15">
        <v>0</v>
      </c>
    </row>
    <row r="61" spans="1:56" x14ac:dyDescent="0.35">
      <c r="A61" s="14" t="s">
        <v>55</v>
      </c>
      <c r="B61" s="15">
        <v>2</v>
      </c>
      <c r="C61" s="16">
        <v>4.2590344768840902</v>
      </c>
      <c r="D61" s="15">
        <v>0</v>
      </c>
      <c r="E61" s="15">
        <v>0</v>
      </c>
      <c r="F61" s="15">
        <v>0</v>
      </c>
      <c r="G61" s="15">
        <v>0</v>
      </c>
      <c r="H61" s="15">
        <v>0</v>
      </c>
      <c r="I61" s="15">
        <v>0</v>
      </c>
      <c r="J61" s="15">
        <v>0</v>
      </c>
      <c r="K61" s="15">
        <v>0</v>
      </c>
      <c r="L61" s="15">
        <v>0</v>
      </c>
      <c r="M61" s="15">
        <v>0</v>
      </c>
      <c r="N61" s="15">
        <v>0</v>
      </c>
      <c r="O61" s="15">
        <v>0</v>
      </c>
      <c r="P61" s="15">
        <v>0</v>
      </c>
      <c r="Q61" s="15">
        <v>0</v>
      </c>
      <c r="R61" s="15">
        <v>0</v>
      </c>
      <c r="S61" s="15">
        <v>2</v>
      </c>
      <c r="T61" s="15">
        <v>0</v>
      </c>
      <c r="U61" s="15">
        <v>0</v>
      </c>
      <c r="V61" s="15">
        <v>0</v>
      </c>
      <c r="W61" s="15">
        <v>0</v>
      </c>
      <c r="X61" s="15">
        <v>0</v>
      </c>
      <c r="Y61" s="15">
        <v>0</v>
      </c>
      <c r="Z61" s="15">
        <v>0</v>
      </c>
      <c r="AA61" s="15">
        <v>0</v>
      </c>
      <c r="AB61" s="15">
        <v>0</v>
      </c>
      <c r="AC61" s="15">
        <v>0</v>
      </c>
      <c r="AD61" s="15">
        <v>0</v>
      </c>
      <c r="AE61" s="15">
        <v>0</v>
      </c>
      <c r="AF61" s="15">
        <v>0</v>
      </c>
      <c r="AG61" s="15">
        <v>0</v>
      </c>
      <c r="AH61" s="15">
        <v>0</v>
      </c>
      <c r="AI61" s="15">
        <v>0</v>
      </c>
      <c r="AJ61" s="15">
        <v>0</v>
      </c>
      <c r="AK61" s="15">
        <v>0</v>
      </c>
      <c r="AL61" s="15">
        <v>0</v>
      </c>
      <c r="AM61" s="15">
        <v>0</v>
      </c>
      <c r="AN61" s="15">
        <v>0</v>
      </c>
      <c r="AO61" s="15">
        <v>0</v>
      </c>
      <c r="AP61" s="15">
        <v>0</v>
      </c>
      <c r="AQ61" s="15">
        <v>0</v>
      </c>
      <c r="AR61" s="15">
        <v>0</v>
      </c>
      <c r="AS61" s="15">
        <v>0</v>
      </c>
      <c r="AT61" s="15">
        <v>0</v>
      </c>
      <c r="AU61" s="15">
        <v>0</v>
      </c>
      <c r="AV61" s="15">
        <v>0</v>
      </c>
      <c r="AW61" s="15">
        <v>0</v>
      </c>
      <c r="AX61" s="15">
        <v>0</v>
      </c>
      <c r="AY61" s="15">
        <v>0</v>
      </c>
      <c r="AZ61" s="15">
        <v>0</v>
      </c>
      <c r="BA61" s="15">
        <v>0</v>
      </c>
      <c r="BB61" s="15">
        <v>0</v>
      </c>
      <c r="BC61" s="15">
        <v>0</v>
      </c>
      <c r="BD61" s="15">
        <v>0</v>
      </c>
    </row>
    <row r="62" spans="1:56" x14ac:dyDescent="0.35">
      <c r="A62" s="14"/>
      <c r="B62" s="12"/>
      <c r="C62" s="13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</row>
    <row r="63" spans="1:56" x14ac:dyDescent="0.35">
      <c r="A63" s="1" t="s">
        <v>56</v>
      </c>
      <c r="B63" s="10">
        <v>625</v>
      </c>
      <c r="C63" s="11">
        <v>115.82696748320045</v>
      </c>
      <c r="D63" s="10">
        <v>3</v>
      </c>
      <c r="E63" s="10">
        <v>6</v>
      </c>
      <c r="F63" s="10">
        <v>4</v>
      </c>
      <c r="G63" s="10">
        <v>3</v>
      </c>
      <c r="H63" s="10">
        <v>4</v>
      </c>
      <c r="I63" s="10">
        <v>2</v>
      </c>
      <c r="J63" s="10">
        <v>2</v>
      </c>
      <c r="K63" s="10">
        <v>3</v>
      </c>
      <c r="L63" s="10">
        <v>3</v>
      </c>
      <c r="M63" s="10">
        <v>1</v>
      </c>
      <c r="N63" s="10">
        <v>2</v>
      </c>
      <c r="O63" s="10">
        <v>7</v>
      </c>
      <c r="P63" s="10">
        <v>5</v>
      </c>
      <c r="Q63" s="10">
        <v>3</v>
      </c>
      <c r="R63" s="10">
        <v>7</v>
      </c>
      <c r="S63" s="10">
        <v>4</v>
      </c>
      <c r="T63" s="10">
        <v>9</v>
      </c>
      <c r="U63" s="10">
        <v>12</v>
      </c>
      <c r="V63" s="10">
        <v>11</v>
      </c>
      <c r="W63" s="10">
        <v>18</v>
      </c>
      <c r="X63" s="10">
        <v>18</v>
      </c>
      <c r="Y63" s="10">
        <v>17</v>
      </c>
      <c r="Z63" s="10">
        <v>16</v>
      </c>
      <c r="AA63" s="10">
        <v>18</v>
      </c>
      <c r="AB63" s="10">
        <v>24</v>
      </c>
      <c r="AC63" s="10">
        <v>21</v>
      </c>
      <c r="AD63" s="10">
        <v>36</v>
      </c>
      <c r="AE63" s="10">
        <v>33</v>
      </c>
      <c r="AF63" s="10">
        <v>29</v>
      </c>
      <c r="AG63" s="10">
        <v>36</v>
      </c>
      <c r="AH63" s="10">
        <v>39</v>
      </c>
      <c r="AI63" s="10">
        <v>17</v>
      </c>
      <c r="AJ63" s="10">
        <v>21</v>
      </c>
      <c r="AK63" s="10">
        <v>27</v>
      </c>
      <c r="AL63" s="10">
        <v>20</v>
      </c>
      <c r="AM63" s="10">
        <v>16</v>
      </c>
      <c r="AN63" s="10">
        <v>15</v>
      </c>
      <c r="AO63" s="10">
        <v>12</v>
      </c>
      <c r="AP63" s="10">
        <v>21</v>
      </c>
      <c r="AQ63" s="10">
        <v>8</v>
      </c>
      <c r="AR63" s="10">
        <v>11</v>
      </c>
      <c r="AS63" s="10">
        <v>13</v>
      </c>
      <c r="AT63" s="10">
        <v>9</v>
      </c>
      <c r="AU63" s="10">
        <v>11</v>
      </c>
      <c r="AV63" s="10">
        <v>9</v>
      </c>
      <c r="AW63" s="10">
        <v>8</v>
      </c>
      <c r="AX63" s="10">
        <v>2</v>
      </c>
      <c r="AY63" s="10">
        <v>3</v>
      </c>
      <c r="AZ63" s="10">
        <v>3</v>
      </c>
      <c r="BA63" s="10">
        <v>2</v>
      </c>
      <c r="BB63" s="10">
        <v>1</v>
      </c>
      <c r="BC63" s="10">
        <v>0</v>
      </c>
      <c r="BD63" s="10">
        <v>0</v>
      </c>
    </row>
    <row r="64" spans="1:56" x14ac:dyDescent="0.35">
      <c r="A64" s="14" t="s">
        <v>57</v>
      </c>
      <c r="B64" s="15">
        <v>6</v>
      </c>
      <c r="C64" s="16">
        <v>4.1090261607998899</v>
      </c>
      <c r="D64" s="15">
        <v>0</v>
      </c>
      <c r="E64" s="15">
        <v>0</v>
      </c>
      <c r="F64" s="15">
        <v>0</v>
      </c>
      <c r="G64" s="15">
        <v>0</v>
      </c>
      <c r="H64" s="15">
        <v>0</v>
      </c>
      <c r="I64" s="15">
        <v>0</v>
      </c>
      <c r="J64" s="15">
        <v>0</v>
      </c>
      <c r="K64" s="15">
        <v>0</v>
      </c>
      <c r="L64" s="15">
        <v>0</v>
      </c>
      <c r="M64" s="15">
        <v>0</v>
      </c>
      <c r="N64" s="15">
        <v>0</v>
      </c>
      <c r="O64" s="15">
        <v>0</v>
      </c>
      <c r="P64" s="15">
        <v>0</v>
      </c>
      <c r="Q64" s="15">
        <v>0</v>
      </c>
      <c r="R64" s="15">
        <v>0</v>
      </c>
      <c r="S64" s="15">
        <v>0</v>
      </c>
      <c r="T64" s="15">
        <v>0</v>
      </c>
      <c r="U64" s="15">
        <v>1</v>
      </c>
      <c r="V64" s="15">
        <v>0</v>
      </c>
      <c r="W64" s="15">
        <v>0</v>
      </c>
      <c r="X64" s="15">
        <v>0</v>
      </c>
      <c r="Y64" s="15">
        <v>0</v>
      </c>
      <c r="Z64" s="15">
        <v>0</v>
      </c>
      <c r="AA64" s="15">
        <v>0</v>
      </c>
      <c r="AB64" s="15">
        <v>0</v>
      </c>
      <c r="AC64" s="15">
        <v>0</v>
      </c>
      <c r="AD64" s="15">
        <v>0</v>
      </c>
      <c r="AE64" s="15">
        <v>0</v>
      </c>
      <c r="AF64" s="15">
        <v>0</v>
      </c>
      <c r="AG64" s="15">
        <v>0</v>
      </c>
      <c r="AH64" s="15">
        <v>0</v>
      </c>
      <c r="AI64" s="15">
        <v>0</v>
      </c>
      <c r="AJ64" s="15">
        <v>0</v>
      </c>
      <c r="AK64" s="15">
        <v>0</v>
      </c>
      <c r="AL64" s="15">
        <v>0</v>
      </c>
      <c r="AM64" s="15">
        <v>0</v>
      </c>
      <c r="AN64" s="15">
        <v>2</v>
      </c>
      <c r="AO64" s="15">
        <v>1</v>
      </c>
      <c r="AP64" s="15">
        <v>0</v>
      </c>
      <c r="AQ64" s="15">
        <v>0</v>
      </c>
      <c r="AR64" s="15">
        <v>0</v>
      </c>
      <c r="AS64" s="15">
        <v>0</v>
      </c>
      <c r="AT64" s="15">
        <v>1</v>
      </c>
      <c r="AU64" s="15">
        <v>0</v>
      </c>
      <c r="AV64" s="15">
        <v>1</v>
      </c>
      <c r="AW64" s="15">
        <v>0</v>
      </c>
      <c r="AX64" s="15">
        <v>0</v>
      </c>
      <c r="AY64" s="15">
        <v>0</v>
      </c>
      <c r="AZ64" s="15">
        <v>0</v>
      </c>
      <c r="BA64" s="15">
        <v>0</v>
      </c>
      <c r="BB64" s="15">
        <v>0</v>
      </c>
      <c r="BC64" s="15">
        <v>0</v>
      </c>
      <c r="BD64" s="15">
        <v>0</v>
      </c>
    </row>
    <row r="65" spans="1:56" x14ac:dyDescent="0.35">
      <c r="A65" s="14" t="s">
        <v>58</v>
      </c>
      <c r="B65" s="15">
        <v>1</v>
      </c>
      <c r="C65" s="16">
        <v>2.075119319360863</v>
      </c>
      <c r="D65" s="15">
        <v>0</v>
      </c>
      <c r="E65" s="15">
        <v>0</v>
      </c>
      <c r="F65" s="15">
        <v>0</v>
      </c>
      <c r="G65" s="15">
        <v>0</v>
      </c>
      <c r="H65" s="15">
        <v>0</v>
      </c>
      <c r="I65" s="15">
        <v>0</v>
      </c>
      <c r="J65" s="15">
        <v>0</v>
      </c>
      <c r="K65" s="15">
        <v>1</v>
      </c>
      <c r="L65" s="15">
        <v>0</v>
      </c>
      <c r="M65" s="15">
        <v>0</v>
      </c>
      <c r="N65" s="15">
        <v>0</v>
      </c>
      <c r="O65" s="15">
        <v>0</v>
      </c>
      <c r="P65" s="15">
        <v>0</v>
      </c>
      <c r="Q65" s="15">
        <v>0</v>
      </c>
      <c r="R65" s="15">
        <v>0</v>
      </c>
      <c r="S65" s="15">
        <v>0</v>
      </c>
      <c r="T65" s="15">
        <v>0</v>
      </c>
      <c r="U65" s="15">
        <v>0</v>
      </c>
      <c r="V65" s="15">
        <v>0</v>
      </c>
      <c r="W65" s="15">
        <v>0</v>
      </c>
      <c r="X65" s="15">
        <v>0</v>
      </c>
      <c r="Y65" s="15">
        <v>0</v>
      </c>
      <c r="Z65" s="15">
        <v>0</v>
      </c>
      <c r="AA65" s="15">
        <v>0</v>
      </c>
      <c r="AB65" s="15">
        <v>0</v>
      </c>
      <c r="AC65" s="15">
        <v>0</v>
      </c>
      <c r="AD65" s="15">
        <v>0</v>
      </c>
      <c r="AE65" s="15">
        <v>0</v>
      </c>
      <c r="AF65" s="15">
        <v>0</v>
      </c>
      <c r="AG65" s="15">
        <v>0</v>
      </c>
      <c r="AH65" s="15">
        <v>0</v>
      </c>
      <c r="AI65" s="15">
        <v>0</v>
      </c>
      <c r="AJ65" s="15">
        <v>0</v>
      </c>
      <c r="AK65" s="15">
        <v>0</v>
      </c>
      <c r="AL65" s="15">
        <v>0</v>
      </c>
      <c r="AM65" s="15">
        <v>0</v>
      </c>
      <c r="AN65" s="15">
        <v>0</v>
      </c>
      <c r="AO65" s="15">
        <v>0</v>
      </c>
      <c r="AP65" s="15">
        <v>0</v>
      </c>
      <c r="AQ65" s="15">
        <v>0</v>
      </c>
      <c r="AR65" s="15">
        <v>0</v>
      </c>
      <c r="AS65" s="15">
        <v>0</v>
      </c>
      <c r="AT65" s="15">
        <v>0</v>
      </c>
      <c r="AU65" s="15">
        <v>0</v>
      </c>
      <c r="AV65" s="15">
        <v>0</v>
      </c>
      <c r="AW65" s="15">
        <v>0</v>
      </c>
      <c r="AX65" s="15">
        <v>0</v>
      </c>
      <c r="AY65" s="15">
        <v>0</v>
      </c>
      <c r="AZ65" s="15">
        <v>0</v>
      </c>
      <c r="BA65" s="15">
        <v>0</v>
      </c>
      <c r="BB65" s="15">
        <v>0</v>
      </c>
      <c r="BC65" s="15">
        <v>0</v>
      </c>
      <c r="BD65" s="15">
        <v>0</v>
      </c>
    </row>
    <row r="66" spans="1:56" x14ac:dyDescent="0.35">
      <c r="A66" s="14" t="s">
        <v>59</v>
      </c>
      <c r="B66" s="15">
        <v>5</v>
      </c>
      <c r="C66" s="16">
        <v>10.033109260559849</v>
      </c>
      <c r="D66" s="15">
        <v>0</v>
      </c>
      <c r="E66" s="15">
        <v>0</v>
      </c>
      <c r="F66" s="15">
        <v>0</v>
      </c>
      <c r="G66" s="15">
        <v>0</v>
      </c>
      <c r="H66" s="15">
        <v>0</v>
      </c>
      <c r="I66" s="15">
        <v>0</v>
      </c>
      <c r="J66" s="15">
        <v>0</v>
      </c>
      <c r="K66" s="15">
        <v>0</v>
      </c>
      <c r="L66" s="15">
        <v>0</v>
      </c>
      <c r="M66" s="15">
        <v>0</v>
      </c>
      <c r="N66" s="15">
        <v>0</v>
      </c>
      <c r="O66" s="15">
        <v>0</v>
      </c>
      <c r="P66" s="15">
        <v>0</v>
      </c>
      <c r="Q66" s="15">
        <v>0</v>
      </c>
      <c r="R66" s="15">
        <v>0</v>
      </c>
      <c r="S66" s="15">
        <v>0</v>
      </c>
      <c r="T66" s="15">
        <v>0</v>
      </c>
      <c r="U66" s="15">
        <v>0</v>
      </c>
      <c r="V66" s="15">
        <v>0</v>
      </c>
      <c r="W66" s="15">
        <v>0</v>
      </c>
      <c r="X66" s="15">
        <v>0</v>
      </c>
      <c r="Y66" s="15">
        <v>1</v>
      </c>
      <c r="Z66" s="15">
        <v>0</v>
      </c>
      <c r="AA66" s="15">
        <v>0</v>
      </c>
      <c r="AB66" s="15">
        <v>0</v>
      </c>
      <c r="AC66" s="15">
        <v>0</v>
      </c>
      <c r="AD66" s="15">
        <v>0</v>
      </c>
      <c r="AE66" s="15">
        <v>0</v>
      </c>
      <c r="AF66" s="15">
        <v>0</v>
      </c>
      <c r="AG66" s="15">
        <v>0</v>
      </c>
      <c r="AH66" s="15">
        <v>1</v>
      </c>
      <c r="AI66" s="15">
        <v>1</v>
      </c>
      <c r="AJ66" s="15">
        <v>0</v>
      </c>
      <c r="AK66" s="15">
        <v>0</v>
      </c>
      <c r="AL66" s="15">
        <v>0</v>
      </c>
      <c r="AM66" s="15">
        <v>0</v>
      </c>
      <c r="AN66" s="15">
        <v>0</v>
      </c>
      <c r="AO66" s="15">
        <v>0</v>
      </c>
      <c r="AP66" s="15">
        <v>0</v>
      </c>
      <c r="AQ66" s="15">
        <v>0</v>
      </c>
      <c r="AR66" s="15">
        <v>1</v>
      </c>
      <c r="AS66" s="15">
        <v>0</v>
      </c>
      <c r="AT66" s="15">
        <v>0</v>
      </c>
      <c r="AU66" s="15">
        <v>0</v>
      </c>
      <c r="AV66" s="15">
        <v>0</v>
      </c>
      <c r="AW66" s="15">
        <v>0</v>
      </c>
      <c r="AX66" s="15">
        <v>0</v>
      </c>
      <c r="AY66" s="15">
        <v>0</v>
      </c>
      <c r="AZ66" s="15">
        <v>0</v>
      </c>
      <c r="BA66" s="15">
        <v>0</v>
      </c>
      <c r="BB66" s="15">
        <v>1</v>
      </c>
      <c r="BC66" s="15">
        <v>0</v>
      </c>
      <c r="BD66" s="15">
        <v>0</v>
      </c>
    </row>
    <row r="67" spans="1:56" x14ac:dyDescent="0.35">
      <c r="A67" s="14" t="s">
        <v>60</v>
      </c>
      <c r="B67" s="15">
        <v>6</v>
      </c>
      <c r="C67" s="16">
        <v>13.674278681799535</v>
      </c>
      <c r="D67" s="15">
        <v>0</v>
      </c>
      <c r="E67" s="15">
        <v>0</v>
      </c>
      <c r="F67" s="15">
        <v>0</v>
      </c>
      <c r="G67" s="15">
        <v>0</v>
      </c>
      <c r="H67" s="15">
        <v>0</v>
      </c>
      <c r="I67" s="15">
        <v>0</v>
      </c>
      <c r="J67" s="15">
        <v>0</v>
      </c>
      <c r="K67" s="15">
        <v>0</v>
      </c>
      <c r="L67" s="15">
        <v>0</v>
      </c>
      <c r="M67" s="15">
        <v>0</v>
      </c>
      <c r="N67" s="15">
        <v>0</v>
      </c>
      <c r="O67" s="15">
        <v>0</v>
      </c>
      <c r="P67" s="15">
        <v>0</v>
      </c>
      <c r="Q67" s="15">
        <v>0</v>
      </c>
      <c r="R67" s="15">
        <v>0</v>
      </c>
      <c r="S67" s="15">
        <v>0</v>
      </c>
      <c r="T67" s="15">
        <v>0</v>
      </c>
      <c r="U67" s="15">
        <v>0</v>
      </c>
      <c r="V67" s="15">
        <v>0</v>
      </c>
      <c r="W67" s="15">
        <v>0</v>
      </c>
      <c r="X67" s="15">
        <v>0</v>
      </c>
      <c r="Y67" s="15">
        <v>0</v>
      </c>
      <c r="Z67" s="15">
        <v>0</v>
      </c>
      <c r="AA67" s="15">
        <v>0</v>
      </c>
      <c r="AB67" s="15">
        <v>0</v>
      </c>
      <c r="AC67" s="15">
        <v>0</v>
      </c>
      <c r="AD67" s="15">
        <v>0</v>
      </c>
      <c r="AE67" s="15">
        <v>0</v>
      </c>
      <c r="AF67" s="15">
        <v>0</v>
      </c>
      <c r="AG67" s="15">
        <v>1</v>
      </c>
      <c r="AH67" s="15">
        <v>0</v>
      </c>
      <c r="AI67" s="15">
        <v>0</v>
      </c>
      <c r="AJ67" s="15">
        <v>0</v>
      </c>
      <c r="AK67" s="15">
        <v>1</v>
      </c>
      <c r="AL67" s="15">
        <v>0</v>
      </c>
      <c r="AM67" s="15">
        <v>1</v>
      </c>
      <c r="AN67" s="15">
        <v>0</v>
      </c>
      <c r="AO67" s="15">
        <v>0</v>
      </c>
      <c r="AP67" s="15">
        <v>0</v>
      </c>
      <c r="AQ67" s="15">
        <v>0</v>
      </c>
      <c r="AR67" s="15">
        <v>0</v>
      </c>
      <c r="AS67" s="15">
        <v>0</v>
      </c>
      <c r="AT67" s="15">
        <v>0</v>
      </c>
      <c r="AU67" s="15">
        <v>1</v>
      </c>
      <c r="AV67" s="15">
        <v>2</v>
      </c>
      <c r="AW67" s="15">
        <v>0</v>
      </c>
      <c r="AX67" s="15">
        <v>0</v>
      </c>
      <c r="AY67" s="15">
        <v>0</v>
      </c>
      <c r="AZ67" s="15">
        <v>0</v>
      </c>
      <c r="BA67" s="15">
        <v>0</v>
      </c>
      <c r="BB67" s="15">
        <v>0</v>
      </c>
      <c r="BC67" s="15">
        <v>0</v>
      </c>
      <c r="BD67" s="15">
        <v>0</v>
      </c>
    </row>
    <row r="68" spans="1:56" x14ac:dyDescent="0.35">
      <c r="A68" s="14" t="s">
        <v>61</v>
      </c>
      <c r="B68" s="15">
        <v>0</v>
      </c>
      <c r="C68" s="16">
        <v>0</v>
      </c>
      <c r="D68" s="15">
        <v>0</v>
      </c>
      <c r="E68" s="15">
        <v>0</v>
      </c>
      <c r="F68" s="15">
        <v>0</v>
      </c>
      <c r="G68" s="15">
        <v>0</v>
      </c>
      <c r="H68" s="15">
        <v>0</v>
      </c>
      <c r="I68" s="15">
        <v>0</v>
      </c>
      <c r="J68" s="15">
        <v>0</v>
      </c>
      <c r="K68" s="15">
        <v>0</v>
      </c>
      <c r="L68" s="15">
        <v>0</v>
      </c>
      <c r="M68" s="15">
        <v>0</v>
      </c>
      <c r="N68" s="15">
        <v>0</v>
      </c>
      <c r="O68" s="15">
        <v>0</v>
      </c>
      <c r="P68" s="15">
        <v>0</v>
      </c>
      <c r="Q68" s="15">
        <v>0</v>
      </c>
      <c r="R68" s="15">
        <v>0</v>
      </c>
      <c r="S68" s="15">
        <v>0</v>
      </c>
      <c r="T68" s="15">
        <v>0</v>
      </c>
      <c r="U68" s="15">
        <v>0</v>
      </c>
      <c r="V68" s="15">
        <v>0</v>
      </c>
      <c r="W68" s="15">
        <v>0</v>
      </c>
      <c r="X68" s="15">
        <v>0</v>
      </c>
      <c r="Y68" s="15">
        <v>0</v>
      </c>
      <c r="Z68" s="15">
        <v>0</v>
      </c>
      <c r="AA68" s="15">
        <v>0</v>
      </c>
      <c r="AB68" s="15">
        <v>0</v>
      </c>
      <c r="AC68" s="15">
        <v>0</v>
      </c>
      <c r="AD68" s="15">
        <v>0</v>
      </c>
      <c r="AE68" s="15">
        <v>0</v>
      </c>
      <c r="AF68" s="15">
        <v>0</v>
      </c>
      <c r="AG68" s="15">
        <v>0</v>
      </c>
      <c r="AH68" s="15">
        <v>0</v>
      </c>
      <c r="AI68" s="15">
        <v>0</v>
      </c>
      <c r="AJ68" s="15">
        <v>0</v>
      </c>
      <c r="AK68" s="15">
        <v>0</v>
      </c>
      <c r="AL68" s="15">
        <v>0</v>
      </c>
      <c r="AM68" s="15">
        <v>0</v>
      </c>
      <c r="AN68" s="15">
        <v>0</v>
      </c>
      <c r="AO68" s="15">
        <v>0</v>
      </c>
      <c r="AP68" s="15">
        <v>0</v>
      </c>
      <c r="AQ68" s="15">
        <v>0</v>
      </c>
      <c r="AR68" s="15">
        <v>0</v>
      </c>
      <c r="AS68" s="15">
        <v>0</v>
      </c>
      <c r="AT68" s="15">
        <v>0</v>
      </c>
      <c r="AU68" s="15">
        <v>0</v>
      </c>
      <c r="AV68" s="15">
        <v>0</v>
      </c>
      <c r="AW68" s="15">
        <v>0</v>
      </c>
      <c r="AX68" s="15">
        <v>0</v>
      </c>
      <c r="AY68" s="15">
        <v>0</v>
      </c>
      <c r="AZ68" s="15">
        <v>0</v>
      </c>
      <c r="BA68" s="15">
        <v>0</v>
      </c>
      <c r="BB68" s="15">
        <v>0</v>
      </c>
      <c r="BC68" s="15">
        <v>0</v>
      </c>
      <c r="BD68" s="15">
        <v>0</v>
      </c>
    </row>
    <row r="69" spans="1:56" x14ac:dyDescent="0.35">
      <c r="A69" s="14" t="s">
        <v>62</v>
      </c>
      <c r="B69" s="15">
        <v>3</v>
      </c>
      <c r="C69" s="16">
        <v>12.682308180088777</v>
      </c>
      <c r="D69" s="15">
        <v>0</v>
      </c>
      <c r="E69" s="15">
        <v>0</v>
      </c>
      <c r="F69" s="15">
        <v>0</v>
      </c>
      <c r="G69" s="15">
        <v>0</v>
      </c>
      <c r="H69" s="15">
        <v>0</v>
      </c>
      <c r="I69" s="15">
        <v>0</v>
      </c>
      <c r="J69" s="15">
        <v>0</v>
      </c>
      <c r="K69" s="15">
        <v>0</v>
      </c>
      <c r="L69" s="15">
        <v>0</v>
      </c>
      <c r="M69" s="15">
        <v>0</v>
      </c>
      <c r="N69" s="15">
        <v>0</v>
      </c>
      <c r="O69" s="15">
        <v>0</v>
      </c>
      <c r="P69" s="15">
        <v>0</v>
      </c>
      <c r="Q69" s="15">
        <v>0</v>
      </c>
      <c r="R69" s="15">
        <v>0</v>
      </c>
      <c r="S69" s="15">
        <v>0</v>
      </c>
      <c r="T69" s="15">
        <v>0</v>
      </c>
      <c r="U69" s="15">
        <v>0</v>
      </c>
      <c r="V69" s="15">
        <v>0</v>
      </c>
      <c r="W69" s="15">
        <v>0</v>
      </c>
      <c r="X69" s="15">
        <v>0</v>
      </c>
      <c r="Y69" s="15">
        <v>0</v>
      </c>
      <c r="Z69" s="15">
        <v>0</v>
      </c>
      <c r="AA69" s="15">
        <v>0</v>
      </c>
      <c r="AB69" s="15">
        <v>0</v>
      </c>
      <c r="AC69" s="15">
        <v>0</v>
      </c>
      <c r="AD69" s="15">
        <v>1</v>
      </c>
      <c r="AE69" s="15">
        <v>0</v>
      </c>
      <c r="AF69" s="15">
        <v>0</v>
      </c>
      <c r="AG69" s="15">
        <v>0</v>
      </c>
      <c r="AH69" s="15">
        <v>0</v>
      </c>
      <c r="AI69" s="15">
        <v>0</v>
      </c>
      <c r="AJ69" s="15">
        <v>0</v>
      </c>
      <c r="AK69" s="15">
        <v>0</v>
      </c>
      <c r="AL69" s="15">
        <v>0</v>
      </c>
      <c r="AM69" s="15">
        <v>0</v>
      </c>
      <c r="AN69" s="15">
        <v>0</v>
      </c>
      <c r="AO69" s="15">
        <v>0</v>
      </c>
      <c r="AP69" s="15">
        <v>1</v>
      </c>
      <c r="AQ69" s="15">
        <v>0</v>
      </c>
      <c r="AR69" s="15">
        <v>0</v>
      </c>
      <c r="AS69" s="15">
        <v>0</v>
      </c>
      <c r="AT69" s="15">
        <v>0</v>
      </c>
      <c r="AU69" s="15">
        <v>0</v>
      </c>
      <c r="AV69" s="15">
        <v>0</v>
      </c>
      <c r="AW69" s="15">
        <v>0</v>
      </c>
      <c r="AX69" s="15">
        <v>1</v>
      </c>
      <c r="AY69" s="15">
        <v>0</v>
      </c>
      <c r="AZ69" s="15">
        <v>0</v>
      </c>
      <c r="BA69" s="15">
        <v>0</v>
      </c>
      <c r="BB69" s="15">
        <v>0</v>
      </c>
      <c r="BC69" s="15">
        <v>0</v>
      </c>
      <c r="BD69" s="15">
        <v>0</v>
      </c>
    </row>
    <row r="70" spans="1:56" x14ac:dyDescent="0.35">
      <c r="A70" s="14" t="s">
        <v>63</v>
      </c>
      <c r="B70" s="15">
        <v>3</v>
      </c>
      <c r="C70" s="16">
        <v>11.171936096525528</v>
      </c>
      <c r="D70" s="15">
        <v>0</v>
      </c>
      <c r="E70" s="15">
        <v>0</v>
      </c>
      <c r="F70" s="15">
        <v>0</v>
      </c>
      <c r="G70" s="15">
        <v>0</v>
      </c>
      <c r="H70" s="15">
        <v>0</v>
      </c>
      <c r="I70" s="15">
        <v>0</v>
      </c>
      <c r="J70" s="15">
        <v>0</v>
      </c>
      <c r="K70" s="15">
        <v>0</v>
      </c>
      <c r="L70" s="15">
        <v>0</v>
      </c>
      <c r="M70" s="15">
        <v>0</v>
      </c>
      <c r="N70" s="15">
        <v>0</v>
      </c>
      <c r="O70" s="15">
        <v>0</v>
      </c>
      <c r="P70" s="15">
        <v>0</v>
      </c>
      <c r="Q70" s="15">
        <v>0</v>
      </c>
      <c r="R70" s="15">
        <v>0</v>
      </c>
      <c r="S70" s="15">
        <v>0</v>
      </c>
      <c r="T70" s="15">
        <v>0</v>
      </c>
      <c r="U70" s="15">
        <v>0</v>
      </c>
      <c r="V70" s="15">
        <v>0</v>
      </c>
      <c r="W70" s="15">
        <v>0</v>
      </c>
      <c r="X70" s="15">
        <v>0</v>
      </c>
      <c r="Y70" s="15">
        <v>0</v>
      </c>
      <c r="Z70" s="15">
        <v>0</v>
      </c>
      <c r="AA70" s="15">
        <v>0</v>
      </c>
      <c r="AB70" s="15">
        <v>0</v>
      </c>
      <c r="AC70" s="15">
        <v>0</v>
      </c>
      <c r="AD70" s="15">
        <v>0</v>
      </c>
      <c r="AE70" s="15">
        <v>0</v>
      </c>
      <c r="AF70" s="15">
        <v>0</v>
      </c>
      <c r="AG70" s="15">
        <v>0</v>
      </c>
      <c r="AH70" s="15">
        <v>0</v>
      </c>
      <c r="AI70" s="15">
        <v>0</v>
      </c>
      <c r="AJ70" s="15">
        <v>0</v>
      </c>
      <c r="AK70" s="15">
        <v>1</v>
      </c>
      <c r="AL70" s="15">
        <v>0</v>
      </c>
      <c r="AM70" s="15">
        <v>0</v>
      </c>
      <c r="AN70" s="15">
        <v>0</v>
      </c>
      <c r="AO70" s="15">
        <v>0</v>
      </c>
      <c r="AP70" s="15">
        <v>1</v>
      </c>
      <c r="AQ70" s="15">
        <v>0</v>
      </c>
      <c r="AR70" s="15">
        <v>1</v>
      </c>
      <c r="AS70" s="15">
        <v>0</v>
      </c>
      <c r="AT70" s="15">
        <v>0</v>
      </c>
      <c r="AU70" s="15">
        <v>0</v>
      </c>
      <c r="AV70" s="15">
        <v>0</v>
      </c>
      <c r="AW70" s="15">
        <v>0</v>
      </c>
      <c r="AX70" s="15">
        <v>0</v>
      </c>
      <c r="AY70" s="15">
        <v>0</v>
      </c>
      <c r="AZ70" s="15">
        <v>0</v>
      </c>
      <c r="BA70" s="15">
        <v>0</v>
      </c>
      <c r="BB70" s="15">
        <v>0</v>
      </c>
      <c r="BC70" s="15">
        <v>0</v>
      </c>
      <c r="BD70" s="15">
        <v>0</v>
      </c>
    </row>
    <row r="71" spans="1:56" x14ac:dyDescent="0.35">
      <c r="A71" s="14" t="s">
        <v>64</v>
      </c>
      <c r="B71" s="15">
        <v>15</v>
      </c>
      <c r="C71" s="16">
        <v>59.052793197118227</v>
      </c>
      <c r="D71" s="15">
        <v>0</v>
      </c>
      <c r="E71" s="15">
        <v>0</v>
      </c>
      <c r="F71" s="15">
        <v>0</v>
      </c>
      <c r="G71" s="15">
        <v>0</v>
      </c>
      <c r="H71" s="15">
        <v>0</v>
      </c>
      <c r="I71" s="15">
        <v>0</v>
      </c>
      <c r="J71" s="15">
        <v>0</v>
      </c>
      <c r="K71" s="15">
        <v>0</v>
      </c>
      <c r="L71" s="15">
        <v>1</v>
      </c>
      <c r="M71" s="15">
        <v>0</v>
      </c>
      <c r="N71" s="15">
        <v>0</v>
      </c>
      <c r="O71" s="15">
        <v>0</v>
      </c>
      <c r="P71" s="15">
        <v>0</v>
      </c>
      <c r="Q71" s="15">
        <v>0</v>
      </c>
      <c r="R71" s="15">
        <v>0</v>
      </c>
      <c r="S71" s="15">
        <v>0</v>
      </c>
      <c r="T71" s="15">
        <v>0</v>
      </c>
      <c r="U71" s="15">
        <v>0</v>
      </c>
      <c r="V71" s="15">
        <v>0</v>
      </c>
      <c r="W71" s="15">
        <v>0</v>
      </c>
      <c r="X71" s="15">
        <v>0</v>
      </c>
      <c r="Y71" s="15">
        <v>0</v>
      </c>
      <c r="Z71" s="15">
        <v>0</v>
      </c>
      <c r="AA71" s="15">
        <v>0</v>
      </c>
      <c r="AB71" s="15">
        <v>0</v>
      </c>
      <c r="AC71" s="15">
        <v>0</v>
      </c>
      <c r="AD71" s="15">
        <v>0</v>
      </c>
      <c r="AE71" s="15">
        <v>0</v>
      </c>
      <c r="AF71" s="15">
        <v>0</v>
      </c>
      <c r="AG71" s="15">
        <v>0</v>
      </c>
      <c r="AH71" s="15">
        <v>2</v>
      </c>
      <c r="AI71" s="15">
        <v>0</v>
      </c>
      <c r="AJ71" s="15">
        <v>0</v>
      </c>
      <c r="AK71" s="15">
        <v>0</v>
      </c>
      <c r="AL71" s="15">
        <v>2</v>
      </c>
      <c r="AM71" s="15">
        <v>2</v>
      </c>
      <c r="AN71" s="15">
        <v>2</v>
      </c>
      <c r="AO71" s="15">
        <v>1</v>
      </c>
      <c r="AP71" s="15">
        <v>0</v>
      </c>
      <c r="AQ71" s="15">
        <v>0</v>
      </c>
      <c r="AR71" s="15">
        <v>1</v>
      </c>
      <c r="AS71" s="15">
        <v>1</v>
      </c>
      <c r="AT71" s="15">
        <v>0</v>
      </c>
      <c r="AU71" s="15">
        <v>0</v>
      </c>
      <c r="AV71" s="15">
        <v>0</v>
      </c>
      <c r="AW71" s="15">
        <v>2</v>
      </c>
      <c r="AX71" s="15">
        <v>0</v>
      </c>
      <c r="AY71" s="15">
        <v>1</v>
      </c>
      <c r="AZ71" s="15">
        <v>0</v>
      </c>
      <c r="BA71" s="15">
        <v>0</v>
      </c>
      <c r="BB71" s="15">
        <v>0</v>
      </c>
      <c r="BC71" s="15">
        <v>0</v>
      </c>
      <c r="BD71" s="15">
        <v>0</v>
      </c>
    </row>
    <row r="72" spans="1:56" x14ac:dyDescent="0.35">
      <c r="A72" s="14" t="s">
        <v>65</v>
      </c>
      <c r="B72" s="15">
        <v>2</v>
      </c>
      <c r="C72" s="16">
        <v>6.3453789777594469</v>
      </c>
      <c r="D72" s="15">
        <v>0</v>
      </c>
      <c r="E72" s="15">
        <v>0</v>
      </c>
      <c r="F72" s="15">
        <v>0</v>
      </c>
      <c r="G72" s="15">
        <v>0</v>
      </c>
      <c r="H72" s="15">
        <v>0</v>
      </c>
      <c r="I72" s="15">
        <v>0</v>
      </c>
      <c r="J72" s="15">
        <v>0</v>
      </c>
      <c r="K72" s="15">
        <v>0</v>
      </c>
      <c r="L72" s="15">
        <v>0</v>
      </c>
      <c r="M72" s="15">
        <v>0</v>
      </c>
      <c r="N72" s="15">
        <v>0</v>
      </c>
      <c r="O72" s="15">
        <v>0</v>
      </c>
      <c r="P72" s="15">
        <v>0</v>
      </c>
      <c r="Q72" s="15">
        <v>0</v>
      </c>
      <c r="R72" s="15">
        <v>0</v>
      </c>
      <c r="S72" s="15">
        <v>0</v>
      </c>
      <c r="T72" s="15">
        <v>0</v>
      </c>
      <c r="U72" s="15">
        <v>0</v>
      </c>
      <c r="V72" s="15">
        <v>0</v>
      </c>
      <c r="W72" s="15">
        <v>0</v>
      </c>
      <c r="X72" s="15">
        <v>0</v>
      </c>
      <c r="Y72" s="15">
        <v>0</v>
      </c>
      <c r="Z72" s="15">
        <v>0</v>
      </c>
      <c r="AA72" s="15">
        <v>0</v>
      </c>
      <c r="AB72" s="15">
        <v>0</v>
      </c>
      <c r="AC72" s="15">
        <v>1</v>
      </c>
      <c r="AD72" s="15">
        <v>0</v>
      </c>
      <c r="AE72" s="15">
        <v>0</v>
      </c>
      <c r="AF72" s="15">
        <v>0</v>
      </c>
      <c r="AG72" s="15">
        <v>0</v>
      </c>
      <c r="AH72" s="15">
        <v>0</v>
      </c>
      <c r="AI72" s="15">
        <v>0</v>
      </c>
      <c r="AJ72" s="15">
        <v>0</v>
      </c>
      <c r="AK72" s="15">
        <v>0</v>
      </c>
      <c r="AL72" s="15">
        <v>0</v>
      </c>
      <c r="AM72" s="15">
        <v>0</v>
      </c>
      <c r="AN72" s="15">
        <v>0</v>
      </c>
      <c r="AO72" s="15">
        <v>0</v>
      </c>
      <c r="AP72" s="15">
        <v>0</v>
      </c>
      <c r="AQ72" s="15">
        <v>1</v>
      </c>
      <c r="AR72" s="15">
        <v>0</v>
      </c>
      <c r="AS72" s="15">
        <v>0</v>
      </c>
      <c r="AT72" s="15">
        <v>0</v>
      </c>
      <c r="AU72" s="15">
        <v>0</v>
      </c>
      <c r="AV72" s="15">
        <v>0</v>
      </c>
      <c r="AW72" s="15">
        <v>0</v>
      </c>
      <c r="AX72" s="15">
        <v>0</v>
      </c>
      <c r="AY72" s="15">
        <v>0</v>
      </c>
      <c r="AZ72" s="15">
        <v>0</v>
      </c>
      <c r="BA72" s="15">
        <v>0</v>
      </c>
      <c r="BB72" s="15">
        <v>0</v>
      </c>
      <c r="BC72" s="15">
        <v>0</v>
      </c>
      <c r="BD72" s="15">
        <v>0</v>
      </c>
    </row>
    <row r="73" spans="1:56" x14ac:dyDescent="0.35">
      <c r="A73" s="14" t="s">
        <v>66</v>
      </c>
      <c r="B73" s="15">
        <v>584</v>
      </c>
      <c r="C73" s="16">
        <v>666.005223123154</v>
      </c>
      <c r="D73" s="15">
        <v>3</v>
      </c>
      <c r="E73" s="15">
        <v>6</v>
      </c>
      <c r="F73" s="15">
        <v>4</v>
      </c>
      <c r="G73" s="15">
        <v>3</v>
      </c>
      <c r="H73" s="15">
        <v>4</v>
      </c>
      <c r="I73" s="15">
        <v>2</v>
      </c>
      <c r="J73" s="15">
        <v>2</v>
      </c>
      <c r="K73" s="15">
        <v>2</v>
      </c>
      <c r="L73" s="15">
        <v>2</v>
      </c>
      <c r="M73" s="15">
        <v>1</v>
      </c>
      <c r="N73" s="15">
        <v>2</v>
      </c>
      <c r="O73" s="15">
        <v>7</v>
      </c>
      <c r="P73" s="15">
        <v>5</v>
      </c>
      <c r="Q73" s="15">
        <v>3</v>
      </c>
      <c r="R73" s="15">
        <v>7</v>
      </c>
      <c r="S73" s="15">
        <v>4</v>
      </c>
      <c r="T73" s="15">
        <v>9</v>
      </c>
      <c r="U73" s="15">
        <v>11</v>
      </c>
      <c r="V73" s="15">
        <v>11</v>
      </c>
      <c r="W73" s="15">
        <v>18</v>
      </c>
      <c r="X73" s="15">
        <v>18</v>
      </c>
      <c r="Y73" s="15">
        <v>16</v>
      </c>
      <c r="Z73" s="15">
        <v>16</v>
      </c>
      <c r="AA73" s="15">
        <v>18</v>
      </c>
      <c r="AB73" s="15">
        <v>24</v>
      </c>
      <c r="AC73" s="15">
        <v>20</v>
      </c>
      <c r="AD73" s="15">
        <v>35</v>
      </c>
      <c r="AE73" s="15">
        <v>33</v>
      </c>
      <c r="AF73" s="15">
        <v>29</v>
      </c>
      <c r="AG73" s="15">
        <v>35</v>
      </c>
      <c r="AH73" s="15">
        <v>36</v>
      </c>
      <c r="AI73" s="15">
        <v>16</v>
      </c>
      <c r="AJ73" s="15">
        <v>21</v>
      </c>
      <c r="AK73" s="15">
        <v>25</v>
      </c>
      <c r="AL73" s="15">
        <v>18</v>
      </c>
      <c r="AM73" s="15">
        <v>13</v>
      </c>
      <c r="AN73" s="15">
        <v>11</v>
      </c>
      <c r="AO73" s="15">
        <v>10</v>
      </c>
      <c r="AP73" s="15">
        <v>19</v>
      </c>
      <c r="AQ73" s="15">
        <v>7</v>
      </c>
      <c r="AR73" s="15">
        <v>8</v>
      </c>
      <c r="AS73" s="15">
        <v>12</v>
      </c>
      <c r="AT73" s="15">
        <v>8</v>
      </c>
      <c r="AU73" s="15">
        <v>10</v>
      </c>
      <c r="AV73" s="15">
        <v>6</v>
      </c>
      <c r="AW73" s="15">
        <v>6</v>
      </c>
      <c r="AX73" s="15">
        <v>1</v>
      </c>
      <c r="AY73" s="15">
        <v>2</v>
      </c>
      <c r="AZ73" s="15">
        <v>3</v>
      </c>
      <c r="BA73" s="15">
        <v>2</v>
      </c>
      <c r="BB73" s="15">
        <v>0</v>
      </c>
      <c r="BC73" s="15">
        <v>0</v>
      </c>
      <c r="BD73" s="15">
        <v>0</v>
      </c>
    </row>
    <row r="74" spans="1:56" x14ac:dyDescent="0.35">
      <c r="A74" s="14"/>
      <c r="B74" s="12"/>
      <c r="C74" s="13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</row>
    <row r="75" spans="1:56" x14ac:dyDescent="0.35">
      <c r="A75" s="1" t="s">
        <v>67</v>
      </c>
      <c r="B75" s="10">
        <v>248</v>
      </c>
      <c r="C75" s="11">
        <v>61.268757380661796</v>
      </c>
      <c r="D75" s="10">
        <v>1</v>
      </c>
      <c r="E75" s="10">
        <v>0</v>
      </c>
      <c r="F75" s="10">
        <v>0</v>
      </c>
      <c r="G75" s="10">
        <v>1</v>
      </c>
      <c r="H75" s="10">
        <v>1</v>
      </c>
      <c r="I75" s="10">
        <v>1</v>
      </c>
      <c r="J75" s="10">
        <v>0</v>
      </c>
      <c r="K75" s="10">
        <v>0</v>
      </c>
      <c r="L75" s="10">
        <v>0</v>
      </c>
      <c r="M75" s="10">
        <v>0</v>
      </c>
      <c r="N75" s="10">
        <v>0</v>
      </c>
      <c r="O75" s="10">
        <v>3</v>
      </c>
      <c r="P75" s="10">
        <v>0</v>
      </c>
      <c r="Q75" s="10">
        <v>0</v>
      </c>
      <c r="R75" s="10">
        <v>1</v>
      </c>
      <c r="S75" s="10">
        <v>2</v>
      </c>
      <c r="T75" s="10">
        <v>0</v>
      </c>
      <c r="U75" s="10">
        <v>0</v>
      </c>
      <c r="V75" s="10">
        <v>1</v>
      </c>
      <c r="W75" s="10">
        <v>3</v>
      </c>
      <c r="X75" s="10">
        <v>2</v>
      </c>
      <c r="Y75" s="10">
        <v>2</v>
      </c>
      <c r="Z75" s="10">
        <v>2</v>
      </c>
      <c r="AA75" s="10">
        <v>3</v>
      </c>
      <c r="AB75" s="10">
        <v>3</v>
      </c>
      <c r="AC75" s="10">
        <v>6</v>
      </c>
      <c r="AD75" s="10">
        <v>4</v>
      </c>
      <c r="AE75" s="10">
        <v>5</v>
      </c>
      <c r="AF75" s="10">
        <v>0</v>
      </c>
      <c r="AG75" s="10">
        <v>6</v>
      </c>
      <c r="AH75" s="10">
        <v>2</v>
      </c>
      <c r="AI75" s="10">
        <v>6</v>
      </c>
      <c r="AJ75" s="10">
        <v>7</v>
      </c>
      <c r="AK75" s="10">
        <v>3</v>
      </c>
      <c r="AL75" s="10">
        <v>2</v>
      </c>
      <c r="AM75" s="10">
        <v>1</v>
      </c>
      <c r="AN75" s="10">
        <v>5</v>
      </c>
      <c r="AO75" s="10">
        <v>9</v>
      </c>
      <c r="AP75" s="10">
        <v>13</v>
      </c>
      <c r="AQ75" s="10">
        <v>11</v>
      </c>
      <c r="AR75" s="10">
        <v>8</v>
      </c>
      <c r="AS75" s="10">
        <v>19</v>
      </c>
      <c r="AT75" s="10">
        <v>14</v>
      </c>
      <c r="AU75" s="10">
        <v>20</v>
      </c>
      <c r="AV75" s="10">
        <v>14</v>
      </c>
      <c r="AW75" s="10">
        <v>18</v>
      </c>
      <c r="AX75" s="10">
        <v>12</v>
      </c>
      <c r="AY75" s="10">
        <v>11</v>
      </c>
      <c r="AZ75" s="10">
        <v>16</v>
      </c>
      <c r="BA75" s="10">
        <v>10</v>
      </c>
      <c r="BB75" s="10">
        <v>0</v>
      </c>
      <c r="BC75" s="10">
        <v>0</v>
      </c>
      <c r="BD75" s="10">
        <v>0</v>
      </c>
    </row>
    <row r="76" spans="1:56" x14ac:dyDescent="0.35">
      <c r="A76" s="14" t="s">
        <v>68</v>
      </c>
      <c r="B76" s="15">
        <v>4</v>
      </c>
      <c r="C76" s="16">
        <v>5.0244944102499689</v>
      </c>
      <c r="D76" s="15">
        <v>0</v>
      </c>
      <c r="E76" s="15">
        <v>0</v>
      </c>
      <c r="F76" s="15">
        <v>0</v>
      </c>
      <c r="G76" s="15">
        <v>0</v>
      </c>
      <c r="H76" s="15">
        <v>0</v>
      </c>
      <c r="I76" s="15">
        <v>0</v>
      </c>
      <c r="J76" s="15">
        <v>0</v>
      </c>
      <c r="K76" s="15">
        <v>0</v>
      </c>
      <c r="L76" s="15">
        <v>0</v>
      </c>
      <c r="M76" s="15">
        <v>0</v>
      </c>
      <c r="N76" s="15">
        <v>0</v>
      </c>
      <c r="O76" s="15">
        <v>0</v>
      </c>
      <c r="P76" s="15">
        <v>0</v>
      </c>
      <c r="Q76" s="15">
        <v>0</v>
      </c>
      <c r="R76" s="15">
        <v>1</v>
      </c>
      <c r="S76" s="15">
        <v>0</v>
      </c>
      <c r="T76" s="15">
        <v>0</v>
      </c>
      <c r="U76" s="15">
        <v>0</v>
      </c>
      <c r="V76" s="15">
        <v>0</v>
      </c>
      <c r="W76" s="15">
        <v>0</v>
      </c>
      <c r="X76" s="15">
        <v>0</v>
      </c>
      <c r="Y76" s="15">
        <v>0</v>
      </c>
      <c r="Z76" s="15">
        <v>0</v>
      </c>
      <c r="AA76" s="15">
        <v>0</v>
      </c>
      <c r="AB76" s="15">
        <v>0</v>
      </c>
      <c r="AC76" s="15">
        <v>2</v>
      </c>
      <c r="AD76" s="15">
        <v>0</v>
      </c>
      <c r="AE76" s="15">
        <v>0</v>
      </c>
      <c r="AF76" s="15">
        <v>0</v>
      </c>
      <c r="AG76" s="15">
        <v>1</v>
      </c>
      <c r="AH76" s="15">
        <v>0</v>
      </c>
      <c r="AI76" s="15">
        <v>0</v>
      </c>
      <c r="AJ76" s="15">
        <v>0</v>
      </c>
      <c r="AK76" s="15">
        <v>0</v>
      </c>
      <c r="AL76" s="15">
        <v>0</v>
      </c>
      <c r="AM76" s="15">
        <v>0</v>
      </c>
      <c r="AN76" s="15">
        <v>0</v>
      </c>
      <c r="AO76" s="15">
        <v>0</v>
      </c>
      <c r="AP76" s="15">
        <v>0</v>
      </c>
      <c r="AQ76" s="15">
        <v>0</v>
      </c>
      <c r="AR76" s="15">
        <v>0</v>
      </c>
      <c r="AS76" s="15">
        <v>0</v>
      </c>
      <c r="AT76" s="15">
        <v>0</v>
      </c>
      <c r="AU76" s="15">
        <v>0</v>
      </c>
      <c r="AV76" s="15">
        <v>0</v>
      </c>
      <c r="AW76" s="15">
        <v>0</v>
      </c>
      <c r="AX76" s="15">
        <v>0</v>
      </c>
      <c r="AY76" s="15">
        <v>0</v>
      </c>
      <c r="AZ76" s="15">
        <v>0</v>
      </c>
      <c r="BA76" s="15">
        <v>0</v>
      </c>
      <c r="BB76" s="15">
        <v>0</v>
      </c>
      <c r="BC76" s="15">
        <v>0</v>
      </c>
      <c r="BD76" s="15">
        <v>0</v>
      </c>
    </row>
    <row r="77" spans="1:56" x14ac:dyDescent="0.35">
      <c r="A77" s="14" t="s">
        <v>69</v>
      </c>
      <c r="B77" s="15">
        <v>13</v>
      </c>
      <c r="C77" s="16">
        <v>22.56004442593364</v>
      </c>
      <c r="D77" s="15">
        <v>0</v>
      </c>
      <c r="E77" s="15">
        <v>0</v>
      </c>
      <c r="F77" s="15">
        <v>0</v>
      </c>
      <c r="G77" s="15">
        <v>0</v>
      </c>
      <c r="H77" s="15">
        <v>1</v>
      </c>
      <c r="I77" s="15">
        <v>0</v>
      </c>
      <c r="J77" s="15">
        <v>0</v>
      </c>
      <c r="K77" s="15">
        <v>0</v>
      </c>
      <c r="L77" s="15">
        <v>0</v>
      </c>
      <c r="M77" s="15">
        <v>0</v>
      </c>
      <c r="N77" s="15">
        <v>0</v>
      </c>
      <c r="O77" s="15">
        <v>0</v>
      </c>
      <c r="P77" s="15">
        <v>0</v>
      </c>
      <c r="Q77" s="15">
        <v>0</v>
      </c>
      <c r="R77" s="15">
        <v>0</v>
      </c>
      <c r="S77" s="15">
        <v>0</v>
      </c>
      <c r="T77" s="15">
        <v>0</v>
      </c>
      <c r="U77" s="15">
        <v>0</v>
      </c>
      <c r="V77" s="15">
        <v>0</v>
      </c>
      <c r="W77" s="15">
        <v>0</v>
      </c>
      <c r="X77" s="15">
        <v>0</v>
      </c>
      <c r="Y77" s="15">
        <v>0</v>
      </c>
      <c r="Z77" s="15">
        <v>0</v>
      </c>
      <c r="AA77" s="15">
        <v>0</v>
      </c>
      <c r="AB77" s="15">
        <v>0</v>
      </c>
      <c r="AC77" s="15">
        <v>0</v>
      </c>
      <c r="AD77" s="15">
        <v>0</v>
      </c>
      <c r="AE77" s="15">
        <v>0</v>
      </c>
      <c r="AF77" s="15">
        <v>0</v>
      </c>
      <c r="AG77" s="15">
        <v>1</v>
      </c>
      <c r="AH77" s="15">
        <v>1</v>
      </c>
      <c r="AI77" s="15">
        <v>0</v>
      </c>
      <c r="AJ77" s="15">
        <v>1</v>
      </c>
      <c r="AK77" s="15">
        <v>1</v>
      </c>
      <c r="AL77" s="15">
        <v>0</v>
      </c>
      <c r="AM77" s="15">
        <v>0</v>
      </c>
      <c r="AN77" s="15">
        <v>0</v>
      </c>
      <c r="AO77" s="15">
        <v>0</v>
      </c>
      <c r="AP77" s="15">
        <v>0</v>
      </c>
      <c r="AQ77" s="15">
        <v>1</v>
      </c>
      <c r="AR77" s="15">
        <v>0</v>
      </c>
      <c r="AS77" s="15">
        <v>1</v>
      </c>
      <c r="AT77" s="15">
        <v>0</v>
      </c>
      <c r="AU77" s="15">
        <v>2</v>
      </c>
      <c r="AV77" s="15">
        <v>1</v>
      </c>
      <c r="AW77" s="15">
        <v>0</v>
      </c>
      <c r="AX77" s="15">
        <v>0</v>
      </c>
      <c r="AY77" s="15">
        <v>0</v>
      </c>
      <c r="AZ77" s="15">
        <v>0</v>
      </c>
      <c r="BA77" s="15">
        <v>3</v>
      </c>
      <c r="BB77" s="15">
        <v>0</v>
      </c>
      <c r="BC77" s="15">
        <v>0</v>
      </c>
      <c r="BD77" s="15">
        <v>0</v>
      </c>
    </row>
    <row r="78" spans="1:56" x14ac:dyDescent="0.35">
      <c r="A78" s="14" t="s">
        <v>70</v>
      </c>
      <c r="B78" s="15">
        <v>87</v>
      </c>
      <c r="C78" s="16">
        <v>122.047023174906</v>
      </c>
      <c r="D78" s="15">
        <v>1</v>
      </c>
      <c r="E78" s="15">
        <v>0</v>
      </c>
      <c r="F78" s="15">
        <v>0</v>
      </c>
      <c r="G78" s="15">
        <v>0</v>
      </c>
      <c r="H78" s="15">
        <v>0</v>
      </c>
      <c r="I78" s="15">
        <v>0</v>
      </c>
      <c r="J78" s="15">
        <v>0</v>
      </c>
      <c r="K78" s="15">
        <v>0</v>
      </c>
      <c r="L78" s="15">
        <v>0</v>
      </c>
      <c r="M78" s="15">
        <v>0</v>
      </c>
      <c r="N78" s="15">
        <v>0</v>
      </c>
      <c r="O78" s="15">
        <v>0</v>
      </c>
      <c r="P78" s="15">
        <v>0</v>
      </c>
      <c r="Q78" s="15">
        <v>0</v>
      </c>
      <c r="R78" s="15">
        <v>0</v>
      </c>
      <c r="S78" s="15">
        <v>0</v>
      </c>
      <c r="T78" s="15">
        <v>0</v>
      </c>
      <c r="U78" s="15">
        <v>0</v>
      </c>
      <c r="V78" s="15">
        <v>1</v>
      </c>
      <c r="W78" s="15">
        <v>3</v>
      </c>
      <c r="X78" s="15">
        <v>2</v>
      </c>
      <c r="Y78" s="15">
        <v>0</v>
      </c>
      <c r="Z78" s="15">
        <v>1</v>
      </c>
      <c r="AA78" s="15">
        <v>1</v>
      </c>
      <c r="AB78" s="15">
        <v>2</v>
      </c>
      <c r="AC78" s="15">
        <v>1</v>
      </c>
      <c r="AD78" s="15">
        <v>2</v>
      </c>
      <c r="AE78" s="15">
        <v>0</v>
      </c>
      <c r="AF78" s="15">
        <v>0</v>
      </c>
      <c r="AG78" s="15">
        <v>0</v>
      </c>
      <c r="AH78" s="15">
        <v>0</v>
      </c>
      <c r="AI78" s="15">
        <v>0</v>
      </c>
      <c r="AJ78" s="15">
        <v>1</v>
      </c>
      <c r="AK78" s="15">
        <v>0</v>
      </c>
      <c r="AL78" s="15">
        <v>0</v>
      </c>
      <c r="AM78" s="15">
        <v>0</v>
      </c>
      <c r="AN78" s="15">
        <v>2</v>
      </c>
      <c r="AO78" s="15">
        <v>5</v>
      </c>
      <c r="AP78" s="15">
        <v>10</v>
      </c>
      <c r="AQ78" s="15">
        <v>7</v>
      </c>
      <c r="AR78" s="15">
        <v>5</v>
      </c>
      <c r="AS78" s="15">
        <v>3</v>
      </c>
      <c r="AT78" s="15">
        <v>5</v>
      </c>
      <c r="AU78" s="15">
        <v>5</v>
      </c>
      <c r="AV78" s="15">
        <v>3</v>
      </c>
      <c r="AW78" s="15">
        <v>8</v>
      </c>
      <c r="AX78" s="15">
        <v>3</v>
      </c>
      <c r="AY78" s="15">
        <v>3</v>
      </c>
      <c r="AZ78" s="15">
        <v>10</v>
      </c>
      <c r="BA78" s="15">
        <v>3</v>
      </c>
      <c r="BB78" s="15">
        <v>0</v>
      </c>
      <c r="BC78" s="15">
        <v>0</v>
      </c>
      <c r="BD78" s="15">
        <v>0</v>
      </c>
    </row>
    <row r="79" spans="1:56" x14ac:dyDescent="0.35">
      <c r="A79" s="14" t="s">
        <v>71</v>
      </c>
      <c r="B79" s="15">
        <v>39</v>
      </c>
      <c r="C79" s="16">
        <v>156.96059886505415</v>
      </c>
      <c r="D79" s="15">
        <v>0</v>
      </c>
      <c r="E79" s="15">
        <v>0</v>
      </c>
      <c r="F79" s="15">
        <v>0</v>
      </c>
      <c r="G79" s="15">
        <v>0</v>
      </c>
      <c r="H79" s="15">
        <v>0</v>
      </c>
      <c r="I79" s="15">
        <v>0</v>
      </c>
      <c r="J79" s="15">
        <v>0</v>
      </c>
      <c r="K79" s="15">
        <v>0</v>
      </c>
      <c r="L79" s="15">
        <v>0</v>
      </c>
      <c r="M79" s="15">
        <v>0</v>
      </c>
      <c r="N79" s="15">
        <v>0</v>
      </c>
      <c r="O79" s="15">
        <v>1</v>
      </c>
      <c r="P79" s="15">
        <v>0</v>
      </c>
      <c r="Q79" s="15">
        <v>0</v>
      </c>
      <c r="R79" s="15">
        <v>0</v>
      </c>
      <c r="S79" s="15">
        <v>0</v>
      </c>
      <c r="T79" s="15">
        <v>0</v>
      </c>
      <c r="U79" s="15">
        <v>0</v>
      </c>
      <c r="V79" s="15">
        <v>0</v>
      </c>
      <c r="W79" s="15">
        <v>0</v>
      </c>
      <c r="X79" s="15">
        <v>0</v>
      </c>
      <c r="Y79" s="15">
        <v>0</v>
      </c>
      <c r="Z79" s="15">
        <v>0</v>
      </c>
      <c r="AA79" s="15">
        <v>0</v>
      </c>
      <c r="AB79" s="15">
        <v>0</v>
      </c>
      <c r="AC79" s="15">
        <v>1</v>
      </c>
      <c r="AD79" s="15">
        <v>0</v>
      </c>
      <c r="AE79" s="15">
        <v>1</v>
      </c>
      <c r="AF79" s="15">
        <v>0</v>
      </c>
      <c r="AG79" s="15">
        <v>1</v>
      </c>
      <c r="AH79" s="15">
        <v>1</v>
      </c>
      <c r="AI79" s="15">
        <v>5</v>
      </c>
      <c r="AJ79" s="15">
        <v>1</v>
      </c>
      <c r="AK79" s="15">
        <v>0</v>
      </c>
      <c r="AL79" s="15">
        <v>1</v>
      </c>
      <c r="AM79" s="15">
        <v>1</v>
      </c>
      <c r="AN79" s="15">
        <v>1</v>
      </c>
      <c r="AO79" s="15">
        <v>0</v>
      </c>
      <c r="AP79" s="15">
        <v>1</v>
      </c>
      <c r="AQ79" s="15">
        <v>3</v>
      </c>
      <c r="AR79" s="15">
        <v>2</v>
      </c>
      <c r="AS79" s="15">
        <v>7</v>
      </c>
      <c r="AT79" s="15">
        <v>1</v>
      </c>
      <c r="AU79" s="15">
        <v>1</v>
      </c>
      <c r="AV79" s="15">
        <v>3</v>
      </c>
      <c r="AW79" s="15">
        <v>0</v>
      </c>
      <c r="AX79" s="15">
        <v>3</v>
      </c>
      <c r="AY79" s="15">
        <v>1</v>
      </c>
      <c r="AZ79" s="15">
        <v>1</v>
      </c>
      <c r="BA79" s="15">
        <v>2</v>
      </c>
      <c r="BB79" s="15">
        <v>0</v>
      </c>
      <c r="BC79" s="15">
        <v>0</v>
      </c>
      <c r="BD79" s="15">
        <v>0</v>
      </c>
    </row>
    <row r="80" spans="1:56" x14ac:dyDescent="0.35">
      <c r="A80" s="14" t="s">
        <v>72</v>
      </c>
      <c r="B80" s="15">
        <v>14</v>
      </c>
      <c r="C80" s="16">
        <v>29.315688081078818</v>
      </c>
      <c r="D80" s="15">
        <v>0</v>
      </c>
      <c r="E80" s="15">
        <v>0</v>
      </c>
      <c r="F80" s="15">
        <v>0</v>
      </c>
      <c r="G80" s="15">
        <v>0</v>
      </c>
      <c r="H80" s="15">
        <v>0</v>
      </c>
      <c r="I80" s="15">
        <v>0</v>
      </c>
      <c r="J80" s="15">
        <v>0</v>
      </c>
      <c r="K80" s="15">
        <v>0</v>
      </c>
      <c r="L80" s="15">
        <v>0</v>
      </c>
      <c r="M80" s="15">
        <v>0</v>
      </c>
      <c r="N80" s="15">
        <v>0</v>
      </c>
      <c r="O80" s="15">
        <v>0</v>
      </c>
      <c r="P80" s="15">
        <v>0</v>
      </c>
      <c r="Q80" s="15">
        <v>0</v>
      </c>
      <c r="R80" s="15">
        <v>0</v>
      </c>
      <c r="S80" s="15">
        <v>0</v>
      </c>
      <c r="T80" s="15">
        <v>0</v>
      </c>
      <c r="U80" s="15">
        <v>0</v>
      </c>
      <c r="V80" s="15">
        <v>0</v>
      </c>
      <c r="W80" s="15">
        <v>0</v>
      </c>
      <c r="X80" s="15">
        <v>0</v>
      </c>
      <c r="Y80" s="15">
        <v>1</v>
      </c>
      <c r="Z80" s="15">
        <v>0</v>
      </c>
      <c r="AA80" s="15">
        <v>0</v>
      </c>
      <c r="AB80" s="15">
        <v>0</v>
      </c>
      <c r="AC80" s="15">
        <v>2</v>
      </c>
      <c r="AD80" s="15">
        <v>0</v>
      </c>
      <c r="AE80" s="15">
        <v>2</v>
      </c>
      <c r="AF80" s="15">
        <v>0</v>
      </c>
      <c r="AG80" s="15">
        <v>0</v>
      </c>
      <c r="AH80" s="15">
        <v>0</v>
      </c>
      <c r="AI80" s="15">
        <v>0</v>
      </c>
      <c r="AJ80" s="15">
        <v>0</v>
      </c>
      <c r="AK80" s="15">
        <v>0</v>
      </c>
      <c r="AL80" s="15">
        <v>0</v>
      </c>
      <c r="AM80" s="15">
        <v>0</v>
      </c>
      <c r="AN80" s="15">
        <v>1</v>
      </c>
      <c r="AO80" s="15">
        <v>0</v>
      </c>
      <c r="AP80" s="15">
        <v>0</v>
      </c>
      <c r="AQ80" s="15">
        <v>0</v>
      </c>
      <c r="AR80" s="15">
        <v>0</v>
      </c>
      <c r="AS80" s="15">
        <v>1</v>
      </c>
      <c r="AT80" s="15">
        <v>1</v>
      </c>
      <c r="AU80" s="15">
        <v>0</v>
      </c>
      <c r="AV80" s="15">
        <v>1</v>
      </c>
      <c r="AW80" s="15">
        <v>1</v>
      </c>
      <c r="AX80" s="15">
        <v>1</v>
      </c>
      <c r="AY80" s="15">
        <v>2</v>
      </c>
      <c r="AZ80" s="15">
        <v>0</v>
      </c>
      <c r="BA80" s="15">
        <v>1</v>
      </c>
      <c r="BB80" s="15">
        <v>0</v>
      </c>
      <c r="BC80" s="15">
        <v>0</v>
      </c>
      <c r="BD80" s="15">
        <v>0</v>
      </c>
    </row>
    <row r="81" spans="1:56" x14ac:dyDescent="0.35">
      <c r="A81" s="14" t="s">
        <v>73</v>
      </c>
      <c r="B81" s="15">
        <v>51</v>
      </c>
      <c r="C81" s="16">
        <v>152.72661935136108</v>
      </c>
      <c r="D81" s="15">
        <v>0</v>
      </c>
      <c r="E81" s="15">
        <v>0</v>
      </c>
      <c r="F81" s="15">
        <v>0</v>
      </c>
      <c r="G81" s="15">
        <v>1</v>
      </c>
      <c r="H81" s="15">
        <v>0</v>
      </c>
      <c r="I81" s="15">
        <v>0</v>
      </c>
      <c r="J81" s="15">
        <v>0</v>
      </c>
      <c r="K81" s="15">
        <v>0</v>
      </c>
      <c r="L81" s="15">
        <v>0</v>
      </c>
      <c r="M81" s="15">
        <v>0</v>
      </c>
      <c r="N81" s="15">
        <v>0</v>
      </c>
      <c r="O81" s="15">
        <v>2</v>
      </c>
      <c r="P81" s="15">
        <v>0</v>
      </c>
      <c r="Q81" s="15">
        <v>0</v>
      </c>
      <c r="R81" s="15">
        <v>0</v>
      </c>
      <c r="S81" s="15">
        <v>0</v>
      </c>
      <c r="T81" s="15">
        <v>0</v>
      </c>
      <c r="U81" s="15">
        <v>0</v>
      </c>
      <c r="V81" s="15">
        <v>0</v>
      </c>
      <c r="W81" s="15">
        <v>0</v>
      </c>
      <c r="X81" s="15">
        <v>0</v>
      </c>
      <c r="Y81" s="15">
        <v>0</v>
      </c>
      <c r="Z81" s="15">
        <v>0</v>
      </c>
      <c r="AA81" s="15">
        <v>0</v>
      </c>
      <c r="AB81" s="15">
        <v>0</v>
      </c>
      <c r="AC81" s="15">
        <v>0</v>
      </c>
      <c r="AD81" s="15">
        <v>0</v>
      </c>
      <c r="AE81" s="15">
        <v>1</v>
      </c>
      <c r="AF81" s="15">
        <v>0</v>
      </c>
      <c r="AG81" s="15">
        <v>2</v>
      </c>
      <c r="AH81" s="15">
        <v>0</v>
      </c>
      <c r="AI81" s="15">
        <v>0</v>
      </c>
      <c r="AJ81" s="15">
        <v>4</v>
      </c>
      <c r="AK81" s="15">
        <v>1</v>
      </c>
      <c r="AL81" s="15">
        <v>1</v>
      </c>
      <c r="AM81" s="15">
        <v>0</v>
      </c>
      <c r="AN81" s="15">
        <v>0</v>
      </c>
      <c r="AO81" s="15">
        <v>2</v>
      </c>
      <c r="AP81" s="15">
        <v>0</v>
      </c>
      <c r="AQ81" s="15">
        <v>0</v>
      </c>
      <c r="AR81" s="15">
        <v>1</v>
      </c>
      <c r="AS81" s="15">
        <v>7</v>
      </c>
      <c r="AT81" s="15">
        <v>5</v>
      </c>
      <c r="AU81" s="15">
        <v>6</v>
      </c>
      <c r="AV81" s="15">
        <v>5</v>
      </c>
      <c r="AW81" s="15">
        <v>5</v>
      </c>
      <c r="AX81" s="15">
        <v>2</v>
      </c>
      <c r="AY81" s="15">
        <v>3</v>
      </c>
      <c r="AZ81" s="15">
        <v>3</v>
      </c>
      <c r="BA81" s="15">
        <v>0</v>
      </c>
      <c r="BB81" s="15">
        <v>0</v>
      </c>
      <c r="BC81" s="15">
        <v>0</v>
      </c>
      <c r="BD81" s="15">
        <v>0</v>
      </c>
    </row>
    <row r="82" spans="1:56" x14ac:dyDescent="0.35">
      <c r="A82" s="14" t="s">
        <v>74</v>
      </c>
      <c r="B82" s="15">
        <v>6</v>
      </c>
      <c r="C82" s="16">
        <v>29.582881372645698</v>
      </c>
      <c r="D82" s="15">
        <v>0</v>
      </c>
      <c r="E82" s="15">
        <v>0</v>
      </c>
      <c r="F82" s="15">
        <v>0</v>
      </c>
      <c r="G82" s="15">
        <v>0</v>
      </c>
      <c r="H82" s="15">
        <v>0</v>
      </c>
      <c r="I82" s="15">
        <v>0</v>
      </c>
      <c r="J82" s="15">
        <v>0</v>
      </c>
      <c r="K82" s="15">
        <v>0</v>
      </c>
      <c r="L82" s="15">
        <v>0</v>
      </c>
      <c r="M82" s="15">
        <v>0</v>
      </c>
      <c r="N82" s="15">
        <v>0</v>
      </c>
      <c r="O82" s="15">
        <v>0</v>
      </c>
      <c r="P82" s="15">
        <v>0</v>
      </c>
      <c r="Q82" s="15">
        <v>0</v>
      </c>
      <c r="R82" s="15">
        <v>0</v>
      </c>
      <c r="S82" s="15">
        <v>0</v>
      </c>
      <c r="T82" s="15">
        <v>0</v>
      </c>
      <c r="U82" s="15">
        <v>0</v>
      </c>
      <c r="V82" s="15">
        <v>0</v>
      </c>
      <c r="W82" s="15">
        <v>0</v>
      </c>
      <c r="X82" s="15">
        <v>0</v>
      </c>
      <c r="Y82" s="15">
        <v>0</v>
      </c>
      <c r="Z82" s="15">
        <v>0</v>
      </c>
      <c r="AA82" s="15">
        <v>0</v>
      </c>
      <c r="AB82" s="15">
        <v>0</v>
      </c>
      <c r="AC82" s="15">
        <v>0</v>
      </c>
      <c r="AD82" s="15">
        <v>0</v>
      </c>
      <c r="AE82" s="15">
        <v>0</v>
      </c>
      <c r="AF82" s="15">
        <v>0</v>
      </c>
      <c r="AG82" s="15">
        <v>0</v>
      </c>
      <c r="AH82" s="15">
        <v>0</v>
      </c>
      <c r="AI82" s="15">
        <v>0</v>
      </c>
      <c r="AJ82" s="15">
        <v>0</v>
      </c>
      <c r="AK82" s="15">
        <v>1</v>
      </c>
      <c r="AL82" s="15">
        <v>0</v>
      </c>
      <c r="AM82" s="15">
        <v>0</v>
      </c>
      <c r="AN82" s="15">
        <v>0</v>
      </c>
      <c r="AO82" s="15">
        <v>0</v>
      </c>
      <c r="AP82" s="15">
        <v>0</v>
      </c>
      <c r="AQ82" s="15">
        <v>0</v>
      </c>
      <c r="AR82" s="15">
        <v>0</v>
      </c>
      <c r="AS82" s="15">
        <v>0</v>
      </c>
      <c r="AT82" s="15">
        <v>0</v>
      </c>
      <c r="AU82" s="15">
        <v>0</v>
      </c>
      <c r="AV82" s="15">
        <v>0</v>
      </c>
      <c r="AW82" s="15">
        <v>1</v>
      </c>
      <c r="AX82" s="15">
        <v>2</v>
      </c>
      <c r="AY82" s="15">
        <v>1</v>
      </c>
      <c r="AZ82" s="15">
        <v>0</v>
      </c>
      <c r="BA82" s="15">
        <v>1</v>
      </c>
      <c r="BB82" s="15">
        <v>0</v>
      </c>
      <c r="BC82" s="15">
        <v>0</v>
      </c>
      <c r="BD82" s="15">
        <v>0</v>
      </c>
    </row>
    <row r="83" spans="1:56" x14ac:dyDescent="0.35">
      <c r="A83" s="14" t="s">
        <v>75</v>
      </c>
      <c r="B83" s="15">
        <v>3</v>
      </c>
      <c r="C83" s="16">
        <v>13.646288209606986</v>
      </c>
      <c r="D83" s="15">
        <v>0</v>
      </c>
      <c r="E83" s="15">
        <v>0</v>
      </c>
      <c r="F83" s="15">
        <v>0</v>
      </c>
      <c r="G83" s="15">
        <v>0</v>
      </c>
      <c r="H83" s="15">
        <v>0</v>
      </c>
      <c r="I83" s="15">
        <v>1</v>
      </c>
      <c r="J83" s="15">
        <v>0</v>
      </c>
      <c r="K83" s="15">
        <v>0</v>
      </c>
      <c r="L83" s="15">
        <v>0</v>
      </c>
      <c r="M83" s="15">
        <v>0</v>
      </c>
      <c r="N83" s="15">
        <v>0</v>
      </c>
      <c r="O83" s="15">
        <v>0</v>
      </c>
      <c r="P83" s="15">
        <v>0</v>
      </c>
      <c r="Q83" s="15">
        <v>0</v>
      </c>
      <c r="R83" s="15">
        <v>0</v>
      </c>
      <c r="S83" s="15">
        <v>0</v>
      </c>
      <c r="T83" s="15">
        <v>0</v>
      </c>
      <c r="U83" s="15">
        <v>0</v>
      </c>
      <c r="V83" s="15">
        <v>0</v>
      </c>
      <c r="W83" s="15">
        <v>0</v>
      </c>
      <c r="X83" s="15">
        <v>0</v>
      </c>
      <c r="Y83" s="15">
        <v>0</v>
      </c>
      <c r="Z83" s="15">
        <v>0</v>
      </c>
      <c r="AA83" s="15">
        <v>0</v>
      </c>
      <c r="AB83" s="15">
        <v>1</v>
      </c>
      <c r="AC83" s="15">
        <v>0</v>
      </c>
      <c r="AD83" s="15">
        <v>0</v>
      </c>
      <c r="AE83" s="15">
        <v>0</v>
      </c>
      <c r="AF83" s="15">
        <v>0</v>
      </c>
      <c r="AG83" s="15">
        <v>0</v>
      </c>
      <c r="AH83" s="15">
        <v>0</v>
      </c>
      <c r="AI83" s="15">
        <v>0</v>
      </c>
      <c r="AJ83" s="15">
        <v>0</v>
      </c>
      <c r="AK83" s="15">
        <v>0</v>
      </c>
      <c r="AL83" s="15">
        <v>0</v>
      </c>
      <c r="AM83" s="15">
        <v>0</v>
      </c>
      <c r="AN83" s="15">
        <v>0</v>
      </c>
      <c r="AO83" s="15">
        <v>0</v>
      </c>
      <c r="AP83" s="15">
        <v>0</v>
      </c>
      <c r="AQ83" s="15">
        <v>0</v>
      </c>
      <c r="AR83" s="15">
        <v>0</v>
      </c>
      <c r="AS83" s="15">
        <v>0</v>
      </c>
      <c r="AT83" s="15">
        <v>0</v>
      </c>
      <c r="AU83" s="15">
        <v>0</v>
      </c>
      <c r="AV83" s="15">
        <v>0</v>
      </c>
      <c r="AW83" s="15">
        <v>0</v>
      </c>
      <c r="AX83" s="15">
        <v>0</v>
      </c>
      <c r="AY83" s="15">
        <v>1</v>
      </c>
      <c r="AZ83" s="15">
        <v>0</v>
      </c>
      <c r="BA83" s="15">
        <v>0</v>
      </c>
      <c r="BB83" s="15">
        <v>0</v>
      </c>
      <c r="BC83" s="15">
        <v>0</v>
      </c>
      <c r="BD83" s="15">
        <v>0</v>
      </c>
    </row>
    <row r="84" spans="1:56" x14ac:dyDescent="0.35">
      <c r="A84" s="14" t="s">
        <v>76</v>
      </c>
      <c r="B84" s="15">
        <v>3</v>
      </c>
      <c r="C84" s="16">
        <v>25.342118601115054</v>
      </c>
      <c r="D84" s="15">
        <v>0</v>
      </c>
      <c r="E84" s="15">
        <v>0</v>
      </c>
      <c r="F84" s="15">
        <v>0</v>
      </c>
      <c r="G84" s="15">
        <v>0</v>
      </c>
      <c r="H84" s="15">
        <v>0</v>
      </c>
      <c r="I84" s="15">
        <v>0</v>
      </c>
      <c r="J84" s="15">
        <v>0</v>
      </c>
      <c r="K84" s="15">
        <v>0</v>
      </c>
      <c r="L84" s="15">
        <v>0</v>
      </c>
      <c r="M84" s="15">
        <v>0</v>
      </c>
      <c r="N84" s="15">
        <v>0</v>
      </c>
      <c r="O84" s="15">
        <v>0</v>
      </c>
      <c r="P84" s="15">
        <v>0</v>
      </c>
      <c r="Q84" s="15">
        <v>0</v>
      </c>
      <c r="R84" s="15">
        <v>0</v>
      </c>
      <c r="S84" s="15">
        <v>0</v>
      </c>
      <c r="T84" s="15">
        <v>0</v>
      </c>
      <c r="U84" s="15">
        <v>0</v>
      </c>
      <c r="V84" s="15">
        <v>0</v>
      </c>
      <c r="W84" s="15">
        <v>0</v>
      </c>
      <c r="X84" s="15">
        <v>0</v>
      </c>
      <c r="Y84" s="15">
        <v>0</v>
      </c>
      <c r="Z84" s="15">
        <v>0</v>
      </c>
      <c r="AA84" s="15">
        <v>0</v>
      </c>
      <c r="AB84" s="15">
        <v>0</v>
      </c>
      <c r="AC84" s="15">
        <v>0</v>
      </c>
      <c r="AD84" s="15">
        <v>0</v>
      </c>
      <c r="AE84" s="15">
        <v>0</v>
      </c>
      <c r="AF84" s="15">
        <v>0</v>
      </c>
      <c r="AG84" s="15">
        <v>1</v>
      </c>
      <c r="AH84" s="15">
        <v>0</v>
      </c>
      <c r="AI84" s="15">
        <v>1</v>
      </c>
      <c r="AJ84" s="15">
        <v>0</v>
      </c>
      <c r="AK84" s="15">
        <v>0</v>
      </c>
      <c r="AL84" s="15">
        <v>0</v>
      </c>
      <c r="AM84" s="15">
        <v>0</v>
      </c>
      <c r="AN84" s="15">
        <v>0</v>
      </c>
      <c r="AO84" s="15">
        <v>0</v>
      </c>
      <c r="AP84" s="15">
        <v>1</v>
      </c>
      <c r="AQ84" s="15">
        <v>0</v>
      </c>
      <c r="AR84" s="15">
        <v>0</v>
      </c>
      <c r="AS84" s="15">
        <v>0</v>
      </c>
      <c r="AT84" s="15">
        <v>0</v>
      </c>
      <c r="AU84" s="15">
        <v>0</v>
      </c>
      <c r="AV84" s="15">
        <v>0</v>
      </c>
      <c r="AW84" s="15">
        <v>0</v>
      </c>
      <c r="AX84" s="15">
        <v>0</v>
      </c>
      <c r="AY84" s="15">
        <v>0</v>
      </c>
      <c r="AZ84" s="15">
        <v>0</v>
      </c>
      <c r="BA84" s="15">
        <v>0</v>
      </c>
      <c r="BB84" s="15">
        <v>0</v>
      </c>
      <c r="BC84" s="15">
        <v>0</v>
      </c>
      <c r="BD84" s="15">
        <v>0</v>
      </c>
    </row>
    <row r="85" spans="1:56" x14ac:dyDescent="0.35">
      <c r="A85" s="14" t="s">
        <v>77</v>
      </c>
      <c r="B85" s="15">
        <v>11</v>
      </c>
      <c r="C85" s="16">
        <v>39.186348901001033</v>
      </c>
      <c r="D85" s="15">
        <v>0</v>
      </c>
      <c r="E85" s="15">
        <v>0</v>
      </c>
      <c r="F85" s="15">
        <v>0</v>
      </c>
      <c r="G85" s="15">
        <v>0</v>
      </c>
      <c r="H85" s="15">
        <v>0</v>
      </c>
      <c r="I85" s="15">
        <v>0</v>
      </c>
      <c r="J85" s="15">
        <v>0</v>
      </c>
      <c r="K85" s="15">
        <v>0</v>
      </c>
      <c r="L85" s="15">
        <v>0</v>
      </c>
      <c r="M85" s="15">
        <v>0</v>
      </c>
      <c r="N85" s="15">
        <v>0</v>
      </c>
      <c r="O85" s="15">
        <v>0</v>
      </c>
      <c r="P85" s="15">
        <v>0</v>
      </c>
      <c r="Q85" s="15">
        <v>0</v>
      </c>
      <c r="R85" s="15">
        <v>0</v>
      </c>
      <c r="S85" s="15">
        <v>0</v>
      </c>
      <c r="T85" s="15">
        <v>0</v>
      </c>
      <c r="U85" s="15">
        <v>0</v>
      </c>
      <c r="V85" s="15">
        <v>0</v>
      </c>
      <c r="W85" s="15">
        <v>0</v>
      </c>
      <c r="X85" s="15">
        <v>0</v>
      </c>
      <c r="Y85" s="15">
        <v>1</v>
      </c>
      <c r="Z85" s="15">
        <v>1</v>
      </c>
      <c r="AA85" s="15">
        <v>2</v>
      </c>
      <c r="AB85" s="15">
        <v>0</v>
      </c>
      <c r="AC85" s="15">
        <v>0</v>
      </c>
      <c r="AD85" s="15">
        <v>1</v>
      </c>
      <c r="AE85" s="15">
        <v>0</v>
      </c>
      <c r="AF85" s="15">
        <v>0</v>
      </c>
      <c r="AG85" s="15">
        <v>0</v>
      </c>
      <c r="AH85" s="15">
        <v>0</v>
      </c>
      <c r="AI85" s="15">
        <v>0</v>
      </c>
      <c r="AJ85" s="15">
        <v>0</v>
      </c>
      <c r="AK85" s="15">
        <v>0</v>
      </c>
      <c r="AL85" s="15">
        <v>0</v>
      </c>
      <c r="AM85" s="15">
        <v>0</v>
      </c>
      <c r="AN85" s="15">
        <v>1</v>
      </c>
      <c r="AO85" s="15">
        <v>1</v>
      </c>
      <c r="AP85" s="15">
        <v>0</v>
      </c>
      <c r="AQ85" s="15">
        <v>0</v>
      </c>
      <c r="AR85" s="15">
        <v>0</v>
      </c>
      <c r="AS85" s="15">
        <v>0</v>
      </c>
      <c r="AT85" s="15">
        <v>1</v>
      </c>
      <c r="AU85" s="15">
        <v>1</v>
      </c>
      <c r="AV85" s="15">
        <v>0</v>
      </c>
      <c r="AW85" s="15">
        <v>2</v>
      </c>
      <c r="AX85" s="15">
        <v>0</v>
      </c>
      <c r="AY85" s="15">
        <v>0</v>
      </c>
      <c r="AZ85" s="15">
        <v>0</v>
      </c>
      <c r="BA85" s="15">
        <v>0</v>
      </c>
      <c r="BB85" s="15">
        <v>0</v>
      </c>
      <c r="BC85" s="15">
        <v>0</v>
      </c>
      <c r="BD85" s="15">
        <v>0</v>
      </c>
    </row>
    <row r="86" spans="1:56" x14ac:dyDescent="0.35">
      <c r="A86" s="14" t="s">
        <v>78</v>
      </c>
      <c r="B86" s="15">
        <v>17</v>
      </c>
      <c r="C86" s="16">
        <v>210.26592455163882</v>
      </c>
      <c r="D86" s="15">
        <v>0</v>
      </c>
      <c r="E86" s="15">
        <v>0</v>
      </c>
      <c r="F86" s="15">
        <v>0</v>
      </c>
      <c r="G86" s="15">
        <v>0</v>
      </c>
      <c r="H86" s="15">
        <v>0</v>
      </c>
      <c r="I86" s="15">
        <v>0</v>
      </c>
      <c r="J86" s="15">
        <v>0</v>
      </c>
      <c r="K86" s="15">
        <v>0</v>
      </c>
      <c r="L86" s="15">
        <v>0</v>
      </c>
      <c r="M86" s="15">
        <v>0</v>
      </c>
      <c r="N86" s="15">
        <v>0</v>
      </c>
      <c r="O86" s="15">
        <v>0</v>
      </c>
      <c r="P86" s="15">
        <v>0</v>
      </c>
      <c r="Q86" s="15">
        <v>0</v>
      </c>
      <c r="R86" s="15">
        <v>0</v>
      </c>
      <c r="S86" s="15">
        <v>2</v>
      </c>
      <c r="T86" s="15">
        <v>0</v>
      </c>
      <c r="U86" s="15">
        <v>0</v>
      </c>
      <c r="V86" s="15">
        <v>0</v>
      </c>
      <c r="W86" s="15">
        <v>0</v>
      </c>
      <c r="X86" s="15">
        <v>0</v>
      </c>
      <c r="Y86" s="15">
        <v>0</v>
      </c>
      <c r="Z86" s="15">
        <v>0</v>
      </c>
      <c r="AA86" s="15">
        <v>0</v>
      </c>
      <c r="AB86" s="15">
        <v>0</v>
      </c>
      <c r="AC86" s="15">
        <v>0</v>
      </c>
      <c r="AD86" s="15">
        <v>1</v>
      </c>
      <c r="AE86" s="15">
        <v>1</v>
      </c>
      <c r="AF86" s="15">
        <v>0</v>
      </c>
      <c r="AG86" s="15">
        <v>0</v>
      </c>
      <c r="AH86" s="15">
        <v>0</v>
      </c>
      <c r="AI86" s="15">
        <v>0</v>
      </c>
      <c r="AJ86" s="15">
        <v>0</v>
      </c>
      <c r="AK86" s="15">
        <v>0</v>
      </c>
      <c r="AL86" s="15">
        <v>0</v>
      </c>
      <c r="AM86" s="15">
        <v>0</v>
      </c>
      <c r="AN86" s="15">
        <v>0</v>
      </c>
      <c r="AO86" s="15">
        <v>1</v>
      </c>
      <c r="AP86" s="15">
        <v>1</v>
      </c>
      <c r="AQ86" s="15">
        <v>0</v>
      </c>
      <c r="AR86" s="15">
        <v>0</v>
      </c>
      <c r="AS86" s="15">
        <v>0</v>
      </c>
      <c r="AT86" s="15">
        <v>1</v>
      </c>
      <c r="AU86" s="15">
        <v>5</v>
      </c>
      <c r="AV86" s="15">
        <v>1</v>
      </c>
      <c r="AW86" s="15">
        <v>1</v>
      </c>
      <c r="AX86" s="15">
        <v>1</v>
      </c>
      <c r="AY86" s="15">
        <v>0</v>
      </c>
      <c r="AZ86" s="15">
        <v>2</v>
      </c>
      <c r="BA86" s="15">
        <v>0</v>
      </c>
      <c r="BB86" s="15">
        <v>0</v>
      </c>
      <c r="BC86" s="15">
        <v>0</v>
      </c>
      <c r="BD86" s="15">
        <v>0</v>
      </c>
    </row>
    <row r="87" spans="1:56" x14ac:dyDescent="0.35">
      <c r="A87" s="14"/>
      <c r="B87" s="12"/>
      <c r="C87" s="13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</row>
    <row r="88" spans="1:56" x14ac:dyDescent="0.35">
      <c r="A88" s="1" t="s">
        <v>79</v>
      </c>
      <c r="B88" s="10">
        <v>333</v>
      </c>
      <c r="C88" s="11">
        <v>65.221734310549465</v>
      </c>
      <c r="D88" s="10">
        <v>9</v>
      </c>
      <c r="E88" s="10">
        <v>7</v>
      </c>
      <c r="F88" s="10">
        <v>5</v>
      </c>
      <c r="G88" s="10">
        <v>1</v>
      </c>
      <c r="H88" s="10">
        <v>1</v>
      </c>
      <c r="I88" s="10">
        <v>6</v>
      </c>
      <c r="J88" s="10">
        <v>2</v>
      </c>
      <c r="K88" s="10">
        <v>1</v>
      </c>
      <c r="L88" s="10">
        <v>3</v>
      </c>
      <c r="M88" s="10">
        <v>5</v>
      </c>
      <c r="N88" s="10">
        <v>4</v>
      </c>
      <c r="O88" s="10">
        <v>5</v>
      </c>
      <c r="P88" s="10">
        <v>0</v>
      </c>
      <c r="Q88" s="10">
        <v>2</v>
      </c>
      <c r="R88" s="10">
        <v>3</v>
      </c>
      <c r="S88" s="10">
        <v>1</v>
      </c>
      <c r="T88" s="10">
        <v>1</v>
      </c>
      <c r="U88" s="10">
        <v>2</v>
      </c>
      <c r="V88" s="10">
        <v>3</v>
      </c>
      <c r="W88" s="10">
        <v>4</v>
      </c>
      <c r="X88" s="10">
        <v>2</v>
      </c>
      <c r="Y88" s="10">
        <v>9</v>
      </c>
      <c r="Z88" s="10">
        <v>13</v>
      </c>
      <c r="AA88" s="10">
        <v>12</v>
      </c>
      <c r="AB88" s="10">
        <v>9</v>
      </c>
      <c r="AC88" s="10">
        <v>17</v>
      </c>
      <c r="AD88" s="10">
        <v>18</v>
      </c>
      <c r="AE88" s="10">
        <v>11</v>
      </c>
      <c r="AF88" s="10">
        <v>5</v>
      </c>
      <c r="AG88" s="10">
        <v>8</v>
      </c>
      <c r="AH88" s="10">
        <v>3</v>
      </c>
      <c r="AI88" s="10">
        <v>4</v>
      </c>
      <c r="AJ88" s="10">
        <v>3</v>
      </c>
      <c r="AK88" s="10">
        <v>5</v>
      </c>
      <c r="AL88" s="10">
        <v>6</v>
      </c>
      <c r="AM88" s="10">
        <v>11</v>
      </c>
      <c r="AN88" s="10">
        <v>7</v>
      </c>
      <c r="AO88" s="10">
        <v>8</v>
      </c>
      <c r="AP88" s="10">
        <v>10</v>
      </c>
      <c r="AQ88" s="10">
        <v>10</v>
      </c>
      <c r="AR88" s="10">
        <v>12</v>
      </c>
      <c r="AS88" s="10">
        <v>10</v>
      </c>
      <c r="AT88" s="10">
        <v>14</v>
      </c>
      <c r="AU88" s="10">
        <v>8</v>
      </c>
      <c r="AV88" s="10">
        <v>5</v>
      </c>
      <c r="AW88" s="10">
        <v>3</v>
      </c>
      <c r="AX88" s="10">
        <v>10</v>
      </c>
      <c r="AY88" s="10">
        <v>11</v>
      </c>
      <c r="AZ88" s="10">
        <v>8</v>
      </c>
      <c r="BA88" s="10">
        <v>6</v>
      </c>
      <c r="BB88" s="10">
        <v>10</v>
      </c>
      <c r="BC88" s="10">
        <v>0</v>
      </c>
      <c r="BD88" s="10">
        <v>0</v>
      </c>
    </row>
    <row r="89" spans="1:56" x14ac:dyDescent="0.35">
      <c r="A89" s="14" t="s">
        <v>80</v>
      </c>
      <c r="B89" s="15">
        <v>141</v>
      </c>
      <c r="C89" s="16">
        <v>98.001737619461338</v>
      </c>
      <c r="D89" s="15">
        <v>4</v>
      </c>
      <c r="E89" s="15">
        <v>4</v>
      </c>
      <c r="F89" s="15">
        <v>1</v>
      </c>
      <c r="G89" s="15">
        <v>1</v>
      </c>
      <c r="H89" s="15">
        <v>1</v>
      </c>
      <c r="I89" s="15">
        <v>4</v>
      </c>
      <c r="J89" s="15">
        <v>0</v>
      </c>
      <c r="K89" s="15">
        <v>0</v>
      </c>
      <c r="L89" s="15">
        <v>1</v>
      </c>
      <c r="M89" s="15">
        <v>1</v>
      </c>
      <c r="N89" s="15">
        <v>1</v>
      </c>
      <c r="O89" s="15">
        <v>2</v>
      </c>
      <c r="P89" s="15">
        <v>0</v>
      </c>
      <c r="Q89" s="15">
        <v>1</v>
      </c>
      <c r="R89" s="15">
        <v>0</v>
      </c>
      <c r="S89" s="15">
        <v>0</v>
      </c>
      <c r="T89" s="15">
        <v>0</v>
      </c>
      <c r="U89" s="15">
        <v>1</v>
      </c>
      <c r="V89" s="15">
        <v>1</v>
      </c>
      <c r="W89" s="15">
        <v>1</v>
      </c>
      <c r="X89" s="15">
        <v>1</v>
      </c>
      <c r="Y89" s="15">
        <v>5</v>
      </c>
      <c r="Z89" s="15">
        <v>11</v>
      </c>
      <c r="AA89" s="15">
        <v>11</v>
      </c>
      <c r="AB89" s="15">
        <v>6</v>
      </c>
      <c r="AC89" s="15">
        <v>10</v>
      </c>
      <c r="AD89" s="15">
        <v>6</v>
      </c>
      <c r="AE89" s="15">
        <v>5</v>
      </c>
      <c r="AF89" s="15">
        <v>2</v>
      </c>
      <c r="AG89" s="15">
        <v>0</v>
      </c>
      <c r="AH89" s="15">
        <v>0</v>
      </c>
      <c r="AI89" s="15">
        <v>2</v>
      </c>
      <c r="AJ89" s="15">
        <v>1</v>
      </c>
      <c r="AK89" s="15">
        <v>2</v>
      </c>
      <c r="AL89" s="15">
        <v>1</v>
      </c>
      <c r="AM89" s="15">
        <v>2</v>
      </c>
      <c r="AN89" s="15">
        <v>2</v>
      </c>
      <c r="AO89" s="15">
        <v>4</v>
      </c>
      <c r="AP89" s="15">
        <v>3</v>
      </c>
      <c r="AQ89" s="15">
        <v>3</v>
      </c>
      <c r="AR89" s="15">
        <v>3</v>
      </c>
      <c r="AS89" s="15">
        <v>3</v>
      </c>
      <c r="AT89" s="15">
        <v>6</v>
      </c>
      <c r="AU89" s="15">
        <v>3</v>
      </c>
      <c r="AV89" s="15">
        <v>0</v>
      </c>
      <c r="AW89" s="15">
        <v>2</v>
      </c>
      <c r="AX89" s="15">
        <v>7</v>
      </c>
      <c r="AY89" s="15">
        <v>4</v>
      </c>
      <c r="AZ89" s="15">
        <v>4</v>
      </c>
      <c r="BA89" s="15">
        <v>2</v>
      </c>
      <c r="BB89" s="15">
        <v>6</v>
      </c>
      <c r="BC89" s="15">
        <v>0</v>
      </c>
      <c r="BD89" s="15">
        <v>0</v>
      </c>
    </row>
    <row r="90" spans="1:56" x14ac:dyDescent="0.35">
      <c r="A90" s="14" t="s">
        <v>81</v>
      </c>
      <c r="B90" s="15">
        <v>22</v>
      </c>
      <c r="C90" s="16">
        <v>56.059525022933443</v>
      </c>
      <c r="D90" s="15">
        <v>1</v>
      </c>
      <c r="E90" s="15">
        <v>2</v>
      </c>
      <c r="F90" s="15">
        <v>1</v>
      </c>
      <c r="G90" s="15">
        <v>0</v>
      </c>
      <c r="H90" s="15">
        <v>0</v>
      </c>
      <c r="I90" s="15">
        <v>1</v>
      </c>
      <c r="J90" s="15">
        <v>1</v>
      </c>
      <c r="K90" s="15">
        <v>1</v>
      </c>
      <c r="L90" s="15">
        <v>1</v>
      </c>
      <c r="M90" s="15">
        <v>2</v>
      </c>
      <c r="N90" s="15">
        <v>0</v>
      </c>
      <c r="O90" s="15">
        <v>1</v>
      </c>
      <c r="P90" s="15">
        <v>0</v>
      </c>
      <c r="Q90" s="15">
        <v>0</v>
      </c>
      <c r="R90" s="15">
        <v>0</v>
      </c>
      <c r="S90" s="15">
        <v>1</v>
      </c>
      <c r="T90" s="15">
        <v>0</v>
      </c>
      <c r="U90" s="15">
        <v>0</v>
      </c>
      <c r="V90" s="15">
        <v>0</v>
      </c>
      <c r="W90" s="15">
        <v>0</v>
      </c>
      <c r="X90" s="15">
        <v>1</v>
      </c>
      <c r="Y90" s="15">
        <v>0</v>
      </c>
      <c r="Z90" s="15">
        <v>0</v>
      </c>
      <c r="AA90" s="15">
        <v>0</v>
      </c>
      <c r="AB90" s="15">
        <v>0</v>
      </c>
      <c r="AC90" s="15">
        <v>1</v>
      </c>
      <c r="AD90" s="15">
        <v>1</v>
      </c>
      <c r="AE90" s="15">
        <v>0</v>
      </c>
      <c r="AF90" s="15">
        <v>1</v>
      </c>
      <c r="AG90" s="15">
        <v>1</v>
      </c>
      <c r="AH90" s="15">
        <v>0</v>
      </c>
      <c r="AI90" s="15">
        <v>0</v>
      </c>
      <c r="AJ90" s="15">
        <v>0</v>
      </c>
      <c r="AK90" s="15">
        <v>2</v>
      </c>
      <c r="AL90" s="15">
        <v>0</v>
      </c>
      <c r="AM90" s="15">
        <v>0</v>
      </c>
      <c r="AN90" s="15">
        <v>0</v>
      </c>
      <c r="AO90" s="15">
        <v>0</v>
      </c>
      <c r="AP90" s="15">
        <v>0</v>
      </c>
      <c r="AQ90" s="15">
        <v>0</v>
      </c>
      <c r="AR90" s="15">
        <v>0</v>
      </c>
      <c r="AS90" s="15">
        <v>1</v>
      </c>
      <c r="AT90" s="15">
        <v>1</v>
      </c>
      <c r="AU90" s="15">
        <v>0</v>
      </c>
      <c r="AV90" s="15">
        <v>0</v>
      </c>
      <c r="AW90" s="15">
        <v>0</v>
      </c>
      <c r="AX90" s="15">
        <v>0</v>
      </c>
      <c r="AY90" s="15">
        <v>1</v>
      </c>
      <c r="AZ90" s="15">
        <v>0</v>
      </c>
      <c r="BA90" s="15">
        <v>0</v>
      </c>
      <c r="BB90" s="15">
        <v>0</v>
      </c>
      <c r="BC90" s="15">
        <v>0</v>
      </c>
      <c r="BD90" s="15">
        <v>0</v>
      </c>
    </row>
    <row r="91" spans="1:56" x14ac:dyDescent="0.35">
      <c r="A91" s="14" t="s">
        <v>82</v>
      </c>
      <c r="B91" s="15">
        <v>5</v>
      </c>
      <c r="C91" s="16">
        <v>9.1270855390456713</v>
      </c>
      <c r="D91" s="15">
        <v>0</v>
      </c>
      <c r="E91" s="15">
        <v>0</v>
      </c>
      <c r="F91" s="15">
        <v>0</v>
      </c>
      <c r="G91" s="15">
        <v>0</v>
      </c>
      <c r="H91" s="15">
        <v>0</v>
      </c>
      <c r="I91" s="15">
        <v>0</v>
      </c>
      <c r="J91" s="15">
        <v>0</v>
      </c>
      <c r="K91" s="15">
        <v>0</v>
      </c>
      <c r="L91" s="15">
        <v>0</v>
      </c>
      <c r="M91" s="15">
        <v>0</v>
      </c>
      <c r="N91" s="15">
        <v>0</v>
      </c>
      <c r="O91" s="15">
        <v>0</v>
      </c>
      <c r="P91" s="15">
        <v>0</v>
      </c>
      <c r="Q91" s="15">
        <v>0</v>
      </c>
      <c r="R91" s="15">
        <v>0</v>
      </c>
      <c r="S91" s="15">
        <v>0</v>
      </c>
      <c r="T91" s="15">
        <v>0</v>
      </c>
      <c r="U91" s="15">
        <v>0</v>
      </c>
      <c r="V91" s="15">
        <v>0</v>
      </c>
      <c r="W91" s="15">
        <v>0</v>
      </c>
      <c r="X91" s="15">
        <v>0</v>
      </c>
      <c r="Y91" s="15">
        <v>0</v>
      </c>
      <c r="Z91" s="15">
        <v>0</v>
      </c>
      <c r="AA91" s="15">
        <v>0</v>
      </c>
      <c r="AB91" s="15">
        <v>0</v>
      </c>
      <c r="AC91" s="15">
        <v>0</v>
      </c>
      <c r="AD91" s="15">
        <v>0</v>
      </c>
      <c r="AE91" s="15">
        <v>1</v>
      </c>
      <c r="AF91" s="15">
        <v>0</v>
      </c>
      <c r="AG91" s="15">
        <v>0</v>
      </c>
      <c r="AH91" s="15">
        <v>1</v>
      </c>
      <c r="AI91" s="15">
        <v>0</v>
      </c>
      <c r="AJ91" s="15">
        <v>0</v>
      </c>
      <c r="AK91" s="15">
        <v>0</v>
      </c>
      <c r="AL91" s="15">
        <v>0</v>
      </c>
      <c r="AM91" s="15">
        <v>0</v>
      </c>
      <c r="AN91" s="15">
        <v>0</v>
      </c>
      <c r="AO91" s="15">
        <v>0</v>
      </c>
      <c r="AP91" s="15">
        <v>1</v>
      </c>
      <c r="AQ91" s="15">
        <v>0</v>
      </c>
      <c r="AR91" s="15">
        <v>0</v>
      </c>
      <c r="AS91" s="15">
        <v>0</v>
      </c>
      <c r="AT91" s="15">
        <v>0</v>
      </c>
      <c r="AU91" s="15">
        <v>0</v>
      </c>
      <c r="AV91" s="15">
        <v>0</v>
      </c>
      <c r="AW91" s="15">
        <v>0</v>
      </c>
      <c r="AX91" s="15">
        <v>0</v>
      </c>
      <c r="AY91" s="15">
        <v>0</v>
      </c>
      <c r="AZ91" s="15">
        <v>0</v>
      </c>
      <c r="BA91" s="15">
        <v>2</v>
      </c>
      <c r="BB91" s="15">
        <v>0</v>
      </c>
      <c r="BC91" s="15">
        <v>0</v>
      </c>
      <c r="BD91" s="15">
        <v>0</v>
      </c>
    </row>
    <row r="92" spans="1:56" x14ac:dyDescent="0.35">
      <c r="A92" s="14" t="s">
        <v>83</v>
      </c>
      <c r="B92" s="15">
        <v>8</v>
      </c>
      <c r="C92" s="16">
        <v>54.84335367107699</v>
      </c>
      <c r="D92" s="15">
        <v>0</v>
      </c>
      <c r="E92" s="15">
        <v>0</v>
      </c>
      <c r="F92" s="15">
        <v>0</v>
      </c>
      <c r="G92" s="15">
        <v>0</v>
      </c>
      <c r="H92" s="15">
        <v>0</v>
      </c>
      <c r="I92" s="15">
        <v>0</v>
      </c>
      <c r="J92" s="15">
        <v>0</v>
      </c>
      <c r="K92" s="15">
        <v>0</v>
      </c>
      <c r="L92" s="15">
        <v>0</v>
      </c>
      <c r="M92" s="15">
        <v>0</v>
      </c>
      <c r="N92" s="15">
        <v>0</v>
      </c>
      <c r="O92" s="15">
        <v>0</v>
      </c>
      <c r="P92" s="15">
        <v>0</v>
      </c>
      <c r="Q92" s="15">
        <v>1</v>
      </c>
      <c r="R92" s="15">
        <v>0</v>
      </c>
      <c r="S92" s="15">
        <v>0</v>
      </c>
      <c r="T92" s="15">
        <v>0</v>
      </c>
      <c r="U92" s="15">
        <v>0</v>
      </c>
      <c r="V92" s="15">
        <v>0</v>
      </c>
      <c r="W92" s="15">
        <v>0</v>
      </c>
      <c r="X92" s="15">
        <v>0</v>
      </c>
      <c r="Y92" s="15">
        <v>0</v>
      </c>
      <c r="Z92" s="15">
        <v>0</v>
      </c>
      <c r="AA92" s="15">
        <v>0</v>
      </c>
      <c r="AB92" s="15">
        <v>0</v>
      </c>
      <c r="AC92" s="15">
        <v>0</v>
      </c>
      <c r="AD92" s="15">
        <v>0</v>
      </c>
      <c r="AE92" s="15">
        <v>0</v>
      </c>
      <c r="AF92" s="15">
        <v>0</v>
      </c>
      <c r="AG92" s="15">
        <v>0</v>
      </c>
      <c r="AH92" s="15">
        <v>0</v>
      </c>
      <c r="AI92" s="15">
        <v>0</v>
      </c>
      <c r="AJ92" s="15">
        <v>0</v>
      </c>
      <c r="AK92" s="15">
        <v>0</v>
      </c>
      <c r="AL92" s="15">
        <v>0</v>
      </c>
      <c r="AM92" s="15">
        <v>0</v>
      </c>
      <c r="AN92" s="15">
        <v>2</v>
      </c>
      <c r="AO92" s="15">
        <v>1</v>
      </c>
      <c r="AP92" s="15">
        <v>0</v>
      </c>
      <c r="AQ92" s="15">
        <v>1</v>
      </c>
      <c r="AR92" s="15">
        <v>0</v>
      </c>
      <c r="AS92" s="15">
        <v>0</v>
      </c>
      <c r="AT92" s="15">
        <v>2</v>
      </c>
      <c r="AU92" s="15">
        <v>0</v>
      </c>
      <c r="AV92" s="15">
        <v>1</v>
      </c>
      <c r="AW92" s="15">
        <v>0</v>
      </c>
      <c r="AX92" s="15">
        <v>0</v>
      </c>
      <c r="AY92" s="15">
        <v>0</v>
      </c>
      <c r="AZ92" s="15">
        <v>0</v>
      </c>
      <c r="BA92" s="15">
        <v>0</v>
      </c>
      <c r="BB92" s="15">
        <v>0</v>
      </c>
      <c r="BC92" s="15">
        <v>0</v>
      </c>
      <c r="BD92" s="15">
        <v>0</v>
      </c>
    </row>
    <row r="93" spans="1:56" x14ac:dyDescent="0.35">
      <c r="A93" s="14" t="s">
        <v>84</v>
      </c>
      <c r="B93" s="15">
        <v>24</v>
      </c>
      <c r="C93" s="16">
        <v>76.474524424051239</v>
      </c>
      <c r="D93" s="15">
        <v>2</v>
      </c>
      <c r="E93" s="15">
        <v>1</v>
      </c>
      <c r="F93" s="15">
        <v>1</v>
      </c>
      <c r="G93" s="15">
        <v>0</v>
      </c>
      <c r="H93" s="15">
        <v>0</v>
      </c>
      <c r="I93" s="15">
        <v>1</v>
      </c>
      <c r="J93" s="15">
        <v>1</v>
      </c>
      <c r="K93" s="15">
        <v>0</v>
      </c>
      <c r="L93" s="15">
        <v>0</v>
      </c>
      <c r="M93" s="15">
        <v>0</v>
      </c>
      <c r="N93" s="15">
        <v>1</v>
      </c>
      <c r="O93" s="15">
        <v>1</v>
      </c>
      <c r="P93" s="15">
        <v>0</v>
      </c>
      <c r="Q93" s="15">
        <v>0</v>
      </c>
      <c r="R93" s="15">
        <v>1</v>
      </c>
      <c r="S93" s="15">
        <v>0</v>
      </c>
      <c r="T93" s="15">
        <v>0</v>
      </c>
      <c r="U93" s="15">
        <v>0</v>
      </c>
      <c r="V93" s="15">
        <v>1</v>
      </c>
      <c r="W93" s="15">
        <v>0</v>
      </c>
      <c r="X93" s="15">
        <v>0</v>
      </c>
      <c r="Y93" s="15">
        <v>3</v>
      </c>
      <c r="Z93" s="15">
        <v>0</v>
      </c>
      <c r="AA93" s="15">
        <v>1</v>
      </c>
      <c r="AB93" s="15">
        <v>1</v>
      </c>
      <c r="AC93" s="15">
        <v>2</v>
      </c>
      <c r="AD93" s="15">
        <v>0</v>
      </c>
      <c r="AE93" s="15">
        <v>0</v>
      </c>
      <c r="AF93" s="15">
        <v>0</v>
      </c>
      <c r="AG93" s="15">
        <v>0</v>
      </c>
      <c r="AH93" s="15">
        <v>0</v>
      </c>
      <c r="AI93" s="15">
        <v>0</v>
      </c>
      <c r="AJ93" s="15">
        <v>0</v>
      </c>
      <c r="AK93" s="15">
        <v>0</v>
      </c>
      <c r="AL93" s="15">
        <v>0</v>
      </c>
      <c r="AM93" s="15">
        <v>0</v>
      </c>
      <c r="AN93" s="15">
        <v>0</v>
      </c>
      <c r="AO93" s="15">
        <v>0</v>
      </c>
      <c r="AP93" s="15">
        <v>0</v>
      </c>
      <c r="AQ93" s="15">
        <v>2</v>
      </c>
      <c r="AR93" s="15">
        <v>3</v>
      </c>
      <c r="AS93" s="15">
        <v>1</v>
      </c>
      <c r="AT93" s="15">
        <v>0</v>
      </c>
      <c r="AU93" s="15">
        <v>0</v>
      </c>
      <c r="AV93" s="15">
        <v>0</v>
      </c>
      <c r="AW93" s="15">
        <v>0</v>
      </c>
      <c r="AX93" s="15">
        <v>0</v>
      </c>
      <c r="AY93" s="15">
        <v>0</v>
      </c>
      <c r="AZ93" s="15">
        <v>0</v>
      </c>
      <c r="BA93" s="15">
        <v>0</v>
      </c>
      <c r="BB93" s="15">
        <v>1</v>
      </c>
      <c r="BC93" s="15">
        <v>0</v>
      </c>
      <c r="BD93" s="15">
        <v>0</v>
      </c>
    </row>
    <row r="94" spans="1:56" x14ac:dyDescent="0.35">
      <c r="A94" s="14" t="s">
        <v>85</v>
      </c>
      <c r="B94" s="15">
        <v>9</v>
      </c>
      <c r="C94" s="16">
        <v>26.455026455026456</v>
      </c>
      <c r="D94" s="15">
        <v>2</v>
      </c>
      <c r="E94" s="15">
        <v>0</v>
      </c>
      <c r="F94" s="15">
        <v>1</v>
      </c>
      <c r="G94" s="15">
        <v>0</v>
      </c>
      <c r="H94" s="15">
        <v>0</v>
      </c>
      <c r="I94" s="15">
        <v>0</v>
      </c>
      <c r="J94" s="15">
        <v>0</v>
      </c>
      <c r="K94" s="15">
        <v>0</v>
      </c>
      <c r="L94" s="15">
        <v>0</v>
      </c>
      <c r="M94" s="15">
        <v>0</v>
      </c>
      <c r="N94" s="15">
        <v>0</v>
      </c>
      <c r="O94" s="15">
        <v>1</v>
      </c>
      <c r="P94" s="15">
        <v>0</v>
      </c>
      <c r="Q94" s="15">
        <v>0</v>
      </c>
      <c r="R94" s="15">
        <v>0</v>
      </c>
      <c r="S94" s="15">
        <v>0</v>
      </c>
      <c r="T94" s="15">
        <v>0</v>
      </c>
      <c r="U94" s="15">
        <v>0</v>
      </c>
      <c r="V94" s="15">
        <v>0</v>
      </c>
      <c r="W94" s="15">
        <v>0</v>
      </c>
      <c r="X94" s="15">
        <v>0</v>
      </c>
      <c r="Y94" s="15">
        <v>0</v>
      </c>
      <c r="Z94" s="15">
        <v>0</v>
      </c>
      <c r="AA94" s="15">
        <v>0</v>
      </c>
      <c r="AB94" s="15">
        <v>0</v>
      </c>
      <c r="AC94" s="15">
        <v>1</v>
      </c>
      <c r="AD94" s="15">
        <v>0</v>
      </c>
      <c r="AE94" s="15">
        <v>0</v>
      </c>
      <c r="AF94" s="15">
        <v>0</v>
      </c>
      <c r="AG94" s="15">
        <v>0</v>
      </c>
      <c r="AH94" s="15">
        <v>0</v>
      </c>
      <c r="AI94" s="15">
        <v>1</v>
      </c>
      <c r="AJ94" s="15">
        <v>1</v>
      </c>
      <c r="AK94" s="15">
        <v>0</v>
      </c>
      <c r="AL94" s="15">
        <v>0</v>
      </c>
      <c r="AM94" s="15">
        <v>0</v>
      </c>
      <c r="AN94" s="15">
        <v>0</v>
      </c>
      <c r="AO94" s="15">
        <v>0</v>
      </c>
      <c r="AP94" s="15">
        <v>1</v>
      </c>
      <c r="AQ94" s="15">
        <v>0</v>
      </c>
      <c r="AR94" s="15">
        <v>0</v>
      </c>
      <c r="AS94" s="15">
        <v>0</v>
      </c>
      <c r="AT94" s="15">
        <v>0</v>
      </c>
      <c r="AU94" s="15">
        <v>0</v>
      </c>
      <c r="AV94" s="15">
        <v>0</v>
      </c>
      <c r="AW94" s="15">
        <v>0</v>
      </c>
      <c r="AX94" s="15">
        <v>1</v>
      </c>
      <c r="AY94" s="15">
        <v>0</v>
      </c>
      <c r="AZ94" s="15">
        <v>0</v>
      </c>
      <c r="BA94" s="15">
        <v>0</v>
      </c>
      <c r="BB94" s="15">
        <v>0</v>
      </c>
      <c r="BC94" s="15">
        <v>0</v>
      </c>
      <c r="BD94" s="15">
        <v>0</v>
      </c>
    </row>
    <row r="95" spans="1:56" x14ac:dyDescent="0.35">
      <c r="A95" s="14" t="s">
        <v>86</v>
      </c>
      <c r="B95" s="15">
        <v>30</v>
      </c>
      <c r="C95" s="16">
        <v>64.484233604883613</v>
      </c>
      <c r="D95" s="15">
        <v>0</v>
      </c>
      <c r="E95" s="15">
        <v>0</v>
      </c>
      <c r="F95" s="15">
        <v>0</v>
      </c>
      <c r="G95" s="15">
        <v>0</v>
      </c>
      <c r="H95" s="15">
        <v>0</v>
      </c>
      <c r="I95" s="15">
        <v>0</v>
      </c>
      <c r="J95" s="15">
        <v>0</v>
      </c>
      <c r="K95" s="15">
        <v>0</v>
      </c>
      <c r="L95" s="15">
        <v>1</v>
      </c>
      <c r="M95" s="15">
        <v>2</v>
      </c>
      <c r="N95" s="15">
        <v>2</v>
      </c>
      <c r="O95" s="15">
        <v>0</v>
      </c>
      <c r="P95" s="15">
        <v>0</v>
      </c>
      <c r="Q95" s="15">
        <v>0</v>
      </c>
      <c r="R95" s="15">
        <v>1</v>
      </c>
      <c r="S95" s="15">
        <v>0</v>
      </c>
      <c r="T95" s="15">
        <v>0</v>
      </c>
      <c r="U95" s="15">
        <v>0</v>
      </c>
      <c r="V95" s="15">
        <v>0</v>
      </c>
      <c r="W95" s="15">
        <v>0</v>
      </c>
      <c r="X95" s="15">
        <v>0</v>
      </c>
      <c r="Y95" s="15">
        <v>0</v>
      </c>
      <c r="Z95" s="15">
        <v>1</v>
      </c>
      <c r="AA95" s="15">
        <v>0</v>
      </c>
      <c r="AB95" s="15">
        <v>1</v>
      </c>
      <c r="AC95" s="15">
        <v>0</v>
      </c>
      <c r="AD95" s="15">
        <v>1</v>
      </c>
      <c r="AE95" s="15">
        <v>0</v>
      </c>
      <c r="AF95" s="15">
        <v>1</v>
      </c>
      <c r="AG95" s="15">
        <v>1</v>
      </c>
      <c r="AH95" s="15">
        <v>1</v>
      </c>
      <c r="AI95" s="15">
        <v>0</v>
      </c>
      <c r="AJ95" s="15">
        <v>0</v>
      </c>
      <c r="AK95" s="15">
        <v>1</v>
      </c>
      <c r="AL95" s="15">
        <v>2</v>
      </c>
      <c r="AM95" s="15">
        <v>1</v>
      </c>
      <c r="AN95" s="15">
        <v>0</v>
      </c>
      <c r="AO95" s="15">
        <v>1</v>
      </c>
      <c r="AP95" s="15">
        <v>1</v>
      </c>
      <c r="AQ95" s="15">
        <v>2</v>
      </c>
      <c r="AR95" s="15">
        <v>0</v>
      </c>
      <c r="AS95" s="15">
        <v>1</v>
      </c>
      <c r="AT95" s="15">
        <v>0</v>
      </c>
      <c r="AU95" s="15">
        <v>1</v>
      </c>
      <c r="AV95" s="15">
        <v>0</v>
      </c>
      <c r="AW95" s="15">
        <v>0</v>
      </c>
      <c r="AX95" s="15">
        <v>2</v>
      </c>
      <c r="AY95" s="15">
        <v>2</v>
      </c>
      <c r="AZ95" s="15">
        <v>1</v>
      </c>
      <c r="BA95" s="15">
        <v>0</v>
      </c>
      <c r="BB95" s="15">
        <v>3</v>
      </c>
      <c r="BC95" s="15">
        <v>0</v>
      </c>
      <c r="BD95" s="15">
        <v>0</v>
      </c>
    </row>
    <row r="96" spans="1:56" x14ac:dyDescent="0.35">
      <c r="A96" s="14" t="s">
        <v>87</v>
      </c>
      <c r="B96" s="15">
        <v>3</v>
      </c>
      <c r="C96" s="16">
        <v>6.7750677506775068</v>
      </c>
      <c r="D96" s="15">
        <v>0</v>
      </c>
      <c r="E96" s="15">
        <v>0</v>
      </c>
      <c r="F96" s="15">
        <v>0</v>
      </c>
      <c r="G96" s="15">
        <v>0</v>
      </c>
      <c r="H96" s="15">
        <v>0</v>
      </c>
      <c r="I96" s="15">
        <v>0</v>
      </c>
      <c r="J96" s="15">
        <v>0</v>
      </c>
      <c r="K96" s="15">
        <v>0</v>
      </c>
      <c r="L96" s="15">
        <v>0</v>
      </c>
      <c r="M96" s="15">
        <v>0</v>
      </c>
      <c r="N96" s="15">
        <v>0</v>
      </c>
      <c r="O96" s="15">
        <v>0</v>
      </c>
      <c r="P96" s="15">
        <v>0</v>
      </c>
      <c r="Q96" s="15">
        <v>0</v>
      </c>
      <c r="R96" s="15">
        <v>0</v>
      </c>
      <c r="S96" s="15">
        <v>0</v>
      </c>
      <c r="T96" s="15">
        <v>0</v>
      </c>
      <c r="U96" s="15">
        <v>0</v>
      </c>
      <c r="V96" s="15">
        <v>0</v>
      </c>
      <c r="W96" s="15">
        <v>0</v>
      </c>
      <c r="X96" s="15">
        <v>0</v>
      </c>
      <c r="Y96" s="15">
        <v>0</v>
      </c>
      <c r="Z96" s="15">
        <v>0</v>
      </c>
      <c r="AA96" s="15">
        <v>0</v>
      </c>
      <c r="AB96" s="15">
        <v>0</v>
      </c>
      <c r="AC96" s="15">
        <v>0</v>
      </c>
      <c r="AD96" s="15">
        <v>1</v>
      </c>
      <c r="AE96" s="15">
        <v>1</v>
      </c>
      <c r="AF96" s="15">
        <v>0</v>
      </c>
      <c r="AG96" s="15">
        <v>0</v>
      </c>
      <c r="AH96" s="15">
        <v>0</v>
      </c>
      <c r="AI96" s="15">
        <v>0</v>
      </c>
      <c r="AJ96" s="15">
        <v>0</v>
      </c>
      <c r="AK96" s="15">
        <v>0</v>
      </c>
      <c r="AL96" s="15">
        <v>0</v>
      </c>
      <c r="AM96" s="15">
        <v>0</v>
      </c>
      <c r="AN96" s="15">
        <v>1</v>
      </c>
      <c r="AO96" s="15">
        <v>0</v>
      </c>
      <c r="AP96" s="15">
        <v>0</v>
      </c>
      <c r="AQ96" s="15">
        <v>0</v>
      </c>
      <c r="AR96" s="15">
        <v>0</v>
      </c>
      <c r="AS96" s="15">
        <v>0</v>
      </c>
      <c r="AT96" s="15">
        <v>0</v>
      </c>
      <c r="AU96" s="15">
        <v>0</v>
      </c>
      <c r="AV96" s="15">
        <v>0</v>
      </c>
      <c r="AW96" s="15">
        <v>0</v>
      </c>
      <c r="AX96" s="15">
        <v>0</v>
      </c>
      <c r="AY96" s="15">
        <v>0</v>
      </c>
      <c r="AZ96" s="15">
        <v>0</v>
      </c>
      <c r="BA96" s="15">
        <v>0</v>
      </c>
      <c r="BB96" s="15">
        <v>0</v>
      </c>
      <c r="BC96" s="15">
        <v>0</v>
      </c>
      <c r="BD96" s="15">
        <v>0</v>
      </c>
    </row>
    <row r="97" spans="1:56" x14ac:dyDescent="0.35">
      <c r="A97" s="14" t="s">
        <v>88</v>
      </c>
      <c r="B97" s="15">
        <v>10</v>
      </c>
      <c r="C97" s="16">
        <v>47.655356462066337</v>
      </c>
      <c r="D97" s="15">
        <v>0</v>
      </c>
      <c r="E97" s="15">
        <v>0</v>
      </c>
      <c r="F97" s="15">
        <v>0</v>
      </c>
      <c r="G97" s="15">
        <v>0</v>
      </c>
      <c r="H97" s="15">
        <v>0</v>
      </c>
      <c r="I97" s="15">
        <v>0</v>
      </c>
      <c r="J97" s="15">
        <v>0</v>
      </c>
      <c r="K97" s="15">
        <v>0</v>
      </c>
      <c r="L97" s="15">
        <v>0</v>
      </c>
      <c r="M97" s="15">
        <v>0</v>
      </c>
      <c r="N97" s="15">
        <v>0</v>
      </c>
      <c r="O97" s="15">
        <v>0</v>
      </c>
      <c r="P97" s="15">
        <v>0</v>
      </c>
      <c r="Q97" s="15">
        <v>0</v>
      </c>
      <c r="R97" s="15">
        <v>0</v>
      </c>
      <c r="S97" s="15">
        <v>0</v>
      </c>
      <c r="T97" s="15">
        <v>0</v>
      </c>
      <c r="U97" s="15">
        <v>0</v>
      </c>
      <c r="V97" s="15">
        <v>0</v>
      </c>
      <c r="W97" s="15">
        <v>0</v>
      </c>
      <c r="X97" s="15">
        <v>0</v>
      </c>
      <c r="Y97" s="15">
        <v>1</v>
      </c>
      <c r="Z97" s="15">
        <v>0</v>
      </c>
      <c r="AA97" s="15">
        <v>0</v>
      </c>
      <c r="AB97" s="15">
        <v>0</v>
      </c>
      <c r="AC97" s="15">
        <v>0</v>
      </c>
      <c r="AD97" s="15">
        <v>0</v>
      </c>
      <c r="AE97" s="15">
        <v>0</v>
      </c>
      <c r="AF97" s="15">
        <v>0</v>
      </c>
      <c r="AG97" s="15">
        <v>0</v>
      </c>
      <c r="AH97" s="15">
        <v>0</v>
      </c>
      <c r="AI97" s="15">
        <v>0</v>
      </c>
      <c r="AJ97" s="15">
        <v>1</v>
      </c>
      <c r="AK97" s="15">
        <v>0</v>
      </c>
      <c r="AL97" s="15">
        <v>1</v>
      </c>
      <c r="AM97" s="15">
        <v>3</v>
      </c>
      <c r="AN97" s="15">
        <v>0</v>
      </c>
      <c r="AO97" s="15">
        <v>0</v>
      </c>
      <c r="AP97" s="15">
        <v>0</v>
      </c>
      <c r="AQ97" s="15">
        <v>1</v>
      </c>
      <c r="AR97" s="15">
        <v>1</v>
      </c>
      <c r="AS97" s="15">
        <v>1</v>
      </c>
      <c r="AT97" s="15">
        <v>0</v>
      </c>
      <c r="AU97" s="15">
        <v>0</v>
      </c>
      <c r="AV97" s="15">
        <v>0</v>
      </c>
      <c r="AW97" s="15">
        <v>0</v>
      </c>
      <c r="AX97" s="15">
        <v>0</v>
      </c>
      <c r="AY97" s="15">
        <v>1</v>
      </c>
      <c r="AZ97" s="15">
        <v>0</v>
      </c>
      <c r="BA97" s="15">
        <v>0</v>
      </c>
      <c r="BB97" s="15">
        <v>0</v>
      </c>
      <c r="BC97" s="15">
        <v>0</v>
      </c>
      <c r="BD97" s="15">
        <v>0</v>
      </c>
    </row>
    <row r="98" spans="1:56" x14ac:dyDescent="0.35">
      <c r="A98" s="14" t="s">
        <v>89</v>
      </c>
      <c r="B98" s="15">
        <v>58</v>
      </c>
      <c r="C98" s="16">
        <v>108.44364669807794</v>
      </c>
      <c r="D98" s="15">
        <v>0</v>
      </c>
      <c r="E98" s="15">
        <v>0</v>
      </c>
      <c r="F98" s="15">
        <v>1</v>
      </c>
      <c r="G98" s="15">
        <v>0</v>
      </c>
      <c r="H98" s="15">
        <v>0</v>
      </c>
      <c r="I98" s="15">
        <v>0</v>
      </c>
      <c r="J98" s="15">
        <v>0</v>
      </c>
      <c r="K98" s="15">
        <v>0</v>
      </c>
      <c r="L98" s="15">
        <v>0</v>
      </c>
      <c r="M98" s="15">
        <v>0</v>
      </c>
      <c r="N98" s="15">
        <v>0</v>
      </c>
      <c r="O98" s="15">
        <v>0</v>
      </c>
      <c r="P98" s="15">
        <v>0</v>
      </c>
      <c r="Q98" s="15">
        <v>0</v>
      </c>
      <c r="R98" s="15">
        <v>1</v>
      </c>
      <c r="S98" s="15">
        <v>0</v>
      </c>
      <c r="T98" s="15">
        <v>1</v>
      </c>
      <c r="U98" s="15">
        <v>1</v>
      </c>
      <c r="V98" s="15">
        <v>1</v>
      </c>
      <c r="W98" s="15">
        <v>3</v>
      </c>
      <c r="X98" s="15">
        <v>0</v>
      </c>
      <c r="Y98" s="15">
        <v>0</v>
      </c>
      <c r="Z98" s="15">
        <v>0</v>
      </c>
      <c r="AA98" s="15">
        <v>0</v>
      </c>
      <c r="AB98" s="15">
        <v>0</v>
      </c>
      <c r="AC98" s="15">
        <v>2</v>
      </c>
      <c r="AD98" s="15">
        <v>8</v>
      </c>
      <c r="AE98" s="15">
        <v>3</v>
      </c>
      <c r="AF98" s="15">
        <v>1</v>
      </c>
      <c r="AG98" s="15">
        <v>5</v>
      </c>
      <c r="AH98" s="15">
        <v>1</v>
      </c>
      <c r="AI98" s="15">
        <v>1</v>
      </c>
      <c r="AJ98" s="15">
        <v>0</v>
      </c>
      <c r="AK98" s="15">
        <v>0</v>
      </c>
      <c r="AL98" s="15">
        <v>2</v>
      </c>
      <c r="AM98" s="15">
        <v>3</v>
      </c>
      <c r="AN98" s="15">
        <v>1</v>
      </c>
      <c r="AO98" s="15">
        <v>1</v>
      </c>
      <c r="AP98" s="15">
        <v>3</v>
      </c>
      <c r="AQ98" s="15">
        <v>1</v>
      </c>
      <c r="AR98" s="15">
        <v>1</v>
      </c>
      <c r="AS98" s="15">
        <v>2</v>
      </c>
      <c r="AT98" s="15">
        <v>3</v>
      </c>
      <c r="AU98" s="15">
        <v>2</v>
      </c>
      <c r="AV98" s="15">
        <v>2</v>
      </c>
      <c r="AW98" s="15">
        <v>1</v>
      </c>
      <c r="AX98" s="15">
        <v>0</v>
      </c>
      <c r="AY98" s="15">
        <v>2</v>
      </c>
      <c r="AZ98" s="15">
        <v>3</v>
      </c>
      <c r="BA98" s="15">
        <v>2</v>
      </c>
      <c r="BB98" s="15">
        <v>0</v>
      </c>
      <c r="BC98" s="15">
        <v>0</v>
      </c>
      <c r="BD98" s="15">
        <v>0</v>
      </c>
    </row>
    <row r="99" spans="1:56" x14ac:dyDescent="0.35">
      <c r="A99" s="14" t="s">
        <v>90</v>
      </c>
      <c r="B99" s="15">
        <v>23</v>
      </c>
      <c r="C99" s="16">
        <v>83.929353379068743</v>
      </c>
      <c r="D99" s="15">
        <v>0</v>
      </c>
      <c r="E99" s="15">
        <v>0</v>
      </c>
      <c r="F99" s="15">
        <v>0</v>
      </c>
      <c r="G99" s="15">
        <v>0</v>
      </c>
      <c r="H99" s="15">
        <v>0</v>
      </c>
      <c r="I99" s="15">
        <v>0</v>
      </c>
      <c r="J99" s="15">
        <v>0</v>
      </c>
      <c r="K99" s="15">
        <v>0</v>
      </c>
      <c r="L99" s="15">
        <v>0</v>
      </c>
      <c r="M99" s="15">
        <v>0</v>
      </c>
      <c r="N99" s="15">
        <v>0</v>
      </c>
      <c r="O99" s="15">
        <v>0</v>
      </c>
      <c r="P99" s="15">
        <v>0</v>
      </c>
      <c r="Q99" s="15">
        <v>0</v>
      </c>
      <c r="R99" s="15">
        <v>0</v>
      </c>
      <c r="S99" s="15">
        <v>0</v>
      </c>
      <c r="T99" s="15">
        <v>0</v>
      </c>
      <c r="U99" s="15">
        <v>0</v>
      </c>
      <c r="V99" s="15">
        <v>0</v>
      </c>
      <c r="W99" s="15">
        <v>0</v>
      </c>
      <c r="X99" s="15">
        <v>0</v>
      </c>
      <c r="Y99" s="15">
        <v>0</v>
      </c>
      <c r="Z99" s="15">
        <v>1</v>
      </c>
      <c r="AA99" s="15">
        <v>0</v>
      </c>
      <c r="AB99" s="15">
        <v>1</v>
      </c>
      <c r="AC99" s="15">
        <v>1</v>
      </c>
      <c r="AD99" s="15">
        <v>1</v>
      </c>
      <c r="AE99" s="15">
        <v>1</v>
      </c>
      <c r="AF99" s="15">
        <v>0</v>
      </c>
      <c r="AG99" s="15">
        <v>1</v>
      </c>
      <c r="AH99" s="15">
        <v>0</v>
      </c>
      <c r="AI99" s="15">
        <v>0</v>
      </c>
      <c r="AJ99" s="15">
        <v>0</v>
      </c>
      <c r="AK99" s="15">
        <v>0</v>
      </c>
      <c r="AL99" s="15">
        <v>0</v>
      </c>
      <c r="AM99" s="15">
        <v>2</v>
      </c>
      <c r="AN99" s="15">
        <v>1</v>
      </c>
      <c r="AO99" s="15">
        <v>1</v>
      </c>
      <c r="AP99" s="15">
        <v>1</v>
      </c>
      <c r="AQ99" s="15">
        <v>0</v>
      </c>
      <c r="AR99" s="15">
        <v>4</v>
      </c>
      <c r="AS99" s="15">
        <v>1</v>
      </c>
      <c r="AT99" s="15">
        <v>2</v>
      </c>
      <c r="AU99" s="15">
        <v>2</v>
      </c>
      <c r="AV99" s="15">
        <v>2</v>
      </c>
      <c r="AW99" s="15">
        <v>0</v>
      </c>
      <c r="AX99" s="15">
        <v>0</v>
      </c>
      <c r="AY99" s="15">
        <v>1</v>
      </c>
      <c r="AZ99" s="15">
        <v>0</v>
      </c>
      <c r="BA99" s="15">
        <v>0</v>
      </c>
      <c r="BB99" s="15">
        <v>0</v>
      </c>
      <c r="BC99" s="15">
        <v>0</v>
      </c>
      <c r="BD99" s="15">
        <v>0</v>
      </c>
    </row>
    <row r="100" spans="1:56" x14ac:dyDescent="0.35">
      <c r="A100" s="14"/>
      <c r="B100" s="12"/>
      <c r="C100" s="13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</row>
    <row r="101" spans="1:56" x14ac:dyDescent="0.35">
      <c r="A101" s="1" t="s">
        <v>91</v>
      </c>
      <c r="B101" s="10">
        <v>2919</v>
      </c>
      <c r="C101" s="11">
        <v>621.33219241502184</v>
      </c>
      <c r="D101" s="10">
        <v>38</v>
      </c>
      <c r="E101" s="10">
        <v>16</v>
      </c>
      <c r="F101" s="10">
        <v>9</v>
      </c>
      <c r="G101" s="10">
        <v>6</v>
      </c>
      <c r="H101" s="10">
        <v>16</v>
      </c>
      <c r="I101" s="10">
        <v>19</v>
      </c>
      <c r="J101" s="10">
        <v>22</v>
      </c>
      <c r="K101" s="10">
        <v>15</v>
      </c>
      <c r="L101" s="10">
        <v>17</v>
      </c>
      <c r="M101" s="10">
        <v>15</v>
      </c>
      <c r="N101" s="10">
        <v>21</v>
      </c>
      <c r="O101" s="10">
        <v>34</v>
      </c>
      <c r="P101" s="10">
        <v>26</v>
      </c>
      <c r="Q101" s="10">
        <v>21</v>
      </c>
      <c r="R101" s="10">
        <v>39</v>
      </c>
      <c r="S101" s="10">
        <v>57</v>
      </c>
      <c r="T101" s="10">
        <v>49</v>
      </c>
      <c r="U101" s="10">
        <v>80</v>
      </c>
      <c r="V101" s="10">
        <v>83</v>
      </c>
      <c r="W101" s="10">
        <v>75</v>
      </c>
      <c r="X101" s="10">
        <v>69</v>
      </c>
      <c r="Y101" s="10">
        <v>92</v>
      </c>
      <c r="Z101" s="10">
        <v>128</v>
      </c>
      <c r="AA101" s="10">
        <v>134</v>
      </c>
      <c r="AB101" s="10">
        <v>113</v>
      </c>
      <c r="AC101" s="10">
        <v>98</v>
      </c>
      <c r="AD101" s="10">
        <v>103</v>
      </c>
      <c r="AE101" s="10">
        <v>135</v>
      </c>
      <c r="AF101" s="10">
        <v>132</v>
      </c>
      <c r="AG101" s="10">
        <v>96</v>
      </c>
      <c r="AH101" s="10">
        <v>123</v>
      </c>
      <c r="AI101" s="10">
        <v>111</v>
      </c>
      <c r="AJ101" s="10">
        <v>136</v>
      </c>
      <c r="AK101" s="10">
        <v>95</v>
      </c>
      <c r="AL101" s="10">
        <v>97</v>
      </c>
      <c r="AM101" s="10">
        <v>62</v>
      </c>
      <c r="AN101" s="10">
        <v>75</v>
      </c>
      <c r="AO101" s="10">
        <v>46</v>
      </c>
      <c r="AP101" s="10">
        <v>42</v>
      </c>
      <c r="AQ101" s="10">
        <v>56</v>
      </c>
      <c r="AR101" s="10">
        <v>43</v>
      </c>
      <c r="AS101" s="10">
        <v>38</v>
      </c>
      <c r="AT101" s="10">
        <v>43</v>
      </c>
      <c r="AU101" s="10">
        <v>42</v>
      </c>
      <c r="AV101" s="10">
        <v>34</v>
      </c>
      <c r="AW101" s="10">
        <v>34</v>
      </c>
      <c r="AX101" s="10">
        <v>18</v>
      </c>
      <c r="AY101" s="10">
        <v>20</v>
      </c>
      <c r="AZ101" s="10">
        <v>21</v>
      </c>
      <c r="BA101" s="10">
        <v>19</v>
      </c>
      <c r="BB101" s="10">
        <v>6</v>
      </c>
      <c r="BC101" s="10">
        <v>0</v>
      </c>
      <c r="BD101" s="10">
        <v>0</v>
      </c>
    </row>
    <row r="102" spans="1:56" x14ac:dyDescent="0.35">
      <c r="A102" s="14" t="s">
        <v>92</v>
      </c>
      <c r="B102" s="15">
        <v>164</v>
      </c>
      <c r="C102" s="16">
        <v>163.61387126381737</v>
      </c>
      <c r="D102" s="15">
        <v>1</v>
      </c>
      <c r="E102" s="15">
        <v>0</v>
      </c>
      <c r="F102" s="15">
        <v>0</v>
      </c>
      <c r="G102" s="15">
        <v>0</v>
      </c>
      <c r="H102" s="15">
        <v>1</v>
      </c>
      <c r="I102" s="15">
        <v>0</v>
      </c>
      <c r="J102" s="15">
        <v>1</v>
      </c>
      <c r="K102" s="15">
        <v>0</v>
      </c>
      <c r="L102" s="15">
        <v>0</v>
      </c>
      <c r="M102" s="15">
        <v>1</v>
      </c>
      <c r="N102" s="15">
        <v>0</v>
      </c>
      <c r="O102" s="15">
        <v>1</v>
      </c>
      <c r="P102" s="15">
        <v>0</v>
      </c>
      <c r="Q102" s="15">
        <v>1</v>
      </c>
      <c r="R102" s="15">
        <v>1</v>
      </c>
      <c r="S102" s="15">
        <v>0</v>
      </c>
      <c r="T102" s="15">
        <v>0</v>
      </c>
      <c r="U102" s="15">
        <v>1</v>
      </c>
      <c r="V102" s="15">
        <v>2</v>
      </c>
      <c r="W102" s="15">
        <v>1</v>
      </c>
      <c r="X102" s="15">
        <v>0</v>
      </c>
      <c r="Y102" s="15">
        <v>0</v>
      </c>
      <c r="Z102" s="15">
        <v>2</v>
      </c>
      <c r="AA102" s="15">
        <v>0</v>
      </c>
      <c r="AB102" s="15">
        <v>1</v>
      </c>
      <c r="AC102" s="15">
        <v>0</v>
      </c>
      <c r="AD102" s="15">
        <v>0</v>
      </c>
      <c r="AE102" s="15">
        <v>2</v>
      </c>
      <c r="AF102" s="15">
        <v>0</v>
      </c>
      <c r="AG102" s="15">
        <v>3</v>
      </c>
      <c r="AH102" s="15">
        <v>3</v>
      </c>
      <c r="AI102" s="15">
        <v>8</v>
      </c>
      <c r="AJ102" s="15">
        <v>7</v>
      </c>
      <c r="AK102" s="15">
        <v>13</v>
      </c>
      <c r="AL102" s="15">
        <v>17</v>
      </c>
      <c r="AM102" s="15">
        <v>7</v>
      </c>
      <c r="AN102" s="15">
        <v>15</v>
      </c>
      <c r="AO102" s="15">
        <v>13</v>
      </c>
      <c r="AP102" s="15">
        <v>14</v>
      </c>
      <c r="AQ102" s="15">
        <v>10</v>
      </c>
      <c r="AR102" s="15">
        <v>4</v>
      </c>
      <c r="AS102" s="15">
        <v>10</v>
      </c>
      <c r="AT102" s="15">
        <v>5</v>
      </c>
      <c r="AU102" s="15">
        <v>3</v>
      </c>
      <c r="AV102" s="15">
        <v>1</v>
      </c>
      <c r="AW102" s="15">
        <v>1</v>
      </c>
      <c r="AX102" s="15">
        <v>3</v>
      </c>
      <c r="AY102" s="15">
        <v>3</v>
      </c>
      <c r="AZ102" s="15">
        <v>3</v>
      </c>
      <c r="BA102" s="15">
        <v>1</v>
      </c>
      <c r="BB102" s="15">
        <v>4</v>
      </c>
      <c r="BC102" s="15">
        <v>0</v>
      </c>
      <c r="BD102" s="15">
        <v>0</v>
      </c>
    </row>
    <row r="103" spans="1:56" x14ac:dyDescent="0.35">
      <c r="A103" s="14" t="s">
        <v>93</v>
      </c>
      <c r="B103" s="15">
        <v>871</v>
      </c>
      <c r="C103" s="16">
        <v>563.11985207597911</v>
      </c>
      <c r="D103" s="15">
        <v>6</v>
      </c>
      <c r="E103" s="15">
        <v>3</v>
      </c>
      <c r="F103" s="15">
        <v>1</v>
      </c>
      <c r="G103" s="15">
        <v>0</v>
      </c>
      <c r="H103" s="15">
        <v>2</v>
      </c>
      <c r="I103" s="15">
        <v>1</v>
      </c>
      <c r="J103" s="15">
        <v>6</v>
      </c>
      <c r="K103" s="15">
        <v>3</v>
      </c>
      <c r="L103" s="15">
        <v>3</v>
      </c>
      <c r="M103" s="15">
        <v>0</v>
      </c>
      <c r="N103" s="15">
        <v>2</v>
      </c>
      <c r="O103" s="15">
        <v>6</v>
      </c>
      <c r="P103" s="15">
        <v>2</v>
      </c>
      <c r="Q103" s="15">
        <v>2</v>
      </c>
      <c r="R103" s="15">
        <v>4</v>
      </c>
      <c r="S103" s="15">
        <v>7</v>
      </c>
      <c r="T103" s="15">
        <v>6</v>
      </c>
      <c r="U103" s="15">
        <v>17</v>
      </c>
      <c r="V103" s="15">
        <v>16</v>
      </c>
      <c r="W103" s="15">
        <v>21</v>
      </c>
      <c r="X103" s="15">
        <v>28</v>
      </c>
      <c r="Y103" s="15">
        <v>33</v>
      </c>
      <c r="Z103" s="15">
        <v>53</v>
      </c>
      <c r="AA103" s="15">
        <v>52</v>
      </c>
      <c r="AB103" s="15">
        <v>45</v>
      </c>
      <c r="AC103" s="15">
        <v>42</v>
      </c>
      <c r="AD103" s="15">
        <v>43</v>
      </c>
      <c r="AE103" s="15">
        <v>54</v>
      </c>
      <c r="AF103" s="15">
        <v>56</v>
      </c>
      <c r="AG103" s="15">
        <v>31</v>
      </c>
      <c r="AH103" s="15">
        <v>55</v>
      </c>
      <c r="AI103" s="15">
        <v>29</v>
      </c>
      <c r="AJ103" s="15">
        <v>45</v>
      </c>
      <c r="AK103" s="15">
        <v>26</v>
      </c>
      <c r="AL103" s="15">
        <v>25</v>
      </c>
      <c r="AM103" s="15">
        <v>8</v>
      </c>
      <c r="AN103" s="15">
        <v>9</v>
      </c>
      <c r="AO103" s="15">
        <v>5</v>
      </c>
      <c r="AP103" s="15">
        <v>6</v>
      </c>
      <c r="AQ103" s="15">
        <v>11</v>
      </c>
      <c r="AR103" s="15">
        <v>13</v>
      </c>
      <c r="AS103" s="15">
        <v>5</v>
      </c>
      <c r="AT103" s="15">
        <v>14</v>
      </c>
      <c r="AU103" s="15">
        <v>11</v>
      </c>
      <c r="AV103" s="15">
        <v>11</v>
      </c>
      <c r="AW103" s="15">
        <v>16</v>
      </c>
      <c r="AX103" s="15">
        <v>6</v>
      </c>
      <c r="AY103" s="15">
        <v>8</v>
      </c>
      <c r="AZ103" s="15">
        <v>11</v>
      </c>
      <c r="BA103" s="15">
        <v>12</v>
      </c>
      <c r="BB103" s="15">
        <v>0</v>
      </c>
      <c r="BC103" s="15">
        <v>0</v>
      </c>
      <c r="BD103" s="15">
        <v>0</v>
      </c>
    </row>
    <row r="104" spans="1:56" x14ac:dyDescent="0.35">
      <c r="A104" s="14" t="s">
        <v>94</v>
      </c>
      <c r="B104" s="15">
        <v>854</v>
      </c>
      <c r="C104" s="16">
        <v>1300.3821966409332</v>
      </c>
      <c r="D104" s="15">
        <v>7</v>
      </c>
      <c r="E104" s="15">
        <v>1</v>
      </c>
      <c r="F104" s="15">
        <v>2</v>
      </c>
      <c r="G104" s="15">
        <v>3</v>
      </c>
      <c r="H104" s="15">
        <v>6</v>
      </c>
      <c r="I104" s="15">
        <v>7</v>
      </c>
      <c r="J104" s="15">
        <v>8</v>
      </c>
      <c r="K104" s="15">
        <v>6</v>
      </c>
      <c r="L104" s="15">
        <v>7</v>
      </c>
      <c r="M104" s="15">
        <v>8</v>
      </c>
      <c r="N104" s="15">
        <v>14</v>
      </c>
      <c r="O104" s="15">
        <v>21</v>
      </c>
      <c r="P104" s="15">
        <v>15</v>
      </c>
      <c r="Q104" s="15">
        <v>14</v>
      </c>
      <c r="R104" s="15">
        <v>21</v>
      </c>
      <c r="S104" s="15">
        <v>38</v>
      </c>
      <c r="T104" s="15">
        <v>30</v>
      </c>
      <c r="U104" s="15">
        <v>46</v>
      </c>
      <c r="V104" s="15">
        <v>46</v>
      </c>
      <c r="W104" s="15">
        <v>28</v>
      </c>
      <c r="X104" s="15">
        <v>25</v>
      </c>
      <c r="Y104" s="15">
        <v>34</v>
      </c>
      <c r="Z104" s="15">
        <v>44</v>
      </c>
      <c r="AA104" s="15">
        <v>44</v>
      </c>
      <c r="AB104" s="15">
        <v>37</v>
      </c>
      <c r="AC104" s="15">
        <v>25</v>
      </c>
      <c r="AD104" s="15">
        <v>30</v>
      </c>
      <c r="AE104" s="15">
        <v>39</v>
      </c>
      <c r="AF104" s="15">
        <v>36</v>
      </c>
      <c r="AG104" s="15">
        <v>19</v>
      </c>
      <c r="AH104" s="15">
        <v>18</v>
      </c>
      <c r="AI104" s="15">
        <v>28</v>
      </c>
      <c r="AJ104" s="15">
        <v>26</v>
      </c>
      <c r="AK104" s="15">
        <v>14</v>
      </c>
      <c r="AL104" s="15">
        <v>19</v>
      </c>
      <c r="AM104" s="15">
        <v>14</v>
      </c>
      <c r="AN104" s="15">
        <v>14</v>
      </c>
      <c r="AO104" s="15">
        <v>2</v>
      </c>
      <c r="AP104" s="15">
        <v>8</v>
      </c>
      <c r="AQ104" s="15">
        <v>9</v>
      </c>
      <c r="AR104" s="15">
        <v>9</v>
      </c>
      <c r="AS104" s="15">
        <v>7</v>
      </c>
      <c r="AT104" s="15">
        <v>6</v>
      </c>
      <c r="AU104" s="15">
        <v>6</v>
      </c>
      <c r="AV104" s="15">
        <v>6</v>
      </c>
      <c r="AW104" s="15">
        <v>3</v>
      </c>
      <c r="AX104" s="15">
        <v>1</v>
      </c>
      <c r="AY104" s="15">
        <v>0</v>
      </c>
      <c r="AZ104" s="15">
        <v>0</v>
      </c>
      <c r="BA104" s="15">
        <v>1</v>
      </c>
      <c r="BB104" s="15">
        <v>2</v>
      </c>
      <c r="BC104" s="15">
        <v>0</v>
      </c>
      <c r="BD104" s="15">
        <v>0</v>
      </c>
    </row>
    <row r="105" spans="1:56" x14ac:dyDescent="0.35">
      <c r="A105" s="14" t="s">
        <v>95</v>
      </c>
      <c r="B105" s="15">
        <v>550</v>
      </c>
      <c r="C105" s="16">
        <v>1227.6237667961252</v>
      </c>
      <c r="D105" s="15">
        <v>4</v>
      </c>
      <c r="E105" s="15">
        <v>3</v>
      </c>
      <c r="F105" s="15">
        <v>1</v>
      </c>
      <c r="G105" s="15">
        <v>1</v>
      </c>
      <c r="H105" s="15">
        <v>0</v>
      </c>
      <c r="I105" s="15">
        <v>6</v>
      </c>
      <c r="J105" s="15">
        <v>3</v>
      </c>
      <c r="K105" s="15">
        <v>4</v>
      </c>
      <c r="L105" s="15">
        <v>3</v>
      </c>
      <c r="M105" s="15">
        <v>4</v>
      </c>
      <c r="N105" s="15">
        <v>1</v>
      </c>
      <c r="O105" s="15">
        <v>3</v>
      </c>
      <c r="P105" s="15">
        <v>0</v>
      </c>
      <c r="Q105" s="15">
        <v>2</v>
      </c>
      <c r="R105" s="15">
        <v>2</v>
      </c>
      <c r="S105" s="15">
        <v>6</v>
      </c>
      <c r="T105" s="15">
        <v>6</v>
      </c>
      <c r="U105" s="15">
        <v>3</v>
      </c>
      <c r="V105" s="15">
        <v>10</v>
      </c>
      <c r="W105" s="15">
        <v>11</v>
      </c>
      <c r="X105" s="15">
        <v>3</v>
      </c>
      <c r="Y105" s="15">
        <v>12</v>
      </c>
      <c r="Z105" s="15">
        <v>17</v>
      </c>
      <c r="AA105" s="15">
        <v>21</v>
      </c>
      <c r="AB105" s="15">
        <v>20</v>
      </c>
      <c r="AC105" s="15">
        <v>17</v>
      </c>
      <c r="AD105" s="15">
        <v>22</v>
      </c>
      <c r="AE105" s="15">
        <v>22</v>
      </c>
      <c r="AF105" s="15">
        <v>32</v>
      </c>
      <c r="AG105" s="15">
        <v>27</v>
      </c>
      <c r="AH105" s="15">
        <v>31</v>
      </c>
      <c r="AI105" s="15">
        <v>31</v>
      </c>
      <c r="AJ105" s="15">
        <v>36</v>
      </c>
      <c r="AK105" s="15">
        <v>30</v>
      </c>
      <c r="AL105" s="15">
        <v>18</v>
      </c>
      <c r="AM105" s="15">
        <v>21</v>
      </c>
      <c r="AN105" s="15">
        <v>18</v>
      </c>
      <c r="AO105" s="15">
        <v>8</v>
      </c>
      <c r="AP105" s="15">
        <v>8</v>
      </c>
      <c r="AQ105" s="15">
        <v>15</v>
      </c>
      <c r="AR105" s="15">
        <v>10</v>
      </c>
      <c r="AS105" s="15">
        <v>9</v>
      </c>
      <c r="AT105" s="15">
        <v>10</v>
      </c>
      <c r="AU105" s="15">
        <v>8</v>
      </c>
      <c r="AV105" s="15">
        <v>6</v>
      </c>
      <c r="AW105" s="15">
        <v>9</v>
      </c>
      <c r="AX105" s="15">
        <v>4</v>
      </c>
      <c r="AY105" s="15">
        <v>5</v>
      </c>
      <c r="AZ105" s="15">
        <v>2</v>
      </c>
      <c r="BA105" s="15">
        <v>5</v>
      </c>
      <c r="BB105" s="15">
        <v>0</v>
      </c>
      <c r="BC105" s="15">
        <v>0</v>
      </c>
      <c r="BD105" s="15">
        <v>0</v>
      </c>
    </row>
    <row r="106" spans="1:56" x14ac:dyDescent="0.35">
      <c r="A106" s="14" t="s">
        <v>96</v>
      </c>
      <c r="B106" s="15">
        <v>177</v>
      </c>
      <c r="C106" s="16">
        <v>373.48863708299041</v>
      </c>
      <c r="D106" s="15">
        <v>3</v>
      </c>
      <c r="E106" s="15">
        <v>6</v>
      </c>
      <c r="F106" s="15">
        <v>3</v>
      </c>
      <c r="G106" s="15">
        <v>2</v>
      </c>
      <c r="H106" s="15">
        <v>2</v>
      </c>
      <c r="I106" s="15">
        <v>2</v>
      </c>
      <c r="J106" s="15">
        <v>2</v>
      </c>
      <c r="K106" s="15">
        <v>0</v>
      </c>
      <c r="L106" s="15">
        <v>1</v>
      </c>
      <c r="M106" s="15">
        <v>1</v>
      </c>
      <c r="N106" s="15">
        <v>1</v>
      </c>
      <c r="O106" s="15">
        <v>2</v>
      </c>
      <c r="P106" s="15">
        <v>2</v>
      </c>
      <c r="Q106" s="15">
        <v>0</v>
      </c>
      <c r="R106" s="15">
        <v>5</v>
      </c>
      <c r="S106" s="15">
        <v>1</v>
      </c>
      <c r="T106" s="15">
        <v>0</v>
      </c>
      <c r="U106" s="15">
        <v>4</v>
      </c>
      <c r="V106" s="15">
        <v>2</v>
      </c>
      <c r="W106" s="15">
        <v>4</v>
      </c>
      <c r="X106" s="15">
        <v>4</v>
      </c>
      <c r="Y106" s="15">
        <v>8</v>
      </c>
      <c r="Z106" s="15">
        <v>5</v>
      </c>
      <c r="AA106" s="15">
        <v>7</v>
      </c>
      <c r="AB106" s="15">
        <v>5</v>
      </c>
      <c r="AC106" s="15">
        <v>9</v>
      </c>
      <c r="AD106" s="15">
        <v>2</v>
      </c>
      <c r="AE106" s="15">
        <v>5</v>
      </c>
      <c r="AF106" s="15">
        <v>3</v>
      </c>
      <c r="AG106" s="15">
        <v>9</v>
      </c>
      <c r="AH106" s="15">
        <v>7</v>
      </c>
      <c r="AI106" s="15">
        <v>8</v>
      </c>
      <c r="AJ106" s="15">
        <v>8</v>
      </c>
      <c r="AK106" s="15">
        <v>6</v>
      </c>
      <c r="AL106" s="15">
        <v>5</v>
      </c>
      <c r="AM106" s="15">
        <v>5</v>
      </c>
      <c r="AN106" s="15">
        <v>9</v>
      </c>
      <c r="AO106" s="15">
        <v>10</v>
      </c>
      <c r="AP106" s="15">
        <v>1</v>
      </c>
      <c r="AQ106" s="15">
        <v>1</v>
      </c>
      <c r="AR106" s="15">
        <v>1</v>
      </c>
      <c r="AS106" s="15">
        <v>0</v>
      </c>
      <c r="AT106" s="15">
        <v>2</v>
      </c>
      <c r="AU106" s="15">
        <v>6</v>
      </c>
      <c r="AV106" s="15">
        <v>5</v>
      </c>
      <c r="AW106" s="15">
        <v>2</v>
      </c>
      <c r="AX106" s="15">
        <v>1</v>
      </c>
      <c r="AY106" s="15">
        <v>0</v>
      </c>
      <c r="AZ106" s="15">
        <v>0</v>
      </c>
      <c r="BA106" s="15">
        <v>0</v>
      </c>
      <c r="BB106" s="15">
        <v>0</v>
      </c>
      <c r="BC106" s="15">
        <v>0</v>
      </c>
      <c r="BD106" s="15">
        <v>0</v>
      </c>
    </row>
    <row r="107" spans="1:56" x14ac:dyDescent="0.35">
      <c r="A107" s="14" t="s">
        <v>97</v>
      </c>
      <c r="B107" s="15">
        <v>303</v>
      </c>
      <c r="C107" s="16">
        <v>531.38317461987697</v>
      </c>
      <c r="D107" s="15">
        <v>17</v>
      </c>
      <c r="E107" s="15">
        <v>3</v>
      </c>
      <c r="F107" s="15">
        <v>2</v>
      </c>
      <c r="G107" s="15">
        <v>0</v>
      </c>
      <c r="H107" s="15">
        <v>5</v>
      </c>
      <c r="I107" s="15">
        <v>3</v>
      </c>
      <c r="J107" s="15">
        <v>2</v>
      </c>
      <c r="K107" s="15">
        <v>2</v>
      </c>
      <c r="L107" s="15">
        <v>3</v>
      </c>
      <c r="M107" s="15">
        <v>1</v>
      </c>
      <c r="N107" s="15">
        <v>3</v>
      </c>
      <c r="O107" s="15">
        <v>1</v>
      </c>
      <c r="P107" s="15">
        <v>7</v>
      </c>
      <c r="Q107" s="15">
        <v>2</v>
      </c>
      <c r="R107" s="15">
        <v>6</v>
      </c>
      <c r="S107" s="15">
        <v>5</v>
      </c>
      <c r="T107" s="15">
        <v>7</v>
      </c>
      <c r="U107" s="15">
        <v>9</v>
      </c>
      <c r="V107" s="15">
        <v>7</v>
      </c>
      <c r="W107" s="15">
        <v>10</v>
      </c>
      <c r="X107" s="15">
        <v>9</v>
      </c>
      <c r="Y107" s="15">
        <v>5</v>
      </c>
      <c r="Z107" s="15">
        <v>7</v>
      </c>
      <c r="AA107" s="15">
        <v>10</v>
      </c>
      <c r="AB107" s="15">
        <v>5</v>
      </c>
      <c r="AC107" s="15">
        <v>5</v>
      </c>
      <c r="AD107" s="15">
        <v>6</v>
      </c>
      <c r="AE107" s="15">
        <v>13</v>
      </c>
      <c r="AF107" s="15">
        <v>5</v>
      </c>
      <c r="AG107" s="15">
        <v>7</v>
      </c>
      <c r="AH107" s="15">
        <v>9</v>
      </c>
      <c r="AI107" s="15">
        <v>7</v>
      </c>
      <c r="AJ107" s="15">
        <v>14</v>
      </c>
      <c r="AK107" s="15">
        <v>6</v>
      </c>
      <c r="AL107" s="15">
        <v>13</v>
      </c>
      <c r="AM107" s="15">
        <v>7</v>
      </c>
      <c r="AN107" s="15">
        <v>10</v>
      </c>
      <c r="AO107" s="15">
        <v>8</v>
      </c>
      <c r="AP107" s="15">
        <v>5</v>
      </c>
      <c r="AQ107" s="15">
        <v>10</v>
      </c>
      <c r="AR107" s="15">
        <v>6</v>
      </c>
      <c r="AS107" s="15">
        <v>7</v>
      </c>
      <c r="AT107" s="15">
        <v>6</v>
      </c>
      <c r="AU107" s="15">
        <v>8</v>
      </c>
      <c r="AV107" s="15">
        <v>5</v>
      </c>
      <c r="AW107" s="15">
        <v>3</v>
      </c>
      <c r="AX107" s="15">
        <v>3</v>
      </c>
      <c r="AY107" s="15">
        <v>4</v>
      </c>
      <c r="AZ107" s="15">
        <v>5</v>
      </c>
      <c r="BA107" s="15">
        <v>0</v>
      </c>
      <c r="BB107" s="15">
        <v>0</v>
      </c>
      <c r="BC107" s="15">
        <v>0</v>
      </c>
      <c r="BD107" s="15">
        <v>0</v>
      </c>
    </row>
    <row r="108" spans="1:56" x14ac:dyDescent="0.35">
      <c r="A108" s="14"/>
      <c r="B108" s="12"/>
      <c r="C108" s="13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2"/>
      <c r="AZ108" s="2"/>
      <c r="BA108" s="2"/>
      <c r="BB108" s="2"/>
      <c r="BC108" s="2"/>
      <c r="BD108" s="2"/>
    </row>
    <row r="109" spans="1:56" x14ac:dyDescent="0.35">
      <c r="A109" s="14" t="s">
        <v>98</v>
      </c>
      <c r="B109" s="10">
        <v>0</v>
      </c>
      <c r="C109" s="13"/>
      <c r="D109" s="15">
        <v>0</v>
      </c>
      <c r="E109" s="15">
        <v>0</v>
      </c>
      <c r="F109" s="15">
        <v>0</v>
      </c>
      <c r="G109" s="15">
        <v>0</v>
      </c>
      <c r="H109" s="15">
        <v>0</v>
      </c>
      <c r="I109" s="15">
        <v>0</v>
      </c>
      <c r="J109" s="15">
        <v>0</v>
      </c>
      <c r="K109" s="15">
        <v>0</v>
      </c>
      <c r="L109" s="15">
        <v>0</v>
      </c>
      <c r="M109" s="15">
        <v>0</v>
      </c>
      <c r="N109" s="15">
        <v>0</v>
      </c>
      <c r="O109" s="15">
        <v>0</v>
      </c>
      <c r="P109" s="15">
        <v>0</v>
      </c>
      <c r="Q109" s="15">
        <v>0</v>
      </c>
      <c r="R109" s="15">
        <v>0</v>
      </c>
      <c r="S109" s="15">
        <v>0</v>
      </c>
      <c r="T109" s="15">
        <v>0</v>
      </c>
      <c r="U109" s="15">
        <v>0</v>
      </c>
      <c r="V109" s="15">
        <v>0</v>
      </c>
      <c r="W109" s="15">
        <v>0</v>
      </c>
      <c r="X109" s="15">
        <v>0</v>
      </c>
      <c r="Y109" s="15">
        <v>0</v>
      </c>
      <c r="Z109" s="15">
        <v>0</v>
      </c>
      <c r="AA109" s="15">
        <v>0</v>
      </c>
      <c r="AB109" s="15">
        <v>0</v>
      </c>
      <c r="AC109" s="15">
        <v>0</v>
      </c>
      <c r="AD109" s="15">
        <v>0</v>
      </c>
      <c r="AE109" s="15">
        <v>0</v>
      </c>
      <c r="AF109" s="15">
        <v>0</v>
      </c>
      <c r="AG109" s="15">
        <v>0</v>
      </c>
      <c r="AH109" s="15">
        <v>0</v>
      </c>
      <c r="AI109" s="15">
        <v>0</v>
      </c>
      <c r="AJ109" s="15">
        <v>0</v>
      </c>
      <c r="AK109" s="15">
        <v>0</v>
      </c>
      <c r="AL109" s="15">
        <v>0</v>
      </c>
      <c r="AM109" s="15">
        <v>0</v>
      </c>
      <c r="AN109" s="15">
        <v>0</v>
      </c>
      <c r="AO109" s="15">
        <v>0</v>
      </c>
      <c r="AP109" s="15">
        <v>0</v>
      </c>
      <c r="AQ109" s="15">
        <v>0</v>
      </c>
      <c r="AR109" s="15">
        <v>0</v>
      </c>
      <c r="AS109" s="15">
        <v>0</v>
      </c>
      <c r="AT109" s="15">
        <v>0</v>
      </c>
      <c r="AU109" s="15">
        <v>0</v>
      </c>
      <c r="AV109" s="15">
        <v>0</v>
      </c>
      <c r="AW109" s="15">
        <v>0</v>
      </c>
      <c r="AX109" s="15">
        <v>0</v>
      </c>
      <c r="AY109" s="15">
        <v>0</v>
      </c>
      <c r="AZ109" s="15">
        <v>0</v>
      </c>
      <c r="BA109" s="15">
        <v>0</v>
      </c>
      <c r="BB109" s="15">
        <v>0</v>
      </c>
      <c r="BC109" s="15">
        <v>0</v>
      </c>
      <c r="BD109" s="15">
        <v>0</v>
      </c>
    </row>
    <row r="110" spans="1:56" x14ac:dyDescent="0.35">
      <c r="A110" s="14" t="s">
        <v>99</v>
      </c>
      <c r="B110" s="10">
        <v>0</v>
      </c>
      <c r="C110" s="13"/>
      <c r="D110" s="15">
        <v>0</v>
      </c>
      <c r="E110" s="15">
        <v>0</v>
      </c>
      <c r="F110" s="15">
        <v>0</v>
      </c>
      <c r="G110" s="15">
        <v>0</v>
      </c>
      <c r="H110" s="15">
        <v>0</v>
      </c>
      <c r="I110" s="15">
        <v>0</v>
      </c>
      <c r="J110" s="15">
        <v>0</v>
      </c>
      <c r="K110" s="15">
        <v>0</v>
      </c>
      <c r="L110" s="15">
        <v>0</v>
      </c>
      <c r="M110" s="15">
        <v>0</v>
      </c>
      <c r="N110" s="15">
        <v>0</v>
      </c>
      <c r="O110" s="15">
        <v>0</v>
      </c>
      <c r="P110" s="15">
        <v>0</v>
      </c>
      <c r="Q110" s="15">
        <v>0</v>
      </c>
      <c r="R110" s="15">
        <v>0</v>
      </c>
      <c r="S110" s="15">
        <v>0</v>
      </c>
      <c r="T110" s="15">
        <v>0</v>
      </c>
      <c r="U110" s="15">
        <v>0</v>
      </c>
      <c r="V110" s="15">
        <v>0</v>
      </c>
      <c r="W110" s="15">
        <v>0</v>
      </c>
      <c r="X110" s="15">
        <v>0</v>
      </c>
      <c r="Y110" s="15">
        <v>0</v>
      </c>
      <c r="Z110" s="15">
        <v>0</v>
      </c>
      <c r="AA110" s="15">
        <v>0</v>
      </c>
      <c r="AB110" s="15">
        <v>0</v>
      </c>
      <c r="AC110" s="15">
        <v>0</v>
      </c>
      <c r="AD110" s="15">
        <v>0</v>
      </c>
      <c r="AE110" s="15">
        <v>0</v>
      </c>
      <c r="AF110" s="15">
        <v>0</v>
      </c>
      <c r="AG110" s="15">
        <v>0</v>
      </c>
      <c r="AH110" s="15">
        <v>0</v>
      </c>
      <c r="AI110" s="15">
        <v>0</v>
      </c>
      <c r="AJ110" s="15">
        <v>0</v>
      </c>
      <c r="AK110" s="15">
        <v>0</v>
      </c>
      <c r="AL110" s="15">
        <v>0</v>
      </c>
      <c r="AM110" s="15">
        <v>0</v>
      </c>
      <c r="AN110" s="15">
        <v>0</v>
      </c>
      <c r="AO110" s="15">
        <v>0</v>
      </c>
      <c r="AP110" s="15">
        <v>0</v>
      </c>
      <c r="AQ110" s="15">
        <v>0</v>
      </c>
      <c r="AR110" s="15">
        <v>0</v>
      </c>
      <c r="AS110" s="15">
        <v>0</v>
      </c>
      <c r="AT110" s="15">
        <v>0</v>
      </c>
      <c r="AU110" s="15">
        <v>0</v>
      </c>
      <c r="AV110" s="15">
        <v>0</v>
      </c>
      <c r="AW110" s="15">
        <v>0</v>
      </c>
      <c r="AX110" s="15">
        <v>0</v>
      </c>
      <c r="AY110" s="15">
        <v>0</v>
      </c>
      <c r="AZ110" s="15">
        <v>0</v>
      </c>
      <c r="BA110" s="15">
        <v>0</v>
      </c>
      <c r="BB110" s="15">
        <v>0</v>
      </c>
      <c r="BC110" s="15">
        <v>0</v>
      </c>
      <c r="BD110" s="15">
        <v>0</v>
      </c>
    </row>
    <row r="111" spans="1:56" x14ac:dyDescent="0.35">
      <c r="A111" s="17" t="s">
        <v>100</v>
      </c>
      <c r="B111" s="18"/>
      <c r="C111" s="18"/>
      <c r="D111" s="18"/>
      <c r="E111" s="18"/>
      <c r="F111" s="18"/>
      <c r="G111" s="18"/>
      <c r="H111" s="18"/>
      <c r="I111" s="18"/>
      <c r="J111" s="18"/>
      <c r="K111" s="18"/>
      <c r="L111" s="18"/>
      <c r="M111" s="18"/>
      <c r="N111" s="18"/>
      <c r="O111" s="18"/>
      <c r="P111" s="18"/>
      <c r="Q111" s="18"/>
      <c r="R111" s="18"/>
      <c r="S111" s="18"/>
      <c r="T111" s="18"/>
      <c r="U111" s="18"/>
      <c r="V111" s="18"/>
      <c r="W111" s="18"/>
      <c r="X111" s="18"/>
      <c r="Y111" s="18"/>
      <c r="Z111" s="18"/>
      <c r="AA111" s="18"/>
      <c r="AB111" s="18"/>
      <c r="AC111" s="18"/>
      <c r="AD111" s="18"/>
      <c r="AE111" s="18"/>
      <c r="AF111" s="18"/>
      <c r="AG111" s="18"/>
      <c r="AH111" s="18"/>
      <c r="AI111" s="18"/>
      <c r="AJ111" s="18"/>
      <c r="AK111" s="18"/>
      <c r="AL111" s="18"/>
      <c r="AM111" s="18"/>
      <c r="AN111" s="18"/>
      <c r="AO111" s="18"/>
      <c r="AP111" s="18"/>
      <c r="AQ111" s="18"/>
      <c r="AR111" s="18"/>
      <c r="AS111" s="18"/>
      <c r="AT111" s="18"/>
      <c r="AU111" s="18"/>
      <c r="AV111" s="18"/>
      <c r="AW111" s="18"/>
      <c r="AX111" s="18"/>
      <c r="AY111" s="18"/>
      <c r="AZ111" s="18"/>
      <c r="BA111" s="18"/>
      <c r="BB111" s="18"/>
      <c r="BC111" s="18"/>
      <c r="BD111" s="18"/>
    </row>
    <row r="112" spans="1:56" x14ac:dyDescent="0.35">
      <c r="A112" s="14" t="s">
        <v>103</v>
      </c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  <c r="BC112" s="2"/>
      <c r="BD112" s="2"/>
    </row>
    <row r="113" spans="1:56" x14ac:dyDescent="0.35">
      <c r="A113" s="14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/>
      <c r="BB113" s="2"/>
      <c r="BC113" s="2"/>
      <c r="BD113" s="2"/>
    </row>
  </sheetData>
  <mergeCells count="58">
    <mergeCell ref="BD8:BD9"/>
    <mergeCell ref="AS8:AS9"/>
    <mergeCell ref="AT8:AT9"/>
    <mergeCell ref="AU8:AU9"/>
    <mergeCell ref="AV8:AV9"/>
    <mergeCell ref="AW8:AW9"/>
    <mergeCell ref="AX8:AX9"/>
    <mergeCell ref="AY8:AY9"/>
    <mergeCell ref="AZ8:AZ9"/>
    <mergeCell ref="BA8:BA9"/>
    <mergeCell ref="BB8:BB9"/>
    <mergeCell ref="BC8:BC9"/>
    <mergeCell ref="AR8:AR9"/>
    <mergeCell ref="AG8:AG9"/>
    <mergeCell ref="AH8:AH9"/>
    <mergeCell ref="AI8:AI9"/>
    <mergeCell ref="AJ8:AJ9"/>
    <mergeCell ref="AK8:AK9"/>
    <mergeCell ref="AL8:AL9"/>
    <mergeCell ref="AM8:AM9"/>
    <mergeCell ref="AN8:AN9"/>
    <mergeCell ref="AO8:AO9"/>
    <mergeCell ref="AP8:AP9"/>
    <mergeCell ref="AQ8:AQ9"/>
    <mergeCell ref="S8:S9"/>
    <mergeCell ref="AF8:AF9"/>
    <mergeCell ref="U8:U9"/>
    <mergeCell ref="V8:V9"/>
    <mergeCell ref="W8:W9"/>
    <mergeCell ref="X8:X9"/>
    <mergeCell ref="Y8:Y9"/>
    <mergeCell ref="Z8:Z9"/>
    <mergeCell ref="AA8:AA9"/>
    <mergeCell ref="AB8:AB9"/>
    <mergeCell ref="AC8:AC9"/>
    <mergeCell ref="AD8:AD9"/>
    <mergeCell ref="AE8:AE9"/>
    <mergeCell ref="N8:N9"/>
    <mergeCell ref="O8:O9"/>
    <mergeCell ref="P8:P9"/>
    <mergeCell ref="Q8:Q9"/>
    <mergeCell ref="R8:R9"/>
    <mergeCell ref="A7:A9"/>
    <mergeCell ref="B7:C7"/>
    <mergeCell ref="D7:BD7"/>
    <mergeCell ref="B8:B9"/>
    <mergeCell ref="C8:C9"/>
    <mergeCell ref="D8:D9"/>
    <mergeCell ref="E8:E9"/>
    <mergeCell ref="F8:F9"/>
    <mergeCell ref="G8:G9"/>
    <mergeCell ref="H8:H9"/>
    <mergeCell ref="T8:T9"/>
    <mergeCell ref="I8:I9"/>
    <mergeCell ref="J8:J9"/>
    <mergeCell ref="K8:K9"/>
    <mergeCell ref="L8:L9"/>
    <mergeCell ref="M8:M9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2EDD2B-2A62-450D-A082-2AA5AA4A93C5}">
  <dimension ref="A1:BD116"/>
  <sheetViews>
    <sheetView topLeftCell="AS107" workbookViewId="0">
      <selection activeCell="B115" sqref="B115:BD115"/>
    </sheetView>
  </sheetViews>
  <sheetFormatPr baseColWidth="10" defaultColWidth="11.453125" defaultRowHeight="14.5" x14ac:dyDescent="0.35"/>
  <sheetData>
    <row r="1" spans="1:56" x14ac:dyDescent="0.35">
      <c r="A1" s="1"/>
      <c r="B1" s="2"/>
      <c r="C1" s="3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</row>
    <row r="2" spans="1:56" x14ac:dyDescent="0.35">
      <c r="A2" s="1" t="s">
        <v>0</v>
      </c>
      <c r="B2" s="2"/>
      <c r="C2" s="3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</row>
    <row r="3" spans="1:56" x14ac:dyDescent="0.35">
      <c r="A3" s="1" t="s">
        <v>1</v>
      </c>
      <c r="B3" s="2"/>
      <c r="C3" s="3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</row>
    <row r="4" spans="1:56" x14ac:dyDescent="0.35">
      <c r="A4" s="4" t="s">
        <v>2</v>
      </c>
      <c r="B4" s="2"/>
      <c r="C4" s="3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  <c r="AU4" s="2"/>
      <c r="AV4" s="2"/>
      <c r="AW4" s="2"/>
      <c r="AX4" s="2"/>
      <c r="AY4" s="2"/>
      <c r="AZ4" s="2"/>
      <c r="BA4" s="2"/>
      <c r="BB4" s="2"/>
      <c r="BC4" s="2"/>
      <c r="BD4" s="2"/>
    </row>
    <row r="5" spans="1:56" x14ac:dyDescent="0.35">
      <c r="A5" s="1" t="s">
        <v>109</v>
      </c>
      <c r="B5" s="2"/>
      <c r="C5" s="3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  <c r="AN5" s="2"/>
      <c r="AO5" s="2"/>
      <c r="AP5" s="2"/>
      <c r="AQ5" s="2"/>
      <c r="AR5" s="2"/>
      <c r="AS5" s="2"/>
      <c r="AT5" s="2"/>
      <c r="AU5" s="2"/>
      <c r="AV5" s="2"/>
      <c r="AW5" s="2"/>
      <c r="AX5" s="2"/>
      <c r="AY5" s="2"/>
      <c r="AZ5" s="2"/>
      <c r="BA5" s="2"/>
      <c r="BB5" s="2"/>
      <c r="BC5" s="2"/>
      <c r="BD5" s="2"/>
    </row>
    <row r="6" spans="1:56" x14ac:dyDescent="0.35">
      <c r="A6" s="5"/>
      <c r="B6" s="6"/>
      <c r="C6" s="7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  <c r="AM6" s="2"/>
      <c r="AN6" s="2"/>
      <c r="AO6" s="2"/>
      <c r="AP6" s="2"/>
      <c r="AQ6" s="2"/>
      <c r="AR6" s="2"/>
      <c r="AS6" s="2"/>
      <c r="AT6" s="2"/>
      <c r="AU6" s="2"/>
      <c r="AV6" s="2"/>
      <c r="AW6" s="2"/>
      <c r="AX6" s="2"/>
      <c r="AY6" s="2"/>
      <c r="AZ6" s="2"/>
      <c r="BA6" s="2"/>
      <c r="BB6" s="2"/>
      <c r="BC6" s="2"/>
      <c r="BD6" s="2"/>
    </row>
    <row r="7" spans="1:56" x14ac:dyDescent="0.35">
      <c r="A7" s="77" t="s">
        <v>4</v>
      </c>
      <c r="B7" s="80" t="s">
        <v>5</v>
      </c>
      <c r="C7" s="80"/>
      <c r="D7" s="81" t="s">
        <v>6</v>
      </c>
      <c r="E7" s="81"/>
      <c r="F7" s="81"/>
      <c r="G7" s="81"/>
      <c r="H7" s="81"/>
      <c r="I7" s="81"/>
      <c r="J7" s="81"/>
      <c r="K7" s="81"/>
      <c r="L7" s="81"/>
      <c r="M7" s="81"/>
      <c r="N7" s="81"/>
      <c r="O7" s="81"/>
      <c r="P7" s="81"/>
      <c r="Q7" s="81"/>
      <c r="R7" s="81"/>
      <c r="S7" s="81"/>
      <c r="T7" s="81"/>
      <c r="U7" s="81"/>
      <c r="V7" s="81"/>
      <c r="W7" s="81"/>
      <c r="X7" s="81"/>
      <c r="Y7" s="81"/>
      <c r="Z7" s="81"/>
      <c r="AA7" s="81"/>
      <c r="AB7" s="81"/>
      <c r="AC7" s="81"/>
      <c r="AD7" s="81"/>
      <c r="AE7" s="81"/>
      <c r="AF7" s="81"/>
      <c r="AG7" s="81"/>
      <c r="AH7" s="81"/>
      <c r="AI7" s="81"/>
      <c r="AJ7" s="81"/>
      <c r="AK7" s="81"/>
      <c r="AL7" s="81"/>
      <c r="AM7" s="81"/>
      <c r="AN7" s="81"/>
      <c r="AO7" s="81"/>
      <c r="AP7" s="81"/>
      <c r="AQ7" s="81"/>
      <c r="AR7" s="81"/>
      <c r="AS7" s="81"/>
      <c r="AT7" s="81"/>
      <c r="AU7" s="81"/>
      <c r="AV7" s="81"/>
      <c r="AW7" s="81"/>
      <c r="AX7" s="81"/>
      <c r="AY7" s="81"/>
      <c r="AZ7" s="81"/>
      <c r="BA7" s="81"/>
      <c r="BB7" s="81"/>
      <c r="BC7" s="81"/>
      <c r="BD7" s="81"/>
    </row>
    <row r="8" spans="1:56" x14ac:dyDescent="0.35">
      <c r="A8" s="78"/>
      <c r="B8" s="82" t="s">
        <v>7</v>
      </c>
      <c r="C8" s="84" t="s">
        <v>8</v>
      </c>
      <c r="D8" s="75">
        <v>1</v>
      </c>
      <c r="E8" s="75">
        <v>2</v>
      </c>
      <c r="F8" s="75">
        <v>3</v>
      </c>
      <c r="G8" s="75">
        <v>4</v>
      </c>
      <c r="H8" s="75">
        <v>5</v>
      </c>
      <c r="I8" s="75">
        <v>6</v>
      </c>
      <c r="J8" s="75">
        <v>7</v>
      </c>
      <c r="K8" s="75">
        <v>8</v>
      </c>
      <c r="L8" s="75">
        <v>9</v>
      </c>
      <c r="M8" s="75">
        <v>10</v>
      </c>
      <c r="N8" s="75">
        <v>11</v>
      </c>
      <c r="O8" s="75">
        <v>12</v>
      </c>
      <c r="P8" s="75">
        <v>13</v>
      </c>
      <c r="Q8" s="75">
        <v>14</v>
      </c>
      <c r="R8" s="75">
        <v>15</v>
      </c>
      <c r="S8" s="75">
        <v>16</v>
      </c>
      <c r="T8" s="75">
        <v>17</v>
      </c>
      <c r="U8" s="75">
        <v>18</v>
      </c>
      <c r="V8" s="75">
        <v>19</v>
      </c>
      <c r="W8" s="75">
        <v>20</v>
      </c>
      <c r="X8" s="75">
        <v>21</v>
      </c>
      <c r="Y8" s="75">
        <v>22</v>
      </c>
      <c r="Z8" s="75">
        <v>23</v>
      </c>
      <c r="AA8" s="75">
        <v>24</v>
      </c>
      <c r="AB8" s="75">
        <v>25</v>
      </c>
      <c r="AC8" s="75">
        <v>26</v>
      </c>
      <c r="AD8" s="75">
        <v>27</v>
      </c>
      <c r="AE8" s="75">
        <v>28</v>
      </c>
      <c r="AF8" s="75">
        <v>29</v>
      </c>
      <c r="AG8" s="75">
        <v>30</v>
      </c>
      <c r="AH8" s="75">
        <v>31</v>
      </c>
      <c r="AI8" s="75">
        <v>32</v>
      </c>
      <c r="AJ8" s="75">
        <v>33</v>
      </c>
      <c r="AK8" s="75">
        <v>34</v>
      </c>
      <c r="AL8" s="75">
        <v>35</v>
      </c>
      <c r="AM8" s="75">
        <v>36</v>
      </c>
      <c r="AN8" s="75">
        <v>37</v>
      </c>
      <c r="AO8" s="75">
        <v>38</v>
      </c>
      <c r="AP8" s="75">
        <v>39</v>
      </c>
      <c r="AQ8" s="75">
        <v>40</v>
      </c>
      <c r="AR8" s="75">
        <v>41</v>
      </c>
      <c r="AS8" s="75">
        <v>42</v>
      </c>
      <c r="AT8" s="75">
        <v>43</v>
      </c>
      <c r="AU8" s="75">
        <v>44</v>
      </c>
      <c r="AV8" s="75">
        <v>45</v>
      </c>
      <c r="AW8" s="75">
        <v>46</v>
      </c>
      <c r="AX8" s="75">
        <v>47</v>
      </c>
      <c r="AY8" s="75">
        <v>48</v>
      </c>
      <c r="AZ8" s="75">
        <v>49</v>
      </c>
      <c r="BA8" s="75">
        <v>50</v>
      </c>
      <c r="BB8" s="75">
        <v>51</v>
      </c>
      <c r="BC8" s="75">
        <v>52</v>
      </c>
      <c r="BD8" s="75">
        <v>53</v>
      </c>
    </row>
    <row r="9" spans="1:56" x14ac:dyDescent="0.35">
      <c r="A9" s="79"/>
      <c r="B9" s="83"/>
      <c r="C9" s="85"/>
      <c r="D9" s="76"/>
      <c r="E9" s="76"/>
      <c r="F9" s="76"/>
      <c r="G9" s="76"/>
      <c r="H9" s="76"/>
      <c r="I9" s="76"/>
      <c r="J9" s="76"/>
      <c r="K9" s="76"/>
      <c r="L9" s="76"/>
      <c r="M9" s="76"/>
      <c r="N9" s="76"/>
      <c r="O9" s="76"/>
      <c r="P9" s="76"/>
      <c r="Q9" s="76"/>
      <c r="R9" s="76"/>
      <c r="S9" s="76"/>
      <c r="T9" s="76"/>
      <c r="U9" s="76"/>
      <c r="V9" s="76"/>
      <c r="W9" s="76"/>
      <c r="X9" s="76"/>
      <c r="Y9" s="76"/>
      <c r="Z9" s="76"/>
      <c r="AA9" s="76"/>
      <c r="AB9" s="76"/>
      <c r="AC9" s="76"/>
      <c r="AD9" s="76"/>
      <c r="AE9" s="76"/>
      <c r="AF9" s="76"/>
      <c r="AG9" s="76"/>
      <c r="AH9" s="76"/>
      <c r="AI9" s="76"/>
      <c r="AJ9" s="76"/>
      <c r="AK9" s="76"/>
      <c r="AL9" s="76"/>
      <c r="AM9" s="76"/>
      <c r="AN9" s="76"/>
      <c r="AO9" s="76"/>
      <c r="AP9" s="76"/>
      <c r="AQ9" s="76"/>
      <c r="AR9" s="76"/>
      <c r="AS9" s="76"/>
      <c r="AT9" s="76"/>
      <c r="AU9" s="76"/>
      <c r="AV9" s="76"/>
      <c r="AW9" s="76"/>
      <c r="AX9" s="76"/>
      <c r="AY9" s="76"/>
      <c r="AZ9" s="76"/>
      <c r="BA9" s="76"/>
      <c r="BB9" s="76"/>
      <c r="BC9" s="76"/>
      <c r="BD9" s="76"/>
    </row>
    <row r="10" spans="1:56" x14ac:dyDescent="0.35">
      <c r="A10" s="8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2"/>
      <c r="AL10" s="2"/>
      <c r="AM10" s="2"/>
      <c r="AN10" s="2"/>
      <c r="AO10" s="2"/>
      <c r="AP10" s="2"/>
      <c r="AQ10" s="2"/>
      <c r="AR10" s="2"/>
      <c r="AS10" s="2"/>
      <c r="AT10" s="2"/>
      <c r="AU10" s="2"/>
      <c r="AV10" s="2"/>
      <c r="AW10" s="2"/>
      <c r="AX10" s="2"/>
      <c r="AY10" s="2"/>
      <c r="AZ10" s="2"/>
      <c r="BA10" s="2"/>
      <c r="BB10" s="2"/>
      <c r="BC10" s="2"/>
      <c r="BD10" s="2"/>
    </row>
    <row r="11" spans="1:56" x14ac:dyDescent="0.35">
      <c r="A11" s="9" t="s">
        <v>9</v>
      </c>
      <c r="B11" s="10">
        <v>30649</v>
      </c>
      <c r="C11" s="11">
        <v>582.43423646841404</v>
      </c>
      <c r="D11" s="10">
        <v>66</v>
      </c>
      <c r="E11" s="10">
        <v>77</v>
      </c>
      <c r="F11" s="10">
        <v>57</v>
      </c>
      <c r="G11" s="10">
        <v>53</v>
      </c>
      <c r="H11" s="10">
        <v>51</v>
      </c>
      <c r="I11" s="10">
        <v>48</v>
      </c>
      <c r="J11" s="10">
        <v>44</v>
      </c>
      <c r="K11" s="10">
        <v>55</v>
      </c>
      <c r="L11" s="10">
        <v>43</v>
      </c>
      <c r="M11" s="10">
        <v>43</v>
      </c>
      <c r="N11" s="10">
        <v>53</v>
      </c>
      <c r="O11" s="10">
        <v>60</v>
      </c>
      <c r="P11" s="10">
        <v>56</v>
      </c>
      <c r="Q11" s="10">
        <v>52</v>
      </c>
      <c r="R11" s="10">
        <v>77</v>
      </c>
      <c r="S11" s="10">
        <v>78</v>
      </c>
      <c r="T11" s="10">
        <v>76</v>
      </c>
      <c r="U11" s="10">
        <v>110</v>
      </c>
      <c r="V11" s="10">
        <v>142</v>
      </c>
      <c r="W11" s="10">
        <v>105</v>
      </c>
      <c r="X11" s="10">
        <v>138</v>
      </c>
      <c r="Y11" s="10">
        <v>146</v>
      </c>
      <c r="Z11" s="10">
        <v>149</v>
      </c>
      <c r="AA11" s="10">
        <v>228</v>
      </c>
      <c r="AB11" s="10">
        <v>237</v>
      </c>
      <c r="AC11" s="10">
        <v>306</v>
      </c>
      <c r="AD11" s="10">
        <v>343</v>
      </c>
      <c r="AE11" s="10">
        <v>436</v>
      </c>
      <c r="AF11" s="10">
        <v>533</v>
      </c>
      <c r="AG11" s="10">
        <v>548</v>
      </c>
      <c r="AH11" s="10">
        <v>787</v>
      </c>
      <c r="AI11" s="10">
        <v>798</v>
      </c>
      <c r="AJ11" s="10">
        <v>945</v>
      </c>
      <c r="AK11" s="10">
        <v>999</v>
      </c>
      <c r="AL11" s="10">
        <v>1097</v>
      </c>
      <c r="AM11" s="10">
        <v>1174</v>
      </c>
      <c r="AN11" s="10">
        <v>976</v>
      </c>
      <c r="AO11" s="10">
        <v>1171</v>
      </c>
      <c r="AP11" s="10">
        <v>1217</v>
      </c>
      <c r="AQ11" s="10">
        <v>1539</v>
      </c>
      <c r="AR11" s="10">
        <v>1486</v>
      </c>
      <c r="AS11" s="10">
        <v>1526</v>
      </c>
      <c r="AT11" s="10">
        <v>1402</v>
      </c>
      <c r="AU11" s="10">
        <v>1471</v>
      </c>
      <c r="AV11" s="10">
        <v>1647</v>
      </c>
      <c r="AW11" s="10">
        <v>1749</v>
      </c>
      <c r="AX11" s="10">
        <v>1520</v>
      </c>
      <c r="AY11" s="10">
        <v>1473</v>
      </c>
      <c r="AZ11" s="10">
        <v>1388</v>
      </c>
      <c r="BA11" s="10">
        <v>1057</v>
      </c>
      <c r="BB11" s="10">
        <v>541</v>
      </c>
      <c r="BC11" s="10">
        <v>276</v>
      </c>
      <c r="BD11" s="10">
        <v>0</v>
      </c>
    </row>
    <row r="12" spans="1:56" x14ac:dyDescent="0.35">
      <c r="A12" s="1"/>
      <c r="B12" s="12"/>
      <c r="C12" s="13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/>
      <c r="AK12" s="2"/>
      <c r="AL12" s="2"/>
      <c r="AM12" s="2"/>
      <c r="AN12" s="2"/>
      <c r="AO12" s="2"/>
      <c r="AP12" s="2"/>
      <c r="AQ12" s="2"/>
      <c r="AR12" s="2"/>
      <c r="AS12" s="2"/>
      <c r="AT12" s="2"/>
      <c r="AU12" s="2"/>
      <c r="AV12" s="2"/>
      <c r="AW12" s="2"/>
      <c r="AX12" s="2"/>
      <c r="AY12" s="2"/>
      <c r="AZ12" s="2"/>
      <c r="BA12" s="2"/>
      <c r="BB12" s="2"/>
      <c r="BC12" s="2"/>
      <c r="BD12" s="2"/>
    </row>
    <row r="13" spans="1:56" x14ac:dyDescent="0.35">
      <c r="A13" s="1" t="s">
        <v>110</v>
      </c>
      <c r="B13" s="10">
        <v>3128</v>
      </c>
      <c r="C13" s="11">
        <v>184.40514895962599</v>
      </c>
      <c r="D13" s="10">
        <v>16</v>
      </c>
      <c r="E13" s="10">
        <v>21</v>
      </c>
      <c r="F13" s="10">
        <v>11</v>
      </c>
      <c r="G13" s="10">
        <v>9</v>
      </c>
      <c r="H13" s="10">
        <v>5</v>
      </c>
      <c r="I13" s="10">
        <v>8</v>
      </c>
      <c r="J13" s="10">
        <v>8</v>
      </c>
      <c r="K13" s="10">
        <v>6</v>
      </c>
      <c r="L13" s="10">
        <v>4</v>
      </c>
      <c r="M13" s="10">
        <v>4</v>
      </c>
      <c r="N13" s="10">
        <v>9</v>
      </c>
      <c r="O13" s="10">
        <v>6</v>
      </c>
      <c r="P13" s="10">
        <v>5</v>
      </c>
      <c r="Q13" s="10">
        <v>6</v>
      </c>
      <c r="R13" s="10">
        <v>12</v>
      </c>
      <c r="S13" s="10">
        <v>3</v>
      </c>
      <c r="T13" s="10">
        <v>3</v>
      </c>
      <c r="U13" s="10">
        <v>3</v>
      </c>
      <c r="V13" s="10">
        <v>10</v>
      </c>
      <c r="W13" s="10">
        <v>4</v>
      </c>
      <c r="X13" s="10">
        <v>1</v>
      </c>
      <c r="Y13" s="10">
        <v>7</v>
      </c>
      <c r="Z13" s="10">
        <v>7</v>
      </c>
      <c r="AA13" s="10">
        <v>27</v>
      </c>
      <c r="AB13" s="10">
        <v>15</v>
      </c>
      <c r="AC13" s="10">
        <v>19</v>
      </c>
      <c r="AD13" s="10">
        <v>19</v>
      </c>
      <c r="AE13" s="10">
        <v>39</v>
      </c>
      <c r="AF13" s="10">
        <v>58</v>
      </c>
      <c r="AG13" s="10">
        <v>38</v>
      </c>
      <c r="AH13" s="10">
        <v>62</v>
      </c>
      <c r="AI13" s="10">
        <v>57</v>
      </c>
      <c r="AJ13" s="10">
        <v>74</v>
      </c>
      <c r="AK13" s="10">
        <v>71</v>
      </c>
      <c r="AL13" s="10">
        <v>88</v>
      </c>
      <c r="AM13" s="10">
        <v>83</v>
      </c>
      <c r="AN13" s="10">
        <v>86</v>
      </c>
      <c r="AO13" s="10">
        <v>109</v>
      </c>
      <c r="AP13" s="10">
        <v>130</v>
      </c>
      <c r="AQ13" s="10">
        <v>151</v>
      </c>
      <c r="AR13" s="10">
        <v>190</v>
      </c>
      <c r="AS13" s="10">
        <v>134</v>
      </c>
      <c r="AT13" s="10">
        <v>166</v>
      </c>
      <c r="AU13" s="10">
        <v>151</v>
      </c>
      <c r="AV13" s="10">
        <v>206</v>
      </c>
      <c r="AW13" s="10">
        <v>230</v>
      </c>
      <c r="AX13" s="10">
        <v>208</v>
      </c>
      <c r="AY13" s="10">
        <v>182</v>
      </c>
      <c r="AZ13" s="10">
        <v>191</v>
      </c>
      <c r="BA13" s="10">
        <v>104</v>
      </c>
      <c r="BB13" s="10">
        <v>53</v>
      </c>
      <c r="BC13" s="10">
        <v>19</v>
      </c>
      <c r="BD13" s="10">
        <v>0</v>
      </c>
    </row>
    <row r="14" spans="1:56" x14ac:dyDescent="0.35">
      <c r="A14" s="14" t="s">
        <v>111</v>
      </c>
      <c r="B14" s="15">
        <v>1508</v>
      </c>
      <c r="C14" s="16">
        <v>425.95861874161426</v>
      </c>
      <c r="D14" s="15">
        <v>10</v>
      </c>
      <c r="E14" s="15">
        <v>5</v>
      </c>
      <c r="F14" s="15">
        <v>9</v>
      </c>
      <c r="G14" s="15">
        <v>4</v>
      </c>
      <c r="H14" s="15">
        <v>3</v>
      </c>
      <c r="I14" s="15">
        <v>5</v>
      </c>
      <c r="J14" s="15">
        <v>1</v>
      </c>
      <c r="K14" s="15">
        <v>3</v>
      </c>
      <c r="L14" s="15">
        <v>1</v>
      </c>
      <c r="M14" s="15">
        <v>1</v>
      </c>
      <c r="N14" s="15">
        <v>1</v>
      </c>
      <c r="O14" s="15">
        <v>4</v>
      </c>
      <c r="P14" s="15">
        <v>1</v>
      </c>
      <c r="Q14" s="15">
        <v>2</v>
      </c>
      <c r="R14" s="15">
        <v>2</v>
      </c>
      <c r="S14" s="15">
        <v>1</v>
      </c>
      <c r="T14" s="15">
        <v>1</v>
      </c>
      <c r="U14" s="15">
        <v>2</v>
      </c>
      <c r="V14" s="15">
        <v>1</v>
      </c>
      <c r="W14" s="15">
        <v>2</v>
      </c>
      <c r="X14" s="15">
        <v>0</v>
      </c>
      <c r="Y14" s="15">
        <v>1</v>
      </c>
      <c r="Z14" s="15">
        <v>1</v>
      </c>
      <c r="AA14" s="15">
        <v>4</v>
      </c>
      <c r="AB14" s="15">
        <v>4</v>
      </c>
      <c r="AC14" s="15">
        <v>5</v>
      </c>
      <c r="AD14" s="15">
        <v>4</v>
      </c>
      <c r="AE14" s="15">
        <v>2</v>
      </c>
      <c r="AF14" s="15">
        <v>9</v>
      </c>
      <c r="AG14" s="15">
        <v>9</v>
      </c>
      <c r="AH14" s="15">
        <v>15</v>
      </c>
      <c r="AI14" s="15">
        <v>19</v>
      </c>
      <c r="AJ14" s="15">
        <v>38</v>
      </c>
      <c r="AK14" s="15">
        <v>36</v>
      </c>
      <c r="AL14" s="15">
        <v>44</v>
      </c>
      <c r="AM14" s="15">
        <v>57</v>
      </c>
      <c r="AN14" s="15">
        <v>46</v>
      </c>
      <c r="AO14" s="15">
        <v>65</v>
      </c>
      <c r="AP14" s="15">
        <v>63</v>
      </c>
      <c r="AQ14" s="15">
        <v>99</v>
      </c>
      <c r="AR14" s="15">
        <v>84</v>
      </c>
      <c r="AS14" s="15">
        <v>73</v>
      </c>
      <c r="AT14" s="15">
        <v>89</v>
      </c>
      <c r="AU14" s="15">
        <v>88</v>
      </c>
      <c r="AV14" s="15">
        <v>117</v>
      </c>
      <c r="AW14" s="15">
        <v>120</v>
      </c>
      <c r="AX14" s="15">
        <v>99</v>
      </c>
      <c r="AY14" s="15">
        <v>90</v>
      </c>
      <c r="AZ14" s="15">
        <v>105</v>
      </c>
      <c r="BA14" s="15">
        <v>47</v>
      </c>
      <c r="BB14" s="15">
        <v>15</v>
      </c>
      <c r="BC14" s="15">
        <v>1</v>
      </c>
      <c r="BD14" s="15">
        <v>0</v>
      </c>
    </row>
    <row r="15" spans="1:56" x14ac:dyDescent="0.35">
      <c r="A15" s="14" t="s">
        <v>112</v>
      </c>
      <c r="B15" s="15">
        <v>25</v>
      </c>
      <c r="C15" s="16">
        <v>34.845148161569988</v>
      </c>
      <c r="D15" s="15">
        <v>0</v>
      </c>
      <c r="E15" s="15">
        <v>3</v>
      </c>
      <c r="F15" s="15">
        <v>0</v>
      </c>
      <c r="G15" s="15">
        <v>0</v>
      </c>
      <c r="H15" s="15">
        <v>0</v>
      </c>
      <c r="I15" s="15">
        <v>0</v>
      </c>
      <c r="J15" s="15">
        <v>0</v>
      </c>
      <c r="K15" s="15">
        <v>0</v>
      </c>
      <c r="L15" s="15">
        <v>0</v>
      </c>
      <c r="M15" s="15">
        <v>1</v>
      </c>
      <c r="N15" s="15">
        <v>0</v>
      </c>
      <c r="O15" s="15">
        <v>0</v>
      </c>
      <c r="P15" s="15">
        <v>0</v>
      </c>
      <c r="Q15" s="15">
        <v>0</v>
      </c>
      <c r="R15" s="15">
        <v>0</v>
      </c>
      <c r="S15" s="15">
        <v>0</v>
      </c>
      <c r="T15" s="15">
        <v>1</v>
      </c>
      <c r="U15" s="15">
        <v>0</v>
      </c>
      <c r="V15" s="15">
        <v>0</v>
      </c>
      <c r="W15" s="15">
        <v>0</v>
      </c>
      <c r="X15" s="15">
        <v>0</v>
      </c>
      <c r="Y15" s="15">
        <v>0</v>
      </c>
      <c r="Z15" s="15">
        <v>0</v>
      </c>
      <c r="AA15" s="15">
        <v>0</v>
      </c>
      <c r="AB15" s="15">
        <v>0</v>
      </c>
      <c r="AC15" s="15">
        <v>0</v>
      </c>
      <c r="AD15" s="15">
        <v>1</v>
      </c>
      <c r="AE15" s="15">
        <v>0</v>
      </c>
      <c r="AF15" s="15">
        <v>1</v>
      </c>
      <c r="AG15" s="15">
        <v>0</v>
      </c>
      <c r="AH15" s="15">
        <v>2</v>
      </c>
      <c r="AI15" s="15">
        <v>0</v>
      </c>
      <c r="AJ15" s="15">
        <v>0</v>
      </c>
      <c r="AK15" s="15">
        <v>0</v>
      </c>
      <c r="AL15" s="15">
        <v>2</v>
      </c>
      <c r="AM15" s="15">
        <v>1</v>
      </c>
      <c r="AN15" s="15">
        <v>2</v>
      </c>
      <c r="AO15" s="15">
        <v>1</v>
      </c>
      <c r="AP15" s="15">
        <v>2</v>
      </c>
      <c r="AQ15" s="15">
        <v>0</v>
      </c>
      <c r="AR15" s="15">
        <v>1</v>
      </c>
      <c r="AS15" s="15">
        <v>0</v>
      </c>
      <c r="AT15" s="15">
        <v>1</v>
      </c>
      <c r="AU15" s="15">
        <v>2</v>
      </c>
      <c r="AV15" s="15">
        <v>0</v>
      </c>
      <c r="AW15" s="15">
        <v>0</v>
      </c>
      <c r="AX15" s="15">
        <v>2</v>
      </c>
      <c r="AY15" s="15">
        <v>0</v>
      </c>
      <c r="AZ15" s="15">
        <v>2</v>
      </c>
      <c r="BA15" s="15">
        <v>0</v>
      </c>
      <c r="BB15" s="15">
        <v>0</v>
      </c>
      <c r="BC15" s="15">
        <v>0</v>
      </c>
      <c r="BD15" s="15">
        <v>0</v>
      </c>
    </row>
    <row r="16" spans="1:56" x14ac:dyDescent="0.35">
      <c r="A16" s="14" t="s">
        <v>113</v>
      </c>
      <c r="B16" s="15">
        <v>247</v>
      </c>
      <c r="C16" s="16">
        <v>98.279511706004982</v>
      </c>
      <c r="D16" s="15">
        <v>1</v>
      </c>
      <c r="E16" s="15">
        <v>0</v>
      </c>
      <c r="F16" s="15">
        <v>0</v>
      </c>
      <c r="G16" s="15">
        <v>0</v>
      </c>
      <c r="H16" s="15">
        <v>0</v>
      </c>
      <c r="I16" s="15">
        <v>1</v>
      </c>
      <c r="J16" s="15">
        <v>1</v>
      </c>
      <c r="K16" s="15">
        <v>0</v>
      </c>
      <c r="L16" s="15">
        <v>0</v>
      </c>
      <c r="M16" s="15">
        <v>0</v>
      </c>
      <c r="N16" s="15">
        <v>0</v>
      </c>
      <c r="O16" s="15">
        <v>0</v>
      </c>
      <c r="P16" s="15">
        <v>0</v>
      </c>
      <c r="Q16" s="15">
        <v>0</v>
      </c>
      <c r="R16" s="15">
        <v>0</v>
      </c>
      <c r="S16" s="15">
        <v>0</v>
      </c>
      <c r="T16" s="15">
        <v>0</v>
      </c>
      <c r="U16" s="15">
        <v>0</v>
      </c>
      <c r="V16" s="15">
        <v>0</v>
      </c>
      <c r="W16" s="15">
        <v>0</v>
      </c>
      <c r="X16" s="15">
        <v>0</v>
      </c>
      <c r="Y16" s="15">
        <v>1</v>
      </c>
      <c r="Z16" s="15">
        <v>0</v>
      </c>
      <c r="AA16" s="15">
        <v>0</v>
      </c>
      <c r="AB16" s="15">
        <v>1</v>
      </c>
      <c r="AC16" s="15">
        <v>0</v>
      </c>
      <c r="AD16" s="15">
        <v>1</v>
      </c>
      <c r="AE16" s="15">
        <v>0</v>
      </c>
      <c r="AF16" s="15">
        <v>0</v>
      </c>
      <c r="AG16" s="15">
        <v>1</v>
      </c>
      <c r="AH16" s="15">
        <v>1</v>
      </c>
      <c r="AI16" s="15">
        <v>0</v>
      </c>
      <c r="AJ16" s="15">
        <v>0</v>
      </c>
      <c r="AK16" s="15">
        <v>4</v>
      </c>
      <c r="AL16" s="15">
        <v>7</v>
      </c>
      <c r="AM16" s="15">
        <v>2</v>
      </c>
      <c r="AN16" s="15">
        <v>4</v>
      </c>
      <c r="AO16" s="15">
        <v>3</v>
      </c>
      <c r="AP16" s="15">
        <v>12</v>
      </c>
      <c r="AQ16" s="15">
        <v>7</v>
      </c>
      <c r="AR16" s="15">
        <v>23</v>
      </c>
      <c r="AS16" s="15">
        <v>10</v>
      </c>
      <c r="AT16" s="15">
        <v>5</v>
      </c>
      <c r="AU16" s="15">
        <v>12</v>
      </c>
      <c r="AV16" s="15">
        <v>31</v>
      </c>
      <c r="AW16" s="15">
        <v>37</v>
      </c>
      <c r="AX16" s="15">
        <v>25</v>
      </c>
      <c r="AY16" s="15">
        <v>19</v>
      </c>
      <c r="AZ16" s="15">
        <v>31</v>
      </c>
      <c r="BA16" s="15">
        <v>7</v>
      </c>
      <c r="BB16" s="15">
        <v>0</v>
      </c>
      <c r="BC16" s="15">
        <v>0</v>
      </c>
      <c r="BD16" s="15">
        <v>0</v>
      </c>
    </row>
    <row r="17" spans="1:56" x14ac:dyDescent="0.35">
      <c r="A17" s="14" t="s">
        <v>114</v>
      </c>
      <c r="B17" s="15">
        <v>45</v>
      </c>
      <c r="C17" s="16">
        <v>115.76456060917884</v>
      </c>
      <c r="D17" s="15">
        <v>0</v>
      </c>
      <c r="E17" s="15">
        <v>1</v>
      </c>
      <c r="F17" s="15">
        <v>0</v>
      </c>
      <c r="G17" s="15">
        <v>0</v>
      </c>
      <c r="H17" s="15">
        <v>0</v>
      </c>
      <c r="I17" s="15">
        <v>0</v>
      </c>
      <c r="J17" s="15">
        <v>0</v>
      </c>
      <c r="K17" s="15">
        <v>0</v>
      </c>
      <c r="L17" s="15">
        <v>0</v>
      </c>
      <c r="M17" s="15">
        <v>0</v>
      </c>
      <c r="N17" s="15">
        <v>0</v>
      </c>
      <c r="O17" s="15">
        <v>0</v>
      </c>
      <c r="P17" s="15">
        <v>0</v>
      </c>
      <c r="Q17" s="15">
        <v>0</v>
      </c>
      <c r="R17" s="15">
        <v>2</v>
      </c>
      <c r="S17" s="15">
        <v>0</v>
      </c>
      <c r="T17" s="15">
        <v>0</v>
      </c>
      <c r="U17" s="15">
        <v>0</v>
      </c>
      <c r="V17" s="15">
        <v>1</v>
      </c>
      <c r="W17" s="15">
        <v>0</v>
      </c>
      <c r="X17" s="15">
        <v>0</v>
      </c>
      <c r="Y17" s="15">
        <v>3</v>
      </c>
      <c r="Z17" s="15">
        <v>0</v>
      </c>
      <c r="AA17" s="15">
        <v>2</v>
      </c>
      <c r="AB17" s="15">
        <v>2</v>
      </c>
      <c r="AC17" s="15">
        <v>1</v>
      </c>
      <c r="AD17" s="15">
        <v>0</v>
      </c>
      <c r="AE17" s="15">
        <v>0</v>
      </c>
      <c r="AF17" s="15">
        <v>0</v>
      </c>
      <c r="AG17" s="15">
        <v>1</v>
      </c>
      <c r="AH17" s="15">
        <v>4</v>
      </c>
      <c r="AI17" s="15">
        <v>1</v>
      </c>
      <c r="AJ17" s="15">
        <v>2</v>
      </c>
      <c r="AK17" s="15">
        <v>1</v>
      </c>
      <c r="AL17" s="15">
        <v>5</v>
      </c>
      <c r="AM17" s="15">
        <v>2</v>
      </c>
      <c r="AN17" s="15">
        <v>3</v>
      </c>
      <c r="AO17" s="15">
        <v>0</v>
      </c>
      <c r="AP17" s="15">
        <v>3</v>
      </c>
      <c r="AQ17" s="15">
        <v>2</v>
      </c>
      <c r="AR17" s="15">
        <v>1</v>
      </c>
      <c r="AS17" s="15">
        <v>0</v>
      </c>
      <c r="AT17" s="15">
        <v>2</v>
      </c>
      <c r="AU17" s="15">
        <v>0</v>
      </c>
      <c r="AV17" s="15">
        <v>0</v>
      </c>
      <c r="AW17" s="15">
        <v>0</v>
      </c>
      <c r="AX17" s="15">
        <v>0</v>
      </c>
      <c r="AY17" s="15">
        <v>0</v>
      </c>
      <c r="AZ17" s="15">
        <v>0</v>
      </c>
      <c r="BA17" s="15">
        <v>3</v>
      </c>
      <c r="BB17" s="15">
        <v>1</v>
      </c>
      <c r="BC17" s="15">
        <v>2</v>
      </c>
      <c r="BD17" s="15">
        <v>0</v>
      </c>
    </row>
    <row r="18" spans="1:56" x14ac:dyDescent="0.35">
      <c r="A18" s="14" t="s">
        <v>115</v>
      </c>
      <c r="B18" s="15">
        <v>3</v>
      </c>
      <c r="C18" s="16">
        <v>15.866299978844934</v>
      </c>
      <c r="D18" s="15">
        <v>0</v>
      </c>
      <c r="E18" s="15">
        <v>0</v>
      </c>
      <c r="F18" s="15">
        <v>0</v>
      </c>
      <c r="G18" s="15">
        <v>0</v>
      </c>
      <c r="H18" s="15">
        <v>0</v>
      </c>
      <c r="I18" s="15">
        <v>0</v>
      </c>
      <c r="J18" s="15">
        <v>0</v>
      </c>
      <c r="K18" s="15">
        <v>0</v>
      </c>
      <c r="L18" s="15">
        <v>0</v>
      </c>
      <c r="M18" s="15">
        <v>0</v>
      </c>
      <c r="N18" s="15">
        <v>0</v>
      </c>
      <c r="O18" s="15">
        <v>0</v>
      </c>
      <c r="P18" s="15">
        <v>0</v>
      </c>
      <c r="Q18" s="15">
        <v>0</v>
      </c>
      <c r="R18" s="15">
        <v>0</v>
      </c>
      <c r="S18" s="15">
        <v>0</v>
      </c>
      <c r="T18" s="15">
        <v>0</v>
      </c>
      <c r="U18" s="15">
        <v>0</v>
      </c>
      <c r="V18" s="15">
        <v>0</v>
      </c>
      <c r="W18" s="15">
        <v>0</v>
      </c>
      <c r="X18" s="15">
        <v>0</v>
      </c>
      <c r="Y18" s="15">
        <v>0</v>
      </c>
      <c r="Z18" s="15">
        <v>0</v>
      </c>
      <c r="AA18" s="15">
        <v>0</v>
      </c>
      <c r="AB18" s="15">
        <v>0</v>
      </c>
      <c r="AC18" s="15">
        <v>0</v>
      </c>
      <c r="AD18" s="15">
        <v>0</v>
      </c>
      <c r="AE18" s="15">
        <v>0</v>
      </c>
      <c r="AF18" s="15">
        <v>0</v>
      </c>
      <c r="AG18" s="15">
        <v>0</v>
      </c>
      <c r="AH18" s="15">
        <v>0</v>
      </c>
      <c r="AI18" s="15">
        <v>0</v>
      </c>
      <c r="AJ18" s="15">
        <v>0</v>
      </c>
      <c r="AK18" s="15">
        <v>0</v>
      </c>
      <c r="AL18" s="15">
        <v>0</v>
      </c>
      <c r="AM18" s="15">
        <v>0</v>
      </c>
      <c r="AN18" s="15">
        <v>0</v>
      </c>
      <c r="AO18" s="15">
        <v>0</v>
      </c>
      <c r="AP18" s="15">
        <v>0</v>
      </c>
      <c r="AQ18" s="15">
        <v>0</v>
      </c>
      <c r="AR18" s="15">
        <v>0</v>
      </c>
      <c r="AS18" s="15">
        <v>0</v>
      </c>
      <c r="AT18" s="15">
        <v>0</v>
      </c>
      <c r="AU18" s="15">
        <v>0</v>
      </c>
      <c r="AV18" s="15">
        <v>1</v>
      </c>
      <c r="AW18" s="15">
        <v>1</v>
      </c>
      <c r="AX18" s="15">
        <v>0</v>
      </c>
      <c r="AY18" s="15">
        <v>0</v>
      </c>
      <c r="AZ18" s="15">
        <v>0</v>
      </c>
      <c r="BA18" s="15">
        <v>0</v>
      </c>
      <c r="BB18" s="15">
        <v>1</v>
      </c>
      <c r="BC18" s="15">
        <v>0</v>
      </c>
      <c r="BD18" s="15">
        <v>0</v>
      </c>
    </row>
    <row r="19" spans="1:56" x14ac:dyDescent="0.35">
      <c r="A19" s="14" t="s">
        <v>116</v>
      </c>
      <c r="B19" s="15">
        <v>67</v>
      </c>
      <c r="C19" s="16">
        <v>103.20394331484904</v>
      </c>
      <c r="D19" s="15">
        <v>0</v>
      </c>
      <c r="E19" s="15">
        <v>0</v>
      </c>
      <c r="F19" s="15">
        <v>0</v>
      </c>
      <c r="G19" s="15">
        <v>0</v>
      </c>
      <c r="H19" s="15">
        <v>0</v>
      </c>
      <c r="I19" s="15">
        <v>0</v>
      </c>
      <c r="J19" s="15">
        <v>0</v>
      </c>
      <c r="K19" s="15">
        <v>0</v>
      </c>
      <c r="L19" s="15">
        <v>0</v>
      </c>
      <c r="M19" s="15">
        <v>0</v>
      </c>
      <c r="N19" s="15">
        <v>0</v>
      </c>
      <c r="O19" s="15">
        <v>0</v>
      </c>
      <c r="P19" s="15">
        <v>1</v>
      </c>
      <c r="Q19" s="15">
        <v>0</v>
      </c>
      <c r="R19" s="15">
        <v>0</v>
      </c>
      <c r="S19" s="15">
        <v>0</v>
      </c>
      <c r="T19" s="15">
        <v>0</v>
      </c>
      <c r="U19" s="15">
        <v>0</v>
      </c>
      <c r="V19" s="15">
        <v>0</v>
      </c>
      <c r="W19" s="15">
        <v>0</v>
      </c>
      <c r="X19" s="15">
        <v>0</v>
      </c>
      <c r="Y19" s="15">
        <v>0</v>
      </c>
      <c r="Z19" s="15">
        <v>0</v>
      </c>
      <c r="AA19" s="15">
        <v>0</v>
      </c>
      <c r="AB19" s="15">
        <v>0</v>
      </c>
      <c r="AC19" s="15">
        <v>0</v>
      </c>
      <c r="AD19" s="15">
        <v>1</v>
      </c>
      <c r="AE19" s="15">
        <v>0</v>
      </c>
      <c r="AF19" s="15">
        <v>0</v>
      </c>
      <c r="AG19" s="15">
        <v>1</v>
      </c>
      <c r="AH19" s="15">
        <v>0</v>
      </c>
      <c r="AI19" s="15">
        <v>1</v>
      </c>
      <c r="AJ19" s="15">
        <v>1</v>
      </c>
      <c r="AK19" s="15">
        <v>0</v>
      </c>
      <c r="AL19" s="15">
        <v>0</v>
      </c>
      <c r="AM19" s="15">
        <v>0</v>
      </c>
      <c r="AN19" s="15">
        <v>0</v>
      </c>
      <c r="AO19" s="15">
        <v>3</v>
      </c>
      <c r="AP19" s="15">
        <v>4</v>
      </c>
      <c r="AQ19" s="15">
        <v>3</v>
      </c>
      <c r="AR19" s="15">
        <v>21</v>
      </c>
      <c r="AS19" s="15">
        <v>7</v>
      </c>
      <c r="AT19" s="15">
        <v>3</v>
      </c>
      <c r="AU19" s="15">
        <v>2</v>
      </c>
      <c r="AV19" s="15">
        <v>7</v>
      </c>
      <c r="AW19" s="15">
        <v>4</v>
      </c>
      <c r="AX19" s="15">
        <v>1</v>
      </c>
      <c r="AY19" s="15">
        <v>2</v>
      </c>
      <c r="AZ19" s="15">
        <v>0</v>
      </c>
      <c r="BA19" s="15">
        <v>1</v>
      </c>
      <c r="BB19" s="15">
        <v>4</v>
      </c>
      <c r="BC19" s="15">
        <v>0</v>
      </c>
      <c r="BD19" s="15">
        <v>0</v>
      </c>
    </row>
    <row r="20" spans="1:56" x14ac:dyDescent="0.35">
      <c r="A20" s="14" t="s">
        <v>117</v>
      </c>
      <c r="B20" s="15">
        <v>68</v>
      </c>
      <c r="C20" s="16">
        <v>219.66662359477968</v>
      </c>
      <c r="D20" s="15">
        <v>0</v>
      </c>
      <c r="E20" s="15">
        <v>0</v>
      </c>
      <c r="F20" s="15">
        <v>0</v>
      </c>
      <c r="G20" s="15">
        <v>1</v>
      </c>
      <c r="H20" s="15">
        <v>0</v>
      </c>
      <c r="I20" s="15">
        <v>0</v>
      </c>
      <c r="J20" s="15">
        <v>0</v>
      </c>
      <c r="K20" s="15">
        <v>1</v>
      </c>
      <c r="L20" s="15">
        <v>0</v>
      </c>
      <c r="M20" s="15">
        <v>0</v>
      </c>
      <c r="N20" s="15">
        <v>0</v>
      </c>
      <c r="O20" s="15">
        <v>0</v>
      </c>
      <c r="P20" s="15">
        <v>0</v>
      </c>
      <c r="Q20" s="15">
        <v>1</v>
      </c>
      <c r="R20" s="15">
        <v>0</v>
      </c>
      <c r="S20" s="15">
        <v>0</v>
      </c>
      <c r="T20" s="15">
        <v>0</v>
      </c>
      <c r="U20" s="15">
        <v>0</v>
      </c>
      <c r="V20" s="15">
        <v>0</v>
      </c>
      <c r="W20" s="15">
        <v>0</v>
      </c>
      <c r="X20" s="15">
        <v>0</v>
      </c>
      <c r="Y20" s="15">
        <v>0</v>
      </c>
      <c r="Z20" s="15">
        <v>0</v>
      </c>
      <c r="AA20" s="15">
        <v>1</v>
      </c>
      <c r="AB20" s="15">
        <v>0</v>
      </c>
      <c r="AC20" s="15">
        <v>0</v>
      </c>
      <c r="AD20" s="15">
        <v>0</v>
      </c>
      <c r="AE20" s="15">
        <v>1</v>
      </c>
      <c r="AF20" s="15">
        <v>1</v>
      </c>
      <c r="AG20" s="15">
        <v>0</v>
      </c>
      <c r="AH20" s="15">
        <v>2</v>
      </c>
      <c r="AI20" s="15">
        <v>2</v>
      </c>
      <c r="AJ20" s="15">
        <v>0</v>
      </c>
      <c r="AK20" s="15">
        <v>5</v>
      </c>
      <c r="AL20" s="15">
        <v>1</v>
      </c>
      <c r="AM20" s="15">
        <v>2</v>
      </c>
      <c r="AN20" s="15">
        <v>2</v>
      </c>
      <c r="AO20" s="15">
        <v>0</v>
      </c>
      <c r="AP20" s="15">
        <v>2</v>
      </c>
      <c r="AQ20" s="15">
        <v>4</v>
      </c>
      <c r="AR20" s="15">
        <v>1</v>
      </c>
      <c r="AS20" s="15">
        <v>5</v>
      </c>
      <c r="AT20" s="15">
        <v>4</v>
      </c>
      <c r="AU20" s="15">
        <v>2</v>
      </c>
      <c r="AV20" s="15">
        <v>1</v>
      </c>
      <c r="AW20" s="15">
        <v>2</v>
      </c>
      <c r="AX20" s="15">
        <v>2</v>
      </c>
      <c r="AY20" s="15">
        <v>5</v>
      </c>
      <c r="AZ20" s="15">
        <v>8</v>
      </c>
      <c r="BA20" s="15">
        <v>6</v>
      </c>
      <c r="BB20" s="15">
        <v>6</v>
      </c>
      <c r="BC20" s="15">
        <v>0</v>
      </c>
      <c r="BD20" s="15">
        <v>0</v>
      </c>
    </row>
    <row r="21" spans="1:56" x14ac:dyDescent="0.35">
      <c r="A21" s="14" t="s">
        <v>118</v>
      </c>
      <c r="B21" s="15">
        <v>52</v>
      </c>
      <c r="C21" s="16">
        <v>36.67136812411848</v>
      </c>
      <c r="D21" s="15">
        <v>0</v>
      </c>
      <c r="E21" s="15">
        <v>0</v>
      </c>
      <c r="F21" s="15">
        <v>0</v>
      </c>
      <c r="G21" s="15">
        <v>0</v>
      </c>
      <c r="H21" s="15">
        <v>0</v>
      </c>
      <c r="I21" s="15">
        <v>0</v>
      </c>
      <c r="J21" s="15">
        <v>0</v>
      </c>
      <c r="K21" s="15">
        <v>0</v>
      </c>
      <c r="L21" s="15">
        <v>0</v>
      </c>
      <c r="M21" s="15">
        <v>0</v>
      </c>
      <c r="N21" s="15">
        <v>1</v>
      </c>
      <c r="O21" s="15">
        <v>0</v>
      </c>
      <c r="P21" s="15">
        <v>0</v>
      </c>
      <c r="Q21" s="15">
        <v>0</v>
      </c>
      <c r="R21" s="15">
        <v>1</v>
      </c>
      <c r="S21" s="15">
        <v>0</v>
      </c>
      <c r="T21" s="15">
        <v>0</v>
      </c>
      <c r="U21" s="15">
        <v>0</v>
      </c>
      <c r="V21" s="15">
        <v>1</v>
      </c>
      <c r="W21" s="15">
        <v>0</v>
      </c>
      <c r="X21" s="15">
        <v>0</v>
      </c>
      <c r="Y21" s="15">
        <v>0</v>
      </c>
      <c r="Z21" s="15">
        <v>0</v>
      </c>
      <c r="AA21" s="15">
        <v>0</v>
      </c>
      <c r="AB21" s="15">
        <v>0</v>
      </c>
      <c r="AC21" s="15">
        <v>0</v>
      </c>
      <c r="AD21" s="15">
        <v>2</v>
      </c>
      <c r="AE21" s="15">
        <v>0</v>
      </c>
      <c r="AF21" s="15">
        <v>2</v>
      </c>
      <c r="AG21" s="15">
        <v>0</v>
      </c>
      <c r="AH21" s="15">
        <v>2</v>
      </c>
      <c r="AI21" s="15">
        <v>0</v>
      </c>
      <c r="AJ21" s="15">
        <v>2</v>
      </c>
      <c r="AK21" s="15">
        <v>2</v>
      </c>
      <c r="AL21" s="15">
        <v>0</v>
      </c>
      <c r="AM21" s="15">
        <v>1</v>
      </c>
      <c r="AN21" s="15">
        <v>1</v>
      </c>
      <c r="AO21" s="15">
        <v>0</v>
      </c>
      <c r="AP21" s="15">
        <v>1</v>
      </c>
      <c r="AQ21" s="15">
        <v>3</v>
      </c>
      <c r="AR21" s="15">
        <v>0</v>
      </c>
      <c r="AS21" s="15">
        <v>3</v>
      </c>
      <c r="AT21" s="15">
        <v>1</v>
      </c>
      <c r="AU21" s="15">
        <v>0</v>
      </c>
      <c r="AV21" s="15">
        <v>2</v>
      </c>
      <c r="AW21" s="15">
        <v>5</v>
      </c>
      <c r="AX21" s="15">
        <v>7</v>
      </c>
      <c r="AY21" s="15">
        <v>6</v>
      </c>
      <c r="AZ21" s="15">
        <v>3</v>
      </c>
      <c r="BA21" s="15">
        <v>2</v>
      </c>
      <c r="BB21" s="15">
        <v>1</v>
      </c>
      <c r="BC21" s="15">
        <v>3</v>
      </c>
      <c r="BD21" s="15">
        <v>0</v>
      </c>
    </row>
    <row r="22" spans="1:56" x14ac:dyDescent="0.35">
      <c r="A22" s="14" t="s">
        <v>119</v>
      </c>
      <c r="B22" s="15">
        <v>419</v>
      </c>
      <c r="C22" s="16">
        <v>669.99264447216092</v>
      </c>
      <c r="D22" s="15">
        <v>1</v>
      </c>
      <c r="E22" s="15">
        <v>8</v>
      </c>
      <c r="F22" s="15">
        <v>0</v>
      </c>
      <c r="G22" s="15">
        <v>1</v>
      </c>
      <c r="H22" s="15">
        <v>1</v>
      </c>
      <c r="I22" s="15">
        <v>0</v>
      </c>
      <c r="J22" s="15">
        <v>6</v>
      </c>
      <c r="K22" s="15">
        <v>0</v>
      </c>
      <c r="L22" s="15">
        <v>0</v>
      </c>
      <c r="M22" s="15">
        <v>1</v>
      </c>
      <c r="N22" s="15">
        <v>7</v>
      </c>
      <c r="O22" s="15">
        <v>0</v>
      </c>
      <c r="P22" s="15">
        <v>0</v>
      </c>
      <c r="Q22" s="15">
        <v>1</v>
      </c>
      <c r="R22" s="15">
        <v>5</v>
      </c>
      <c r="S22" s="15">
        <v>0</v>
      </c>
      <c r="T22" s="15">
        <v>0</v>
      </c>
      <c r="U22" s="15">
        <v>0</v>
      </c>
      <c r="V22" s="15">
        <v>7</v>
      </c>
      <c r="W22" s="15">
        <v>0</v>
      </c>
      <c r="X22" s="15">
        <v>0</v>
      </c>
      <c r="Y22" s="15">
        <v>0</v>
      </c>
      <c r="Z22" s="15">
        <v>0</v>
      </c>
      <c r="AA22" s="15">
        <v>9</v>
      </c>
      <c r="AB22" s="15">
        <v>0</v>
      </c>
      <c r="AC22" s="15">
        <v>0</v>
      </c>
      <c r="AD22" s="15">
        <v>0</v>
      </c>
      <c r="AE22" s="15">
        <v>8</v>
      </c>
      <c r="AF22" s="15">
        <v>7</v>
      </c>
      <c r="AG22" s="15">
        <v>6</v>
      </c>
      <c r="AH22" s="15">
        <v>4</v>
      </c>
      <c r="AI22" s="15">
        <v>18</v>
      </c>
      <c r="AJ22" s="15">
        <v>10</v>
      </c>
      <c r="AK22" s="15">
        <v>4</v>
      </c>
      <c r="AL22" s="15">
        <v>7</v>
      </c>
      <c r="AM22" s="15">
        <v>4</v>
      </c>
      <c r="AN22" s="15">
        <v>18</v>
      </c>
      <c r="AO22" s="15">
        <v>14</v>
      </c>
      <c r="AP22" s="15">
        <v>23</v>
      </c>
      <c r="AQ22" s="15">
        <v>14</v>
      </c>
      <c r="AR22" s="15">
        <v>35</v>
      </c>
      <c r="AS22" s="15">
        <v>19</v>
      </c>
      <c r="AT22" s="15">
        <v>28</v>
      </c>
      <c r="AU22" s="15">
        <v>26</v>
      </c>
      <c r="AV22" s="15">
        <v>14</v>
      </c>
      <c r="AW22" s="15">
        <v>37</v>
      </c>
      <c r="AX22" s="15">
        <v>36</v>
      </c>
      <c r="AY22" s="15">
        <v>26</v>
      </c>
      <c r="AZ22" s="15">
        <v>0</v>
      </c>
      <c r="BA22" s="15">
        <v>13</v>
      </c>
      <c r="BB22" s="15">
        <v>0</v>
      </c>
      <c r="BC22" s="15">
        <v>1</v>
      </c>
      <c r="BD22" s="15">
        <v>0</v>
      </c>
    </row>
    <row r="23" spans="1:56" x14ac:dyDescent="0.35">
      <c r="A23" s="14" t="s">
        <v>120</v>
      </c>
      <c r="B23" s="15">
        <v>155</v>
      </c>
      <c r="C23" s="16">
        <v>157.50591917405927</v>
      </c>
      <c r="D23" s="15">
        <v>2</v>
      </c>
      <c r="E23" s="15">
        <v>2</v>
      </c>
      <c r="F23" s="15">
        <v>1</v>
      </c>
      <c r="G23" s="15">
        <v>1</v>
      </c>
      <c r="H23" s="15">
        <v>1</v>
      </c>
      <c r="I23" s="15">
        <v>1</v>
      </c>
      <c r="J23" s="15">
        <v>0</v>
      </c>
      <c r="K23" s="15">
        <v>1</v>
      </c>
      <c r="L23" s="15">
        <v>0</v>
      </c>
      <c r="M23" s="15">
        <v>1</v>
      </c>
      <c r="N23" s="15">
        <v>0</v>
      </c>
      <c r="O23" s="15">
        <v>2</v>
      </c>
      <c r="P23" s="15">
        <v>1</v>
      </c>
      <c r="Q23" s="15">
        <v>0</v>
      </c>
      <c r="R23" s="15">
        <v>0</v>
      </c>
      <c r="S23" s="15">
        <v>0</v>
      </c>
      <c r="T23" s="15">
        <v>0</v>
      </c>
      <c r="U23" s="15">
        <v>0</v>
      </c>
      <c r="V23" s="15">
        <v>0</v>
      </c>
      <c r="W23" s="15">
        <v>0</v>
      </c>
      <c r="X23" s="15">
        <v>0</v>
      </c>
      <c r="Y23" s="15">
        <v>0</v>
      </c>
      <c r="Z23" s="15">
        <v>0</v>
      </c>
      <c r="AA23" s="15">
        <v>2</v>
      </c>
      <c r="AB23" s="15">
        <v>2</v>
      </c>
      <c r="AC23" s="15">
        <v>2</v>
      </c>
      <c r="AD23" s="15">
        <v>1</v>
      </c>
      <c r="AE23" s="15">
        <v>3</v>
      </c>
      <c r="AF23" s="15">
        <v>1</v>
      </c>
      <c r="AG23" s="15">
        <v>1</v>
      </c>
      <c r="AH23" s="15">
        <v>3</v>
      </c>
      <c r="AI23" s="15">
        <v>2</v>
      </c>
      <c r="AJ23" s="15">
        <v>4</v>
      </c>
      <c r="AK23" s="15">
        <v>0</v>
      </c>
      <c r="AL23" s="15">
        <v>5</v>
      </c>
      <c r="AM23" s="15">
        <v>5</v>
      </c>
      <c r="AN23" s="15">
        <v>3</v>
      </c>
      <c r="AO23" s="15">
        <v>8</v>
      </c>
      <c r="AP23" s="15">
        <v>10</v>
      </c>
      <c r="AQ23" s="15">
        <v>9</v>
      </c>
      <c r="AR23" s="15">
        <v>6</v>
      </c>
      <c r="AS23" s="15">
        <v>6</v>
      </c>
      <c r="AT23" s="15">
        <v>4</v>
      </c>
      <c r="AU23" s="15">
        <v>1</v>
      </c>
      <c r="AV23" s="15">
        <v>14</v>
      </c>
      <c r="AW23" s="15">
        <v>16</v>
      </c>
      <c r="AX23" s="15">
        <v>12</v>
      </c>
      <c r="AY23" s="15">
        <v>7</v>
      </c>
      <c r="AZ23" s="15">
        <v>11</v>
      </c>
      <c r="BA23" s="15">
        <v>4</v>
      </c>
      <c r="BB23" s="15">
        <v>0</v>
      </c>
      <c r="BC23" s="15">
        <v>0</v>
      </c>
      <c r="BD23" s="15">
        <v>0</v>
      </c>
    </row>
    <row r="24" spans="1:56" x14ac:dyDescent="0.35">
      <c r="A24" s="14" t="s">
        <v>121</v>
      </c>
      <c r="B24" s="15">
        <v>14</v>
      </c>
      <c r="C24" s="16">
        <v>19.039329815590492</v>
      </c>
      <c r="D24" s="15">
        <v>0</v>
      </c>
      <c r="E24" s="15">
        <v>1</v>
      </c>
      <c r="F24" s="15">
        <v>0</v>
      </c>
      <c r="G24" s="15">
        <v>1</v>
      </c>
      <c r="H24" s="15">
        <v>0</v>
      </c>
      <c r="I24" s="15">
        <v>0</v>
      </c>
      <c r="J24" s="15">
        <v>0</v>
      </c>
      <c r="K24" s="15">
        <v>0</v>
      </c>
      <c r="L24" s="15">
        <v>1</v>
      </c>
      <c r="M24" s="15">
        <v>0</v>
      </c>
      <c r="N24" s="15">
        <v>0</v>
      </c>
      <c r="O24" s="15">
        <v>0</v>
      </c>
      <c r="P24" s="15">
        <v>0</v>
      </c>
      <c r="Q24" s="15">
        <v>0</v>
      </c>
      <c r="R24" s="15">
        <v>1</v>
      </c>
      <c r="S24" s="15">
        <v>0</v>
      </c>
      <c r="T24" s="15">
        <v>0</v>
      </c>
      <c r="U24" s="15">
        <v>0</v>
      </c>
      <c r="V24" s="15">
        <v>0</v>
      </c>
      <c r="W24" s="15">
        <v>0</v>
      </c>
      <c r="X24" s="15">
        <v>0</v>
      </c>
      <c r="Y24" s="15">
        <v>0</v>
      </c>
      <c r="Z24" s="15">
        <v>0</v>
      </c>
      <c r="AA24" s="15">
        <v>0</v>
      </c>
      <c r="AB24" s="15">
        <v>0</v>
      </c>
      <c r="AC24" s="15">
        <v>0</v>
      </c>
      <c r="AD24" s="15">
        <v>0</v>
      </c>
      <c r="AE24" s="15">
        <v>0</v>
      </c>
      <c r="AF24" s="15">
        <v>0</v>
      </c>
      <c r="AG24" s="15">
        <v>0</v>
      </c>
      <c r="AH24" s="15">
        <v>0</v>
      </c>
      <c r="AI24" s="15">
        <v>0</v>
      </c>
      <c r="AJ24" s="15">
        <v>0</v>
      </c>
      <c r="AK24" s="15">
        <v>0</v>
      </c>
      <c r="AL24" s="15">
        <v>1</v>
      </c>
      <c r="AM24" s="15">
        <v>0</v>
      </c>
      <c r="AN24" s="15">
        <v>1</v>
      </c>
      <c r="AO24" s="15">
        <v>0</v>
      </c>
      <c r="AP24" s="15">
        <v>3</v>
      </c>
      <c r="AQ24" s="15">
        <v>1</v>
      </c>
      <c r="AR24" s="15">
        <v>1</v>
      </c>
      <c r="AS24" s="15">
        <v>0</v>
      </c>
      <c r="AT24" s="15">
        <v>0</v>
      </c>
      <c r="AU24" s="15">
        <v>0</v>
      </c>
      <c r="AV24" s="15">
        <v>1</v>
      </c>
      <c r="AW24" s="15">
        <v>0</v>
      </c>
      <c r="AX24" s="15">
        <v>0</v>
      </c>
      <c r="AY24" s="15">
        <v>1</v>
      </c>
      <c r="AZ24" s="15">
        <v>1</v>
      </c>
      <c r="BA24" s="15">
        <v>0</v>
      </c>
      <c r="BB24" s="15">
        <v>0</v>
      </c>
      <c r="BC24" s="15">
        <v>0</v>
      </c>
      <c r="BD24" s="15">
        <v>0</v>
      </c>
    </row>
    <row r="25" spans="1:56" x14ac:dyDescent="0.35">
      <c r="A25" s="14" t="s">
        <v>122</v>
      </c>
      <c r="B25" s="15">
        <v>9</v>
      </c>
      <c r="C25" s="16">
        <v>40.219868615095855</v>
      </c>
      <c r="D25" s="15">
        <v>0</v>
      </c>
      <c r="E25" s="15">
        <v>0</v>
      </c>
      <c r="F25" s="15">
        <v>0</v>
      </c>
      <c r="G25" s="15">
        <v>0</v>
      </c>
      <c r="H25" s="15">
        <v>0</v>
      </c>
      <c r="I25" s="15">
        <v>0</v>
      </c>
      <c r="J25" s="15">
        <v>0</v>
      </c>
      <c r="K25" s="15">
        <v>0</v>
      </c>
      <c r="L25" s="15">
        <v>0</v>
      </c>
      <c r="M25" s="15">
        <v>0</v>
      </c>
      <c r="N25" s="15">
        <v>0</v>
      </c>
      <c r="O25" s="15">
        <v>0</v>
      </c>
      <c r="P25" s="15">
        <v>0</v>
      </c>
      <c r="Q25" s="15">
        <v>0</v>
      </c>
      <c r="R25" s="15">
        <v>0</v>
      </c>
      <c r="S25" s="15">
        <v>0</v>
      </c>
      <c r="T25" s="15">
        <v>0</v>
      </c>
      <c r="U25" s="15">
        <v>0</v>
      </c>
      <c r="V25" s="15">
        <v>0</v>
      </c>
      <c r="W25" s="15">
        <v>0</v>
      </c>
      <c r="X25" s="15">
        <v>0</v>
      </c>
      <c r="Y25" s="15">
        <v>0</v>
      </c>
      <c r="Z25" s="15">
        <v>0</v>
      </c>
      <c r="AA25" s="15">
        <v>0</v>
      </c>
      <c r="AB25" s="15">
        <v>0</v>
      </c>
      <c r="AC25" s="15">
        <v>0</v>
      </c>
      <c r="AD25" s="15">
        <v>0</v>
      </c>
      <c r="AE25" s="15">
        <v>0</v>
      </c>
      <c r="AF25" s="15">
        <v>0</v>
      </c>
      <c r="AG25" s="15">
        <v>1</v>
      </c>
      <c r="AH25" s="15">
        <v>1</v>
      </c>
      <c r="AI25" s="15">
        <v>0</v>
      </c>
      <c r="AJ25" s="15">
        <v>1</v>
      </c>
      <c r="AK25" s="15">
        <v>0</v>
      </c>
      <c r="AL25" s="15">
        <v>0</v>
      </c>
      <c r="AM25" s="15">
        <v>0</v>
      </c>
      <c r="AN25" s="15">
        <v>0</v>
      </c>
      <c r="AO25" s="15">
        <v>0</v>
      </c>
      <c r="AP25" s="15">
        <v>0</v>
      </c>
      <c r="AQ25" s="15">
        <v>0</v>
      </c>
      <c r="AR25" s="15">
        <v>1</v>
      </c>
      <c r="AS25" s="15">
        <v>0</v>
      </c>
      <c r="AT25" s="15">
        <v>1</v>
      </c>
      <c r="AU25" s="15">
        <v>1</v>
      </c>
      <c r="AV25" s="15">
        <v>0</v>
      </c>
      <c r="AW25" s="15">
        <v>1</v>
      </c>
      <c r="AX25" s="15">
        <v>0</v>
      </c>
      <c r="AY25" s="15">
        <v>1</v>
      </c>
      <c r="AZ25" s="15">
        <v>1</v>
      </c>
      <c r="BA25" s="15">
        <v>0</v>
      </c>
      <c r="BB25" s="15">
        <v>0</v>
      </c>
      <c r="BC25" s="15">
        <v>0</v>
      </c>
      <c r="BD25" s="15">
        <v>0</v>
      </c>
    </row>
    <row r="26" spans="1:56" x14ac:dyDescent="0.35">
      <c r="A26" s="14" t="s">
        <v>123</v>
      </c>
      <c r="B26" s="15">
        <v>89</v>
      </c>
      <c r="C26" s="16">
        <v>102.73814471071709</v>
      </c>
      <c r="D26" s="15">
        <v>0</v>
      </c>
      <c r="E26" s="15">
        <v>0</v>
      </c>
      <c r="F26" s="15">
        <v>1</v>
      </c>
      <c r="G26" s="15">
        <v>0</v>
      </c>
      <c r="H26" s="15">
        <v>0</v>
      </c>
      <c r="I26" s="15">
        <v>1</v>
      </c>
      <c r="J26" s="15">
        <v>0</v>
      </c>
      <c r="K26" s="15">
        <v>1</v>
      </c>
      <c r="L26" s="15">
        <v>0</v>
      </c>
      <c r="M26" s="15">
        <v>0</v>
      </c>
      <c r="N26" s="15">
        <v>0</v>
      </c>
      <c r="O26" s="15">
        <v>0</v>
      </c>
      <c r="P26" s="15">
        <v>0</v>
      </c>
      <c r="Q26" s="15">
        <v>1</v>
      </c>
      <c r="R26" s="15">
        <v>1</v>
      </c>
      <c r="S26" s="15">
        <v>1</v>
      </c>
      <c r="T26" s="15">
        <v>0</v>
      </c>
      <c r="U26" s="15">
        <v>1</v>
      </c>
      <c r="V26" s="15">
        <v>0</v>
      </c>
      <c r="W26" s="15">
        <v>0</v>
      </c>
      <c r="X26" s="15">
        <v>0</v>
      </c>
      <c r="Y26" s="15">
        <v>1</v>
      </c>
      <c r="Z26" s="15">
        <v>0</v>
      </c>
      <c r="AA26" s="15">
        <v>0</v>
      </c>
      <c r="AB26" s="15">
        <v>0</v>
      </c>
      <c r="AC26" s="15">
        <v>0</v>
      </c>
      <c r="AD26" s="15">
        <v>0</v>
      </c>
      <c r="AE26" s="15">
        <v>0</v>
      </c>
      <c r="AF26" s="15">
        <v>0</v>
      </c>
      <c r="AG26" s="15">
        <v>2</v>
      </c>
      <c r="AH26" s="15">
        <v>1</v>
      </c>
      <c r="AI26" s="15">
        <v>1</v>
      </c>
      <c r="AJ26" s="15">
        <v>1</v>
      </c>
      <c r="AK26" s="15">
        <v>3</v>
      </c>
      <c r="AL26" s="15">
        <v>3</v>
      </c>
      <c r="AM26" s="15">
        <v>1</v>
      </c>
      <c r="AN26" s="15">
        <v>0</v>
      </c>
      <c r="AO26" s="15">
        <v>2</v>
      </c>
      <c r="AP26" s="15">
        <v>1</v>
      </c>
      <c r="AQ26" s="15">
        <v>2</v>
      </c>
      <c r="AR26" s="15">
        <v>5</v>
      </c>
      <c r="AS26" s="15">
        <v>0</v>
      </c>
      <c r="AT26" s="15">
        <v>5</v>
      </c>
      <c r="AU26" s="15">
        <v>3</v>
      </c>
      <c r="AV26" s="15">
        <v>3</v>
      </c>
      <c r="AW26" s="15">
        <v>2</v>
      </c>
      <c r="AX26" s="15">
        <v>7</v>
      </c>
      <c r="AY26" s="15">
        <v>6</v>
      </c>
      <c r="AZ26" s="15">
        <v>13</v>
      </c>
      <c r="BA26" s="15">
        <v>8</v>
      </c>
      <c r="BB26" s="15">
        <v>9</v>
      </c>
      <c r="BC26" s="15">
        <v>3</v>
      </c>
      <c r="BD26" s="15">
        <v>0</v>
      </c>
    </row>
    <row r="27" spans="1:56" x14ac:dyDescent="0.35">
      <c r="A27" s="14" t="s">
        <v>124</v>
      </c>
      <c r="B27" s="15">
        <v>24</v>
      </c>
      <c r="C27" s="16">
        <v>37.789919538962984</v>
      </c>
      <c r="D27" s="15">
        <v>0</v>
      </c>
      <c r="E27" s="15">
        <v>0</v>
      </c>
      <c r="F27" s="15">
        <v>0</v>
      </c>
      <c r="G27" s="15">
        <v>0</v>
      </c>
      <c r="H27" s="15">
        <v>0</v>
      </c>
      <c r="I27" s="15">
        <v>0</v>
      </c>
      <c r="J27" s="15">
        <v>0</v>
      </c>
      <c r="K27" s="15">
        <v>0</v>
      </c>
      <c r="L27" s="15">
        <v>0</v>
      </c>
      <c r="M27" s="15">
        <v>0</v>
      </c>
      <c r="N27" s="15">
        <v>0</v>
      </c>
      <c r="O27" s="15">
        <v>0</v>
      </c>
      <c r="P27" s="15">
        <v>0</v>
      </c>
      <c r="Q27" s="15">
        <v>0</v>
      </c>
      <c r="R27" s="15">
        <v>0</v>
      </c>
      <c r="S27" s="15">
        <v>0</v>
      </c>
      <c r="T27" s="15">
        <v>0</v>
      </c>
      <c r="U27" s="15">
        <v>0</v>
      </c>
      <c r="V27" s="15">
        <v>0</v>
      </c>
      <c r="W27" s="15">
        <v>0</v>
      </c>
      <c r="X27" s="15">
        <v>0</v>
      </c>
      <c r="Y27" s="15">
        <v>0</v>
      </c>
      <c r="Z27" s="15">
        <v>0</v>
      </c>
      <c r="AA27" s="15">
        <v>0</v>
      </c>
      <c r="AB27" s="15">
        <v>0</v>
      </c>
      <c r="AC27" s="15">
        <v>0</v>
      </c>
      <c r="AD27" s="15">
        <v>0</v>
      </c>
      <c r="AE27" s="15">
        <v>0</v>
      </c>
      <c r="AF27" s="15">
        <v>1</v>
      </c>
      <c r="AG27" s="15">
        <v>1</v>
      </c>
      <c r="AH27" s="15">
        <v>0</v>
      </c>
      <c r="AI27" s="15">
        <v>0</v>
      </c>
      <c r="AJ27" s="15">
        <v>1</v>
      </c>
      <c r="AK27" s="15">
        <v>1</v>
      </c>
      <c r="AL27" s="15">
        <v>0</v>
      </c>
      <c r="AM27" s="15">
        <v>0</v>
      </c>
      <c r="AN27" s="15">
        <v>2</v>
      </c>
      <c r="AO27" s="15">
        <v>0</v>
      </c>
      <c r="AP27" s="15">
        <v>0</v>
      </c>
      <c r="AQ27" s="15">
        <v>0</v>
      </c>
      <c r="AR27" s="15">
        <v>2</v>
      </c>
      <c r="AS27" s="15">
        <v>0</v>
      </c>
      <c r="AT27" s="15">
        <v>2</v>
      </c>
      <c r="AU27" s="15">
        <v>2</v>
      </c>
      <c r="AV27" s="15">
        <v>1</v>
      </c>
      <c r="AW27" s="15">
        <v>2</v>
      </c>
      <c r="AX27" s="15">
        <v>0</v>
      </c>
      <c r="AY27" s="15">
        <v>2</v>
      </c>
      <c r="AZ27" s="15">
        <v>4</v>
      </c>
      <c r="BA27" s="15">
        <v>1</v>
      </c>
      <c r="BB27" s="15">
        <v>2</v>
      </c>
      <c r="BC27" s="15">
        <v>0</v>
      </c>
      <c r="BD27" s="15">
        <v>0</v>
      </c>
    </row>
    <row r="28" spans="1:56" x14ac:dyDescent="0.35">
      <c r="A28" s="14" t="s">
        <v>125</v>
      </c>
      <c r="B28" s="15">
        <v>40</v>
      </c>
      <c r="C28" s="16">
        <v>63.546531948018938</v>
      </c>
      <c r="D28" s="15">
        <v>1</v>
      </c>
      <c r="E28" s="15">
        <v>0</v>
      </c>
      <c r="F28" s="15">
        <v>0</v>
      </c>
      <c r="G28" s="15">
        <v>1</v>
      </c>
      <c r="H28" s="15">
        <v>0</v>
      </c>
      <c r="I28" s="15">
        <v>0</v>
      </c>
      <c r="J28" s="15">
        <v>0</v>
      </c>
      <c r="K28" s="15">
        <v>0</v>
      </c>
      <c r="L28" s="15">
        <v>0</v>
      </c>
      <c r="M28" s="15">
        <v>0</v>
      </c>
      <c r="N28" s="15">
        <v>0</v>
      </c>
      <c r="O28" s="15">
        <v>0</v>
      </c>
      <c r="P28" s="15">
        <v>1</v>
      </c>
      <c r="Q28" s="15">
        <v>0</v>
      </c>
      <c r="R28" s="15">
        <v>0</v>
      </c>
      <c r="S28" s="15">
        <v>0</v>
      </c>
      <c r="T28" s="15">
        <v>0</v>
      </c>
      <c r="U28" s="15">
        <v>0</v>
      </c>
      <c r="V28" s="15">
        <v>0</v>
      </c>
      <c r="W28" s="15">
        <v>0</v>
      </c>
      <c r="X28" s="15">
        <v>0</v>
      </c>
      <c r="Y28" s="15">
        <v>0</v>
      </c>
      <c r="Z28" s="15">
        <v>0</v>
      </c>
      <c r="AA28" s="15">
        <v>1</v>
      </c>
      <c r="AB28" s="15">
        <v>0</v>
      </c>
      <c r="AC28" s="15">
        <v>0</v>
      </c>
      <c r="AD28" s="15">
        <v>0</v>
      </c>
      <c r="AE28" s="15">
        <v>1</v>
      </c>
      <c r="AF28" s="15">
        <v>1</v>
      </c>
      <c r="AG28" s="15">
        <v>0</v>
      </c>
      <c r="AH28" s="15">
        <v>1</v>
      </c>
      <c r="AI28" s="15">
        <v>0</v>
      </c>
      <c r="AJ28" s="15">
        <v>0</v>
      </c>
      <c r="AK28" s="15">
        <v>2</v>
      </c>
      <c r="AL28" s="15">
        <v>1</v>
      </c>
      <c r="AM28" s="15">
        <v>0</v>
      </c>
      <c r="AN28" s="15">
        <v>0</v>
      </c>
      <c r="AO28" s="15">
        <v>1</v>
      </c>
      <c r="AP28" s="15">
        <v>1</v>
      </c>
      <c r="AQ28" s="15">
        <v>1</v>
      </c>
      <c r="AR28" s="15">
        <v>2</v>
      </c>
      <c r="AS28" s="15">
        <v>4</v>
      </c>
      <c r="AT28" s="15">
        <v>5</v>
      </c>
      <c r="AU28" s="15">
        <v>5</v>
      </c>
      <c r="AV28" s="15">
        <v>1</v>
      </c>
      <c r="AW28" s="15">
        <v>2</v>
      </c>
      <c r="AX28" s="15">
        <v>2</v>
      </c>
      <c r="AY28" s="15">
        <v>1</v>
      </c>
      <c r="AZ28" s="15">
        <v>2</v>
      </c>
      <c r="BA28" s="15">
        <v>1</v>
      </c>
      <c r="BB28" s="15">
        <v>0</v>
      </c>
      <c r="BC28" s="15">
        <v>2</v>
      </c>
      <c r="BD28" s="15">
        <v>0</v>
      </c>
    </row>
    <row r="29" spans="1:56" x14ac:dyDescent="0.35">
      <c r="A29" s="14" t="s">
        <v>126</v>
      </c>
      <c r="B29" s="15">
        <v>167</v>
      </c>
      <c r="C29" s="16">
        <v>2352.1126760563379</v>
      </c>
      <c r="D29" s="15">
        <v>0</v>
      </c>
      <c r="E29" s="15">
        <v>0</v>
      </c>
      <c r="F29" s="15">
        <v>0</v>
      </c>
      <c r="G29" s="15">
        <v>0</v>
      </c>
      <c r="H29" s="15">
        <v>0</v>
      </c>
      <c r="I29" s="15">
        <v>0</v>
      </c>
      <c r="J29" s="15">
        <v>0</v>
      </c>
      <c r="K29" s="15">
        <v>0</v>
      </c>
      <c r="L29" s="15">
        <v>1</v>
      </c>
      <c r="M29" s="15">
        <v>0</v>
      </c>
      <c r="N29" s="15">
        <v>0</v>
      </c>
      <c r="O29" s="15">
        <v>0</v>
      </c>
      <c r="P29" s="15">
        <v>0</v>
      </c>
      <c r="Q29" s="15">
        <v>0</v>
      </c>
      <c r="R29" s="15">
        <v>0</v>
      </c>
      <c r="S29" s="15">
        <v>0</v>
      </c>
      <c r="T29" s="15">
        <v>0</v>
      </c>
      <c r="U29" s="15">
        <v>0</v>
      </c>
      <c r="V29" s="15">
        <v>0</v>
      </c>
      <c r="W29" s="15">
        <v>1</v>
      </c>
      <c r="X29" s="15">
        <v>1</v>
      </c>
      <c r="Y29" s="15">
        <v>0</v>
      </c>
      <c r="Z29" s="15">
        <v>4</v>
      </c>
      <c r="AA29" s="15">
        <v>5</v>
      </c>
      <c r="AB29" s="15">
        <v>5</v>
      </c>
      <c r="AC29" s="15">
        <v>8</v>
      </c>
      <c r="AD29" s="15">
        <v>9</v>
      </c>
      <c r="AE29" s="15">
        <v>24</v>
      </c>
      <c r="AF29" s="15">
        <v>28</v>
      </c>
      <c r="AG29" s="15">
        <v>13</v>
      </c>
      <c r="AH29" s="15">
        <v>26</v>
      </c>
      <c r="AI29" s="15">
        <v>10</v>
      </c>
      <c r="AJ29" s="15">
        <v>8</v>
      </c>
      <c r="AK29" s="15">
        <v>6</v>
      </c>
      <c r="AL29" s="15">
        <v>6</v>
      </c>
      <c r="AM29" s="15">
        <v>1</v>
      </c>
      <c r="AN29" s="15">
        <v>1</v>
      </c>
      <c r="AO29" s="15">
        <v>2</v>
      </c>
      <c r="AP29" s="15">
        <v>0</v>
      </c>
      <c r="AQ29" s="15">
        <v>2</v>
      </c>
      <c r="AR29" s="15">
        <v>1</v>
      </c>
      <c r="AS29" s="15">
        <v>1</v>
      </c>
      <c r="AT29" s="15">
        <v>0</v>
      </c>
      <c r="AU29" s="15">
        <v>1</v>
      </c>
      <c r="AV29" s="15">
        <v>1</v>
      </c>
      <c r="AW29" s="15">
        <v>0</v>
      </c>
      <c r="AX29" s="15">
        <v>0</v>
      </c>
      <c r="AY29" s="15">
        <v>0</v>
      </c>
      <c r="AZ29" s="15">
        <v>0</v>
      </c>
      <c r="BA29" s="15">
        <v>1</v>
      </c>
      <c r="BB29" s="15">
        <v>1</v>
      </c>
      <c r="BC29" s="15">
        <v>0</v>
      </c>
      <c r="BD29" s="15">
        <v>0</v>
      </c>
    </row>
    <row r="30" spans="1:56" x14ac:dyDescent="0.35">
      <c r="A30" s="14" t="s">
        <v>127</v>
      </c>
      <c r="B30" s="15">
        <v>1</v>
      </c>
      <c r="C30" s="16">
        <v>12.357884330202667</v>
      </c>
      <c r="D30" s="15">
        <v>0</v>
      </c>
      <c r="E30" s="15">
        <v>0</v>
      </c>
      <c r="F30" s="15">
        <v>0</v>
      </c>
      <c r="G30" s="15">
        <v>0</v>
      </c>
      <c r="H30" s="15">
        <v>0</v>
      </c>
      <c r="I30" s="15">
        <v>0</v>
      </c>
      <c r="J30" s="15">
        <v>0</v>
      </c>
      <c r="K30" s="15">
        <v>0</v>
      </c>
      <c r="L30" s="15">
        <v>0</v>
      </c>
      <c r="M30" s="15">
        <v>0</v>
      </c>
      <c r="N30" s="15">
        <v>0</v>
      </c>
      <c r="O30" s="15">
        <v>0</v>
      </c>
      <c r="P30" s="15">
        <v>0</v>
      </c>
      <c r="Q30" s="15">
        <v>0</v>
      </c>
      <c r="R30" s="15">
        <v>0</v>
      </c>
      <c r="S30" s="15">
        <v>0</v>
      </c>
      <c r="T30" s="15">
        <v>0</v>
      </c>
      <c r="U30" s="15">
        <v>0</v>
      </c>
      <c r="V30" s="15">
        <v>0</v>
      </c>
      <c r="W30" s="15">
        <v>0</v>
      </c>
      <c r="X30" s="15">
        <v>0</v>
      </c>
      <c r="Y30" s="15">
        <v>0</v>
      </c>
      <c r="Z30" s="15">
        <v>0</v>
      </c>
      <c r="AA30" s="15">
        <v>1</v>
      </c>
      <c r="AB30" s="15">
        <v>0</v>
      </c>
      <c r="AC30" s="15">
        <v>0</v>
      </c>
      <c r="AD30" s="15">
        <v>0</v>
      </c>
      <c r="AE30" s="15">
        <v>0</v>
      </c>
      <c r="AF30" s="15">
        <v>0</v>
      </c>
      <c r="AG30" s="15">
        <v>0</v>
      </c>
      <c r="AH30" s="15">
        <v>0</v>
      </c>
      <c r="AI30" s="15">
        <v>0</v>
      </c>
      <c r="AJ30" s="15">
        <v>0</v>
      </c>
      <c r="AK30" s="15">
        <v>0</v>
      </c>
      <c r="AL30" s="15">
        <v>0</v>
      </c>
      <c r="AM30" s="15">
        <v>0</v>
      </c>
      <c r="AN30" s="15">
        <v>0</v>
      </c>
      <c r="AO30" s="15">
        <v>0</v>
      </c>
      <c r="AP30" s="15">
        <v>0</v>
      </c>
      <c r="AQ30" s="15">
        <v>0</v>
      </c>
      <c r="AR30" s="15">
        <v>0</v>
      </c>
      <c r="AS30" s="15">
        <v>0</v>
      </c>
      <c r="AT30" s="15">
        <v>0</v>
      </c>
      <c r="AU30" s="15">
        <v>0</v>
      </c>
      <c r="AV30" s="15">
        <v>0</v>
      </c>
      <c r="AW30" s="15">
        <v>0</v>
      </c>
      <c r="AX30" s="15">
        <v>0</v>
      </c>
      <c r="AY30" s="15">
        <v>0</v>
      </c>
      <c r="AZ30" s="15">
        <v>0</v>
      </c>
      <c r="BA30" s="15">
        <v>0</v>
      </c>
      <c r="BB30" s="15">
        <v>0</v>
      </c>
      <c r="BC30" s="15">
        <v>0</v>
      </c>
      <c r="BD30" s="15">
        <v>0</v>
      </c>
    </row>
    <row r="31" spans="1:56" x14ac:dyDescent="0.35">
      <c r="A31" s="14" t="s">
        <v>128</v>
      </c>
      <c r="B31" s="15">
        <v>46</v>
      </c>
      <c r="C31" s="16">
        <v>56.655130368381506</v>
      </c>
      <c r="D31" s="15">
        <v>1</v>
      </c>
      <c r="E31" s="15">
        <v>0</v>
      </c>
      <c r="F31" s="15">
        <v>0</v>
      </c>
      <c r="G31" s="15">
        <v>0</v>
      </c>
      <c r="H31" s="15">
        <v>0</v>
      </c>
      <c r="I31" s="15">
        <v>0</v>
      </c>
      <c r="J31" s="15">
        <v>0</v>
      </c>
      <c r="K31" s="15">
        <v>0</v>
      </c>
      <c r="L31" s="15">
        <v>0</v>
      </c>
      <c r="M31" s="15">
        <v>0</v>
      </c>
      <c r="N31" s="15">
        <v>0</v>
      </c>
      <c r="O31" s="15">
        <v>0</v>
      </c>
      <c r="P31" s="15">
        <v>0</v>
      </c>
      <c r="Q31" s="15">
        <v>0</v>
      </c>
      <c r="R31" s="15">
        <v>0</v>
      </c>
      <c r="S31" s="15">
        <v>1</v>
      </c>
      <c r="T31" s="15">
        <v>0</v>
      </c>
      <c r="U31" s="15">
        <v>0</v>
      </c>
      <c r="V31" s="15">
        <v>0</v>
      </c>
      <c r="W31" s="15">
        <v>0</v>
      </c>
      <c r="X31" s="15">
        <v>0</v>
      </c>
      <c r="Y31" s="15">
        <v>1</v>
      </c>
      <c r="Z31" s="15">
        <v>0</v>
      </c>
      <c r="AA31" s="15">
        <v>0</v>
      </c>
      <c r="AB31" s="15">
        <v>1</v>
      </c>
      <c r="AC31" s="15">
        <v>0</v>
      </c>
      <c r="AD31" s="15">
        <v>0</v>
      </c>
      <c r="AE31" s="15">
        <v>0</v>
      </c>
      <c r="AF31" s="15">
        <v>0</v>
      </c>
      <c r="AG31" s="15">
        <v>0</v>
      </c>
      <c r="AH31" s="15">
        <v>0</v>
      </c>
      <c r="AI31" s="15">
        <v>1</v>
      </c>
      <c r="AJ31" s="15">
        <v>1</v>
      </c>
      <c r="AK31" s="15">
        <v>1</v>
      </c>
      <c r="AL31" s="15">
        <v>0</v>
      </c>
      <c r="AM31" s="15">
        <v>2</v>
      </c>
      <c r="AN31" s="15">
        <v>0</v>
      </c>
      <c r="AO31" s="15">
        <v>1</v>
      </c>
      <c r="AP31" s="15">
        <v>2</v>
      </c>
      <c r="AQ31" s="15">
        <v>0</v>
      </c>
      <c r="AR31" s="15">
        <v>3</v>
      </c>
      <c r="AS31" s="15">
        <v>2</v>
      </c>
      <c r="AT31" s="15">
        <v>4</v>
      </c>
      <c r="AU31" s="15">
        <v>3</v>
      </c>
      <c r="AV31" s="15">
        <v>5</v>
      </c>
      <c r="AW31" s="15">
        <v>1</v>
      </c>
      <c r="AX31" s="15">
        <v>4</v>
      </c>
      <c r="AY31" s="15">
        <v>3</v>
      </c>
      <c r="AZ31" s="15">
        <v>2</v>
      </c>
      <c r="BA31" s="15">
        <v>3</v>
      </c>
      <c r="BB31" s="15">
        <v>4</v>
      </c>
      <c r="BC31" s="15">
        <v>0</v>
      </c>
      <c r="BD31" s="15">
        <v>0</v>
      </c>
    </row>
    <row r="32" spans="1:56" x14ac:dyDescent="0.35">
      <c r="A32" s="14" t="s">
        <v>129</v>
      </c>
      <c r="B32" s="15">
        <v>148</v>
      </c>
      <c r="C32" s="16">
        <v>103.28487783771712</v>
      </c>
      <c r="D32" s="15">
        <v>0</v>
      </c>
      <c r="E32" s="15">
        <v>1</v>
      </c>
      <c r="F32" s="15">
        <v>0</v>
      </c>
      <c r="G32" s="15">
        <v>0</v>
      </c>
      <c r="H32" s="15">
        <v>0</v>
      </c>
      <c r="I32" s="15">
        <v>0</v>
      </c>
      <c r="J32" s="15">
        <v>0</v>
      </c>
      <c r="K32" s="15">
        <v>0</v>
      </c>
      <c r="L32" s="15">
        <v>1</v>
      </c>
      <c r="M32" s="15">
        <v>0</v>
      </c>
      <c r="N32" s="15">
        <v>0</v>
      </c>
      <c r="O32" s="15">
        <v>0</v>
      </c>
      <c r="P32" s="15">
        <v>1</v>
      </c>
      <c r="Q32" s="15">
        <v>1</v>
      </c>
      <c r="R32" s="15">
        <v>0</v>
      </c>
      <c r="S32" s="15">
        <v>0</v>
      </c>
      <c r="T32" s="15">
        <v>1</v>
      </c>
      <c r="U32" s="15">
        <v>0</v>
      </c>
      <c r="V32" s="15">
        <v>0</v>
      </c>
      <c r="W32" s="15">
        <v>1</v>
      </c>
      <c r="X32" s="15">
        <v>0</v>
      </c>
      <c r="Y32" s="15">
        <v>0</v>
      </c>
      <c r="Z32" s="15">
        <v>2</v>
      </c>
      <c r="AA32" s="15">
        <v>2</v>
      </c>
      <c r="AB32" s="15">
        <v>0</v>
      </c>
      <c r="AC32" s="15">
        <v>3</v>
      </c>
      <c r="AD32" s="15">
        <v>0</v>
      </c>
      <c r="AE32" s="15">
        <v>0</v>
      </c>
      <c r="AF32" s="15">
        <v>7</v>
      </c>
      <c r="AG32" s="15">
        <v>2</v>
      </c>
      <c r="AH32" s="15">
        <v>0</v>
      </c>
      <c r="AI32" s="15">
        <v>2</v>
      </c>
      <c r="AJ32" s="15">
        <v>5</v>
      </c>
      <c r="AK32" s="15">
        <v>5</v>
      </c>
      <c r="AL32" s="15">
        <v>6</v>
      </c>
      <c r="AM32" s="15">
        <v>5</v>
      </c>
      <c r="AN32" s="15">
        <v>3</v>
      </c>
      <c r="AO32" s="15">
        <v>9</v>
      </c>
      <c r="AP32" s="15">
        <v>3</v>
      </c>
      <c r="AQ32" s="15">
        <v>4</v>
      </c>
      <c r="AR32" s="15">
        <v>3</v>
      </c>
      <c r="AS32" s="15">
        <v>4</v>
      </c>
      <c r="AT32" s="15">
        <v>12</v>
      </c>
      <c r="AU32" s="15">
        <v>3</v>
      </c>
      <c r="AV32" s="15">
        <v>7</v>
      </c>
      <c r="AW32" s="15">
        <v>0</v>
      </c>
      <c r="AX32" s="15">
        <v>11</v>
      </c>
      <c r="AY32" s="15">
        <v>13</v>
      </c>
      <c r="AZ32" s="15">
        <v>8</v>
      </c>
      <c r="BA32" s="15">
        <v>7</v>
      </c>
      <c r="BB32" s="15">
        <v>9</v>
      </c>
      <c r="BC32" s="15">
        <v>7</v>
      </c>
      <c r="BD32" s="15">
        <v>0</v>
      </c>
    </row>
    <row r="33" spans="1:56" x14ac:dyDescent="0.35">
      <c r="A33" s="14" t="s">
        <v>130</v>
      </c>
      <c r="B33" s="15">
        <v>1</v>
      </c>
      <c r="C33" s="16">
        <v>7.0937078811094558</v>
      </c>
      <c r="D33" s="15">
        <v>0</v>
      </c>
      <c r="E33" s="15">
        <v>0</v>
      </c>
      <c r="F33" s="15">
        <v>0</v>
      </c>
      <c r="G33" s="15">
        <v>0</v>
      </c>
      <c r="H33" s="15">
        <v>0</v>
      </c>
      <c r="I33" s="15">
        <v>0</v>
      </c>
      <c r="J33" s="15">
        <v>0</v>
      </c>
      <c r="K33" s="15">
        <v>0</v>
      </c>
      <c r="L33" s="15">
        <v>0</v>
      </c>
      <c r="M33" s="15">
        <v>0</v>
      </c>
      <c r="N33" s="15">
        <v>0</v>
      </c>
      <c r="O33" s="15">
        <v>0</v>
      </c>
      <c r="P33" s="15">
        <v>0</v>
      </c>
      <c r="Q33" s="15">
        <v>0</v>
      </c>
      <c r="R33" s="15">
        <v>0</v>
      </c>
      <c r="S33" s="15">
        <v>0</v>
      </c>
      <c r="T33" s="15">
        <v>0</v>
      </c>
      <c r="U33" s="15">
        <v>0</v>
      </c>
      <c r="V33" s="15">
        <v>0</v>
      </c>
      <c r="W33" s="15">
        <v>0</v>
      </c>
      <c r="X33" s="15">
        <v>0</v>
      </c>
      <c r="Y33" s="15">
        <v>0</v>
      </c>
      <c r="Z33" s="15">
        <v>0</v>
      </c>
      <c r="AA33" s="15">
        <v>0</v>
      </c>
      <c r="AB33" s="15">
        <v>0</v>
      </c>
      <c r="AC33" s="15">
        <v>0</v>
      </c>
      <c r="AD33" s="15">
        <v>0</v>
      </c>
      <c r="AE33" s="15">
        <v>0</v>
      </c>
      <c r="AF33" s="15">
        <v>0</v>
      </c>
      <c r="AG33" s="15">
        <v>0</v>
      </c>
      <c r="AH33" s="15">
        <v>0</v>
      </c>
      <c r="AI33" s="15">
        <v>0</v>
      </c>
      <c r="AJ33" s="15">
        <v>0</v>
      </c>
      <c r="AK33" s="15">
        <v>1</v>
      </c>
      <c r="AL33" s="15">
        <v>0</v>
      </c>
      <c r="AM33" s="15">
        <v>0</v>
      </c>
      <c r="AN33" s="15">
        <v>0</v>
      </c>
      <c r="AO33" s="15">
        <v>0</v>
      </c>
      <c r="AP33" s="15">
        <v>0</v>
      </c>
      <c r="AQ33" s="15">
        <v>0</v>
      </c>
      <c r="AR33" s="15">
        <v>0</v>
      </c>
      <c r="AS33" s="15">
        <v>0</v>
      </c>
      <c r="AT33" s="15">
        <v>0</v>
      </c>
      <c r="AU33" s="15">
        <v>0</v>
      </c>
      <c r="AV33" s="15">
        <v>0</v>
      </c>
      <c r="AW33" s="15">
        <v>0</v>
      </c>
      <c r="AX33" s="15">
        <v>0</v>
      </c>
      <c r="AY33" s="15">
        <v>0</v>
      </c>
      <c r="AZ33" s="15">
        <v>0</v>
      </c>
      <c r="BA33" s="15">
        <v>0</v>
      </c>
      <c r="BB33" s="15">
        <v>0</v>
      </c>
      <c r="BC33" s="15">
        <v>0</v>
      </c>
      <c r="BD33" s="15">
        <v>0</v>
      </c>
    </row>
    <row r="34" spans="1:56" x14ac:dyDescent="0.35">
      <c r="A34" s="14"/>
      <c r="B34" s="12"/>
      <c r="C34" s="13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2"/>
      <c r="BC34" s="2"/>
      <c r="BD34" s="2"/>
    </row>
    <row r="35" spans="1:56" x14ac:dyDescent="0.35">
      <c r="A35" s="1" t="s">
        <v>131</v>
      </c>
      <c r="B35" s="10">
        <v>7212</v>
      </c>
      <c r="C35" s="11">
        <v>675.11780861926616</v>
      </c>
      <c r="D35" s="10">
        <v>13</v>
      </c>
      <c r="E35" s="10">
        <v>16</v>
      </c>
      <c r="F35" s="10">
        <v>12</v>
      </c>
      <c r="G35" s="10">
        <v>17</v>
      </c>
      <c r="H35" s="10">
        <v>7</v>
      </c>
      <c r="I35" s="10">
        <v>4</v>
      </c>
      <c r="J35" s="10">
        <v>5</v>
      </c>
      <c r="K35" s="10">
        <v>9</v>
      </c>
      <c r="L35" s="10">
        <v>6</v>
      </c>
      <c r="M35" s="10">
        <v>5</v>
      </c>
      <c r="N35" s="10">
        <v>10</v>
      </c>
      <c r="O35" s="10">
        <v>7</v>
      </c>
      <c r="P35" s="10">
        <v>7</v>
      </c>
      <c r="Q35" s="10">
        <v>9</v>
      </c>
      <c r="R35" s="10">
        <v>13</v>
      </c>
      <c r="S35" s="10">
        <v>10</v>
      </c>
      <c r="T35" s="10">
        <v>10</v>
      </c>
      <c r="U35" s="10">
        <v>26</v>
      </c>
      <c r="V35" s="10">
        <v>24</v>
      </c>
      <c r="W35" s="10">
        <v>15</v>
      </c>
      <c r="X35" s="10">
        <v>32</v>
      </c>
      <c r="Y35" s="10">
        <v>23</v>
      </c>
      <c r="Z35" s="10">
        <v>24</v>
      </c>
      <c r="AA35" s="10">
        <v>25</v>
      </c>
      <c r="AB35" s="10">
        <v>28</v>
      </c>
      <c r="AC35" s="10">
        <v>32</v>
      </c>
      <c r="AD35" s="10">
        <v>44</v>
      </c>
      <c r="AE35" s="10">
        <v>55</v>
      </c>
      <c r="AF35" s="10">
        <v>87</v>
      </c>
      <c r="AG35" s="10">
        <v>116</v>
      </c>
      <c r="AH35" s="10">
        <v>140</v>
      </c>
      <c r="AI35" s="10">
        <v>172</v>
      </c>
      <c r="AJ35" s="10">
        <v>238</v>
      </c>
      <c r="AK35" s="10">
        <v>236</v>
      </c>
      <c r="AL35" s="10">
        <v>277</v>
      </c>
      <c r="AM35" s="10">
        <v>271</v>
      </c>
      <c r="AN35" s="10">
        <v>233</v>
      </c>
      <c r="AO35" s="10">
        <v>316</v>
      </c>
      <c r="AP35" s="10">
        <v>308</v>
      </c>
      <c r="AQ35" s="10">
        <v>375</v>
      </c>
      <c r="AR35" s="10">
        <v>358</v>
      </c>
      <c r="AS35" s="10">
        <v>402</v>
      </c>
      <c r="AT35" s="10">
        <v>312</v>
      </c>
      <c r="AU35" s="10">
        <v>364</v>
      </c>
      <c r="AV35" s="10">
        <v>432</v>
      </c>
      <c r="AW35" s="10">
        <v>494</v>
      </c>
      <c r="AX35" s="10">
        <v>473</v>
      </c>
      <c r="AY35" s="10">
        <v>413</v>
      </c>
      <c r="AZ35" s="10">
        <v>347</v>
      </c>
      <c r="BA35" s="10">
        <v>245</v>
      </c>
      <c r="BB35" s="10">
        <v>79</v>
      </c>
      <c r="BC35" s="10">
        <v>36</v>
      </c>
      <c r="BD35" s="10">
        <v>0</v>
      </c>
    </row>
    <row r="36" spans="1:56" x14ac:dyDescent="0.35">
      <c r="A36" s="14" t="s">
        <v>132</v>
      </c>
      <c r="B36" s="15">
        <v>2923</v>
      </c>
      <c r="C36" s="16">
        <v>897.81826782198448</v>
      </c>
      <c r="D36" s="15">
        <v>2</v>
      </c>
      <c r="E36" s="15">
        <v>1</v>
      </c>
      <c r="F36" s="15">
        <v>3</v>
      </c>
      <c r="G36" s="15">
        <v>3</v>
      </c>
      <c r="H36" s="15">
        <v>1</v>
      </c>
      <c r="I36" s="15">
        <v>1</v>
      </c>
      <c r="J36" s="15">
        <v>1</v>
      </c>
      <c r="K36" s="15">
        <v>1</v>
      </c>
      <c r="L36" s="15">
        <v>0</v>
      </c>
      <c r="M36" s="15">
        <v>0</v>
      </c>
      <c r="N36" s="15">
        <v>5</v>
      </c>
      <c r="O36" s="15">
        <v>3</v>
      </c>
      <c r="P36" s="15">
        <v>0</v>
      </c>
      <c r="Q36" s="15">
        <v>0</v>
      </c>
      <c r="R36" s="15">
        <v>1</v>
      </c>
      <c r="S36" s="15">
        <v>0</v>
      </c>
      <c r="T36" s="15">
        <v>3</v>
      </c>
      <c r="U36" s="15">
        <v>5</v>
      </c>
      <c r="V36" s="15">
        <v>2</v>
      </c>
      <c r="W36" s="15">
        <v>4</v>
      </c>
      <c r="X36" s="15">
        <v>6</v>
      </c>
      <c r="Y36" s="15">
        <v>2</v>
      </c>
      <c r="Z36" s="15">
        <v>5</v>
      </c>
      <c r="AA36" s="15">
        <v>7</v>
      </c>
      <c r="AB36" s="15">
        <v>17</v>
      </c>
      <c r="AC36" s="15">
        <v>21</v>
      </c>
      <c r="AD36" s="15">
        <v>20</v>
      </c>
      <c r="AE36" s="15">
        <v>28</v>
      </c>
      <c r="AF36" s="15">
        <v>44</v>
      </c>
      <c r="AG36" s="15">
        <v>55</v>
      </c>
      <c r="AH36" s="15">
        <v>50</v>
      </c>
      <c r="AI36" s="15">
        <v>67</v>
      </c>
      <c r="AJ36" s="15">
        <v>82</v>
      </c>
      <c r="AK36" s="15">
        <v>79</v>
      </c>
      <c r="AL36" s="15">
        <v>86</v>
      </c>
      <c r="AM36" s="15">
        <v>71</v>
      </c>
      <c r="AN36" s="15">
        <v>75</v>
      </c>
      <c r="AO36" s="15">
        <v>94</v>
      </c>
      <c r="AP36" s="15">
        <v>127</v>
      </c>
      <c r="AQ36" s="15">
        <v>156</v>
      </c>
      <c r="AR36" s="15">
        <v>161</v>
      </c>
      <c r="AS36" s="15">
        <v>200</v>
      </c>
      <c r="AT36" s="15">
        <v>144</v>
      </c>
      <c r="AU36" s="15">
        <v>171</v>
      </c>
      <c r="AV36" s="15">
        <v>206</v>
      </c>
      <c r="AW36" s="15">
        <v>236</v>
      </c>
      <c r="AX36" s="15">
        <v>253</v>
      </c>
      <c r="AY36" s="15">
        <v>200</v>
      </c>
      <c r="AZ36" s="15">
        <v>142</v>
      </c>
      <c r="BA36" s="15">
        <v>82</v>
      </c>
      <c r="BB36" s="15">
        <v>0</v>
      </c>
      <c r="BC36" s="15">
        <v>0</v>
      </c>
      <c r="BD36" s="15">
        <v>0</v>
      </c>
    </row>
    <row r="37" spans="1:56" x14ac:dyDescent="0.35">
      <c r="A37" s="14" t="s">
        <v>133</v>
      </c>
      <c r="B37" s="15">
        <v>92</v>
      </c>
      <c r="C37" s="16">
        <v>95.13075308399425</v>
      </c>
      <c r="D37" s="15">
        <v>0</v>
      </c>
      <c r="E37" s="15">
        <v>1</v>
      </c>
      <c r="F37" s="15">
        <v>1</v>
      </c>
      <c r="G37" s="15">
        <v>0</v>
      </c>
      <c r="H37" s="15">
        <v>0</v>
      </c>
      <c r="I37" s="15">
        <v>0</v>
      </c>
      <c r="J37" s="15">
        <v>0</v>
      </c>
      <c r="K37" s="15">
        <v>0</v>
      </c>
      <c r="L37" s="15">
        <v>0</v>
      </c>
      <c r="M37" s="15">
        <v>0</v>
      </c>
      <c r="N37" s="15">
        <v>0</v>
      </c>
      <c r="O37" s="15">
        <v>0</v>
      </c>
      <c r="P37" s="15">
        <v>0</v>
      </c>
      <c r="Q37" s="15">
        <v>0</v>
      </c>
      <c r="R37" s="15">
        <v>0</v>
      </c>
      <c r="S37" s="15">
        <v>0</v>
      </c>
      <c r="T37" s="15">
        <v>0</v>
      </c>
      <c r="U37" s="15">
        <v>1</v>
      </c>
      <c r="V37" s="15">
        <v>0</v>
      </c>
      <c r="W37" s="15">
        <v>0</v>
      </c>
      <c r="X37" s="15">
        <v>1</v>
      </c>
      <c r="Y37" s="15">
        <v>0</v>
      </c>
      <c r="Z37" s="15">
        <v>0</v>
      </c>
      <c r="AA37" s="15">
        <v>1</v>
      </c>
      <c r="AB37" s="15">
        <v>0</v>
      </c>
      <c r="AC37" s="15">
        <v>1</v>
      </c>
      <c r="AD37" s="15">
        <v>1</v>
      </c>
      <c r="AE37" s="15">
        <v>0</v>
      </c>
      <c r="AF37" s="15">
        <v>0</v>
      </c>
      <c r="AG37" s="15">
        <v>1</v>
      </c>
      <c r="AH37" s="15">
        <v>0</v>
      </c>
      <c r="AI37" s="15">
        <v>1</v>
      </c>
      <c r="AJ37" s="15">
        <v>2</v>
      </c>
      <c r="AK37" s="15">
        <v>4</v>
      </c>
      <c r="AL37" s="15">
        <v>4</v>
      </c>
      <c r="AM37" s="15">
        <v>3</v>
      </c>
      <c r="AN37" s="15">
        <v>2</v>
      </c>
      <c r="AO37" s="15">
        <v>2</v>
      </c>
      <c r="AP37" s="15">
        <v>2</v>
      </c>
      <c r="AQ37" s="15">
        <v>4</v>
      </c>
      <c r="AR37" s="15">
        <v>5</v>
      </c>
      <c r="AS37" s="15">
        <v>7</v>
      </c>
      <c r="AT37" s="15">
        <v>2</v>
      </c>
      <c r="AU37" s="15">
        <v>6</v>
      </c>
      <c r="AV37" s="15">
        <v>5</v>
      </c>
      <c r="AW37" s="15">
        <v>7</v>
      </c>
      <c r="AX37" s="15">
        <v>5</v>
      </c>
      <c r="AY37" s="15">
        <v>8</v>
      </c>
      <c r="AZ37" s="15">
        <v>3</v>
      </c>
      <c r="BA37" s="15">
        <v>3</v>
      </c>
      <c r="BB37" s="15">
        <v>6</v>
      </c>
      <c r="BC37" s="15">
        <v>3</v>
      </c>
      <c r="BD37" s="15">
        <v>0</v>
      </c>
    </row>
    <row r="38" spans="1:56" x14ac:dyDescent="0.35">
      <c r="A38" s="14" t="s">
        <v>134</v>
      </c>
      <c r="B38" s="15">
        <v>232</v>
      </c>
      <c r="C38" s="16">
        <v>238.413318261227</v>
      </c>
      <c r="D38" s="15">
        <v>0</v>
      </c>
      <c r="E38" s="15">
        <v>0</v>
      </c>
      <c r="F38" s="15">
        <v>0</v>
      </c>
      <c r="G38" s="15">
        <v>0</v>
      </c>
      <c r="H38" s="15">
        <v>0</v>
      </c>
      <c r="I38" s="15">
        <v>0</v>
      </c>
      <c r="J38" s="15">
        <v>0</v>
      </c>
      <c r="K38" s="15">
        <v>0</v>
      </c>
      <c r="L38" s="15">
        <v>0</v>
      </c>
      <c r="M38" s="15">
        <v>0</v>
      </c>
      <c r="N38" s="15">
        <v>0</v>
      </c>
      <c r="O38" s="15">
        <v>0</v>
      </c>
      <c r="P38" s="15">
        <v>0</v>
      </c>
      <c r="Q38" s="15">
        <v>0</v>
      </c>
      <c r="R38" s="15">
        <v>0</v>
      </c>
      <c r="S38" s="15">
        <v>0</v>
      </c>
      <c r="T38" s="15">
        <v>0</v>
      </c>
      <c r="U38" s="15">
        <v>0</v>
      </c>
      <c r="V38" s="15">
        <v>1</v>
      </c>
      <c r="W38" s="15">
        <v>0</v>
      </c>
      <c r="X38" s="15">
        <v>1</v>
      </c>
      <c r="Y38" s="15">
        <v>0</v>
      </c>
      <c r="Z38" s="15">
        <v>0</v>
      </c>
      <c r="AA38" s="15">
        <v>0</v>
      </c>
      <c r="AB38" s="15">
        <v>0</v>
      </c>
      <c r="AC38" s="15">
        <v>0</v>
      </c>
      <c r="AD38" s="15">
        <v>1</v>
      </c>
      <c r="AE38" s="15">
        <v>0</v>
      </c>
      <c r="AF38" s="15">
        <v>2</v>
      </c>
      <c r="AG38" s="15">
        <v>3</v>
      </c>
      <c r="AH38" s="15">
        <v>5</v>
      </c>
      <c r="AI38" s="15">
        <v>3</v>
      </c>
      <c r="AJ38" s="15">
        <v>5</v>
      </c>
      <c r="AK38" s="15">
        <v>4</v>
      </c>
      <c r="AL38" s="15">
        <v>13</v>
      </c>
      <c r="AM38" s="15">
        <v>7</v>
      </c>
      <c r="AN38" s="15">
        <v>5</v>
      </c>
      <c r="AO38" s="15">
        <v>11</v>
      </c>
      <c r="AP38" s="15">
        <v>9</v>
      </c>
      <c r="AQ38" s="15">
        <v>27</v>
      </c>
      <c r="AR38" s="15">
        <v>22</v>
      </c>
      <c r="AS38" s="15">
        <v>13</v>
      </c>
      <c r="AT38" s="15">
        <v>11</v>
      </c>
      <c r="AU38" s="15">
        <v>11</v>
      </c>
      <c r="AV38" s="15">
        <v>12</v>
      </c>
      <c r="AW38" s="15">
        <v>15</v>
      </c>
      <c r="AX38" s="15">
        <v>17</v>
      </c>
      <c r="AY38" s="15">
        <v>18</v>
      </c>
      <c r="AZ38" s="15">
        <v>11</v>
      </c>
      <c r="BA38" s="15">
        <v>5</v>
      </c>
      <c r="BB38" s="15">
        <v>0</v>
      </c>
      <c r="BC38" s="15">
        <v>0</v>
      </c>
      <c r="BD38" s="15">
        <v>0</v>
      </c>
    </row>
    <row r="39" spans="1:56" x14ac:dyDescent="0.35">
      <c r="A39" s="14" t="s">
        <v>135</v>
      </c>
      <c r="B39" s="15">
        <v>37</v>
      </c>
      <c r="C39" s="16">
        <v>504.22458435541023</v>
      </c>
      <c r="D39" s="15">
        <v>0</v>
      </c>
      <c r="E39" s="15">
        <v>0</v>
      </c>
      <c r="F39" s="15">
        <v>0</v>
      </c>
      <c r="G39" s="15">
        <v>0</v>
      </c>
      <c r="H39" s="15">
        <v>0</v>
      </c>
      <c r="I39" s="15">
        <v>0</v>
      </c>
      <c r="J39" s="15">
        <v>0</v>
      </c>
      <c r="K39" s="15">
        <v>0</v>
      </c>
      <c r="L39" s="15">
        <v>0</v>
      </c>
      <c r="M39" s="15">
        <v>0</v>
      </c>
      <c r="N39" s="15">
        <v>0</v>
      </c>
      <c r="O39" s="15">
        <v>0</v>
      </c>
      <c r="P39" s="15">
        <v>0</v>
      </c>
      <c r="Q39" s="15">
        <v>0</v>
      </c>
      <c r="R39" s="15">
        <v>0</v>
      </c>
      <c r="S39" s="15">
        <v>0</v>
      </c>
      <c r="T39" s="15">
        <v>0</v>
      </c>
      <c r="U39" s="15">
        <v>0</v>
      </c>
      <c r="V39" s="15">
        <v>0</v>
      </c>
      <c r="W39" s="15">
        <v>0</v>
      </c>
      <c r="X39" s="15">
        <v>0</v>
      </c>
      <c r="Y39" s="15">
        <v>1</v>
      </c>
      <c r="Z39" s="15">
        <v>2</v>
      </c>
      <c r="AA39" s="15">
        <v>1</v>
      </c>
      <c r="AB39" s="15">
        <v>1</v>
      </c>
      <c r="AC39" s="15">
        <v>1</v>
      </c>
      <c r="AD39" s="15">
        <v>0</v>
      </c>
      <c r="AE39" s="15">
        <v>0</v>
      </c>
      <c r="AF39" s="15">
        <v>1</v>
      </c>
      <c r="AG39" s="15">
        <v>1</v>
      </c>
      <c r="AH39" s="15">
        <v>0</v>
      </c>
      <c r="AI39" s="15">
        <v>1</v>
      </c>
      <c r="AJ39" s="15">
        <v>1</v>
      </c>
      <c r="AK39" s="15">
        <v>0</v>
      </c>
      <c r="AL39" s="15">
        <v>3</v>
      </c>
      <c r="AM39" s="15">
        <v>1</v>
      </c>
      <c r="AN39" s="15">
        <v>3</v>
      </c>
      <c r="AO39" s="15">
        <v>3</v>
      </c>
      <c r="AP39" s="15">
        <v>1</v>
      </c>
      <c r="AQ39" s="15">
        <v>3</v>
      </c>
      <c r="AR39" s="15">
        <v>2</v>
      </c>
      <c r="AS39" s="15">
        <v>1</v>
      </c>
      <c r="AT39" s="15">
        <v>2</v>
      </c>
      <c r="AU39" s="15">
        <v>0</v>
      </c>
      <c r="AV39" s="15">
        <v>0</v>
      </c>
      <c r="AW39" s="15">
        <v>0</v>
      </c>
      <c r="AX39" s="15">
        <v>1</v>
      </c>
      <c r="AY39" s="15">
        <v>2</v>
      </c>
      <c r="AZ39" s="15">
        <v>0</v>
      </c>
      <c r="BA39" s="15">
        <v>1</v>
      </c>
      <c r="BB39" s="15">
        <v>2</v>
      </c>
      <c r="BC39" s="15">
        <v>2</v>
      </c>
      <c r="BD39" s="15">
        <v>0</v>
      </c>
    </row>
    <row r="40" spans="1:56" x14ac:dyDescent="0.35">
      <c r="A40" s="14" t="s">
        <v>136</v>
      </c>
      <c r="B40" s="15">
        <v>932</v>
      </c>
      <c r="C40" s="16">
        <v>3091.5182273526389</v>
      </c>
      <c r="D40" s="15">
        <v>0</v>
      </c>
      <c r="E40" s="15">
        <v>0</v>
      </c>
      <c r="F40" s="15">
        <v>0</v>
      </c>
      <c r="G40" s="15">
        <v>2</v>
      </c>
      <c r="H40" s="15">
        <v>1</v>
      </c>
      <c r="I40" s="15">
        <v>1</v>
      </c>
      <c r="J40" s="15">
        <v>0</v>
      </c>
      <c r="K40" s="15">
        <v>0</v>
      </c>
      <c r="L40" s="15">
        <v>1</v>
      </c>
      <c r="M40" s="15">
        <v>0</v>
      </c>
      <c r="N40" s="15">
        <v>0</v>
      </c>
      <c r="O40" s="15">
        <v>0</v>
      </c>
      <c r="P40" s="15">
        <v>0</v>
      </c>
      <c r="Q40" s="15">
        <v>1</v>
      </c>
      <c r="R40" s="15">
        <v>0</v>
      </c>
      <c r="S40" s="15">
        <v>0</v>
      </c>
      <c r="T40" s="15">
        <v>0</v>
      </c>
      <c r="U40" s="15">
        <v>2</v>
      </c>
      <c r="V40" s="15">
        <v>3</v>
      </c>
      <c r="W40" s="15">
        <v>3</v>
      </c>
      <c r="X40" s="15">
        <v>6</v>
      </c>
      <c r="Y40" s="15">
        <v>4</v>
      </c>
      <c r="Z40" s="15">
        <v>3</v>
      </c>
      <c r="AA40" s="15">
        <v>4</v>
      </c>
      <c r="AB40" s="15">
        <v>5</v>
      </c>
      <c r="AC40" s="15">
        <v>1</v>
      </c>
      <c r="AD40" s="15">
        <v>6</v>
      </c>
      <c r="AE40" s="15">
        <v>14</v>
      </c>
      <c r="AF40" s="15">
        <v>9</v>
      </c>
      <c r="AG40" s="15">
        <v>14</v>
      </c>
      <c r="AH40" s="15">
        <v>10</v>
      </c>
      <c r="AI40" s="15">
        <v>19</v>
      </c>
      <c r="AJ40" s="15">
        <v>41</v>
      </c>
      <c r="AK40" s="15">
        <v>47</v>
      </c>
      <c r="AL40" s="15">
        <v>49</v>
      </c>
      <c r="AM40" s="15">
        <v>36</v>
      </c>
      <c r="AN40" s="15">
        <v>45</v>
      </c>
      <c r="AO40" s="15">
        <v>55</v>
      </c>
      <c r="AP40" s="15">
        <v>35</v>
      </c>
      <c r="AQ40" s="15">
        <v>48</v>
      </c>
      <c r="AR40" s="15">
        <v>35</v>
      </c>
      <c r="AS40" s="15">
        <v>47</v>
      </c>
      <c r="AT40" s="15">
        <v>36</v>
      </c>
      <c r="AU40" s="15">
        <v>62</v>
      </c>
      <c r="AV40" s="15">
        <v>45</v>
      </c>
      <c r="AW40" s="15">
        <v>50</v>
      </c>
      <c r="AX40" s="15">
        <v>61</v>
      </c>
      <c r="AY40" s="15">
        <v>45</v>
      </c>
      <c r="AZ40" s="15">
        <v>41</v>
      </c>
      <c r="BA40" s="15">
        <v>42</v>
      </c>
      <c r="BB40" s="15">
        <v>3</v>
      </c>
      <c r="BC40" s="15">
        <v>0</v>
      </c>
      <c r="BD40" s="15">
        <v>0</v>
      </c>
    </row>
    <row r="41" spans="1:56" x14ac:dyDescent="0.35">
      <c r="A41" s="14" t="s">
        <v>137</v>
      </c>
      <c r="B41" s="15">
        <v>230</v>
      </c>
      <c r="C41" s="16">
        <v>457.85722817215429</v>
      </c>
      <c r="D41" s="15">
        <v>0</v>
      </c>
      <c r="E41" s="15">
        <v>1</v>
      </c>
      <c r="F41" s="15">
        <v>0</v>
      </c>
      <c r="G41" s="15">
        <v>0</v>
      </c>
      <c r="H41" s="15">
        <v>1</v>
      </c>
      <c r="I41" s="15">
        <v>0</v>
      </c>
      <c r="J41" s="15">
        <v>0</v>
      </c>
      <c r="K41" s="15">
        <v>1</v>
      </c>
      <c r="L41" s="15">
        <v>2</v>
      </c>
      <c r="M41" s="15">
        <v>0</v>
      </c>
      <c r="N41" s="15">
        <v>0</v>
      </c>
      <c r="O41" s="15">
        <v>0</v>
      </c>
      <c r="P41" s="15">
        <v>0</v>
      </c>
      <c r="Q41" s="15">
        <v>0</v>
      </c>
      <c r="R41" s="15">
        <v>0</v>
      </c>
      <c r="S41" s="15">
        <v>0</v>
      </c>
      <c r="T41" s="15">
        <v>1</v>
      </c>
      <c r="U41" s="15">
        <v>2</v>
      </c>
      <c r="V41" s="15">
        <v>1</v>
      </c>
      <c r="W41" s="15">
        <v>0</v>
      </c>
      <c r="X41" s="15">
        <v>1</v>
      </c>
      <c r="Y41" s="15">
        <v>0</v>
      </c>
      <c r="Z41" s="15">
        <v>0</v>
      </c>
      <c r="AA41" s="15">
        <v>0</v>
      </c>
      <c r="AB41" s="15">
        <v>0</v>
      </c>
      <c r="AC41" s="15">
        <v>1</v>
      </c>
      <c r="AD41" s="15">
        <v>2</v>
      </c>
      <c r="AE41" s="15">
        <v>4</v>
      </c>
      <c r="AF41" s="15">
        <v>4</v>
      </c>
      <c r="AG41" s="15">
        <v>7</v>
      </c>
      <c r="AH41" s="15">
        <v>8</v>
      </c>
      <c r="AI41" s="15">
        <v>11</v>
      </c>
      <c r="AJ41" s="15">
        <v>9</v>
      </c>
      <c r="AK41" s="15">
        <v>16</v>
      </c>
      <c r="AL41" s="15">
        <v>6</v>
      </c>
      <c r="AM41" s="15">
        <v>10</v>
      </c>
      <c r="AN41" s="15">
        <v>7</v>
      </c>
      <c r="AO41" s="15">
        <v>5</v>
      </c>
      <c r="AP41" s="15">
        <v>5</v>
      </c>
      <c r="AQ41" s="15">
        <v>12</v>
      </c>
      <c r="AR41" s="15">
        <v>12</v>
      </c>
      <c r="AS41" s="15">
        <v>15</v>
      </c>
      <c r="AT41" s="15">
        <v>7</v>
      </c>
      <c r="AU41" s="15">
        <v>13</v>
      </c>
      <c r="AV41" s="15">
        <v>7</v>
      </c>
      <c r="AW41" s="15">
        <v>11</v>
      </c>
      <c r="AX41" s="15">
        <v>11</v>
      </c>
      <c r="AY41" s="15">
        <v>7</v>
      </c>
      <c r="AZ41" s="15">
        <v>7</v>
      </c>
      <c r="BA41" s="15">
        <v>12</v>
      </c>
      <c r="BB41" s="15">
        <v>6</v>
      </c>
      <c r="BC41" s="15">
        <v>5</v>
      </c>
      <c r="BD41" s="15">
        <v>0</v>
      </c>
    </row>
    <row r="42" spans="1:56" x14ac:dyDescent="0.35">
      <c r="A42" s="14" t="s">
        <v>138</v>
      </c>
      <c r="B42" s="15">
        <v>74</v>
      </c>
      <c r="C42" s="16">
        <v>175.28483786152498</v>
      </c>
      <c r="D42" s="15">
        <v>0</v>
      </c>
      <c r="E42" s="15">
        <v>1</v>
      </c>
      <c r="F42" s="15">
        <v>0</v>
      </c>
      <c r="G42" s="15">
        <v>0</v>
      </c>
      <c r="H42" s="15">
        <v>0</v>
      </c>
      <c r="I42" s="15">
        <v>0</v>
      </c>
      <c r="J42" s="15">
        <v>0</v>
      </c>
      <c r="K42" s="15">
        <v>0</v>
      </c>
      <c r="L42" s="15">
        <v>0</v>
      </c>
      <c r="M42" s="15">
        <v>0</v>
      </c>
      <c r="N42" s="15">
        <v>0</v>
      </c>
      <c r="O42" s="15">
        <v>0</v>
      </c>
      <c r="P42" s="15">
        <v>0</v>
      </c>
      <c r="Q42" s="15">
        <v>0</v>
      </c>
      <c r="R42" s="15">
        <v>0</v>
      </c>
      <c r="S42" s="15">
        <v>0</v>
      </c>
      <c r="T42" s="15">
        <v>0</v>
      </c>
      <c r="U42" s="15">
        <v>0</v>
      </c>
      <c r="V42" s="15">
        <v>0</v>
      </c>
      <c r="W42" s="15">
        <v>0</v>
      </c>
      <c r="X42" s="15">
        <v>0</v>
      </c>
      <c r="Y42" s="15">
        <v>0</v>
      </c>
      <c r="Z42" s="15">
        <v>0</v>
      </c>
      <c r="AA42" s="15">
        <v>0</v>
      </c>
      <c r="AB42" s="15">
        <v>0</v>
      </c>
      <c r="AC42" s="15">
        <v>0</v>
      </c>
      <c r="AD42" s="15">
        <v>0</v>
      </c>
      <c r="AE42" s="15">
        <v>0</v>
      </c>
      <c r="AF42" s="15">
        <v>0</v>
      </c>
      <c r="AG42" s="15">
        <v>0</v>
      </c>
      <c r="AH42" s="15">
        <v>0</v>
      </c>
      <c r="AI42" s="15">
        <v>0</v>
      </c>
      <c r="AJ42" s="15">
        <v>0</v>
      </c>
      <c r="AK42" s="15">
        <v>0</v>
      </c>
      <c r="AL42" s="15">
        <v>2</v>
      </c>
      <c r="AM42" s="15">
        <v>0</v>
      </c>
      <c r="AN42" s="15">
        <v>0</v>
      </c>
      <c r="AO42" s="15">
        <v>3</v>
      </c>
      <c r="AP42" s="15">
        <v>1</v>
      </c>
      <c r="AQ42" s="15">
        <v>1</v>
      </c>
      <c r="AR42" s="15">
        <v>2</v>
      </c>
      <c r="AS42" s="15">
        <v>5</v>
      </c>
      <c r="AT42" s="15">
        <v>4</v>
      </c>
      <c r="AU42" s="15">
        <v>7</v>
      </c>
      <c r="AV42" s="15">
        <v>15</v>
      </c>
      <c r="AW42" s="15">
        <v>9</v>
      </c>
      <c r="AX42" s="15">
        <v>5</v>
      </c>
      <c r="AY42" s="15">
        <v>9</v>
      </c>
      <c r="AZ42" s="15">
        <v>7</v>
      </c>
      <c r="BA42" s="15">
        <v>2</v>
      </c>
      <c r="BB42" s="15">
        <v>1</v>
      </c>
      <c r="BC42" s="15">
        <v>0</v>
      </c>
      <c r="BD42" s="15">
        <v>0</v>
      </c>
    </row>
    <row r="43" spans="1:56" x14ac:dyDescent="0.35">
      <c r="A43" s="14" t="s">
        <v>139</v>
      </c>
      <c r="B43" s="15">
        <v>122</v>
      </c>
      <c r="C43" s="16">
        <v>345.00311068378488</v>
      </c>
      <c r="D43" s="15">
        <v>0</v>
      </c>
      <c r="E43" s="15">
        <v>0</v>
      </c>
      <c r="F43" s="15">
        <v>0</v>
      </c>
      <c r="G43" s="15">
        <v>0</v>
      </c>
      <c r="H43" s="15">
        <v>0</v>
      </c>
      <c r="I43" s="15">
        <v>0</v>
      </c>
      <c r="J43" s="15">
        <v>0</v>
      </c>
      <c r="K43" s="15">
        <v>0</v>
      </c>
      <c r="L43" s="15">
        <v>0</v>
      </c>
      <c r="M43" s="15">
        <v>0</v>
      </c>
      <c r="N43" s="15">
        <v>0</v>
      </c>
      <c r="O43" s="15">
        <v>0</v>
      </c>
      <c r="P43" s="15">
        <v>0</v>
      </c>
      <c r="Q43" s="15">
        <v>0</v>
      </c>
      <c r="R43" s="15">
        <v>1</v>
      </c>
      <c r="S43" s="15">
        <v>0</v>
      </c>
      <c r="T43" s="15">
        <v>0</v>
      </c>
      <c r="U43" s="15">
        <v>0</v>
      </c>
      <c r="V43" s="15">
        <v>0</v>
      </c>
      <c r="W43" s="15">
        <v>0</v>
      </c>
      <c r="X43" s="15">
        <v>1</v>
      </c>
      <c r="Y43" s="15">
        <v>0</v>
      </c>
      <c r="Z43" s="15">
        <v>1</v>
      </c>
      <c r="AA43" s="15">
        <v>1</v>
      </c>
      <c r="AB43" s="15">
        <v>0</v>
      </c>
      <c r="AC43" s="15">
        <v>0</v>
      </c>
      <c r="AD43" s="15">
        <v>1</v>
      </c>
      <c r="AE43" s="15">
        <v>0</v>
      </c>
      <c r="AF43" s="15">
        <v>2</v>
      </c>
      <c r="AG43" s="15">
        <v>2</v>
      </c>
      <c r="AH43" s="15">
        <v>3</v>
      </c>
      <c r="AI43" s="15">
        <v>5</v>
      </c>
      <c r="AJ43" s="15">
        <v>10</v>
      </c>
      <c r="AK43" s="15">
        <v>4</v>
      </c>
      <c r="AL43" s="15">
        <v>16</v>
      </c>
      <c r="AM43" s="15">
        <v>5</v>
      </c>
      <c r="AN43" s="15">
        <v>3</v>
      </c>
      <c r="AO43" s="15">
        <v>4</v>
      </c>
      <c r="AP43" s="15">
        <v>1</v>
      </c>
      <c r="AQ43" s="15">
        <v>7</v>
      </c>
      <c r="AR43" s="15">
        <v>4</v>
      </c>
      <c r="AS43" s="15">
        <v>9</v>
      </c>
      <c r="AT43" s="15">
        <v>4</v>
      </c>
      <c r="AU43" s="15">
        <v>4</v>
      </c>
      <c r="AV43" s="15">
        <v>6</v>
      </c>
      <c r="AW43" s="15">
        <v>5</v>
      </c>
      <c r="AX43" s="15">
        <v>9</v>
      </c>
      <c r="AY43" s="15">
        <v>5</v>
      </c>
      <c r="AZ43" s="15">
        <v>6</v>
      </c>
      <c r="BA43" s="15">
        <v>3</v>
      </c>
      <c r="BB43" s="15">
        <v>0</v>
      </c>
      <c r="BC43" s="15">
        <v>0</v>
      </c>
      <c r="BD43" s="15">
        <v>0</v>
      </c>
    </row>
    <row r="44" spans="1:56" x14ac:dyDescent="0.35">
      <c r="A44" s="14" t="s">
        <v>140</v>
      </c>
      <c r="B44" s="15">
        <v>139</v>
      </c>
      <c r="C44" s="16">
        <v>561.29865934420934</v>
      </c>
      <c r="D44" s="15">
        <v>1</v>
      </c>
      <c r="E44" s="15">
        <v>0</v>
      </c>
      <c r="F44" s="15">
        <v>2</v>
      </c>
      <c r="G44" s="15">
        <v>0</v>
      </c>
      <c r="H44" s="15">
        <v>0</v>
      </c>
      <c r="I44" s="15">
        <v>0</v>
      </c>
      <c r="J44" s="15">
        <v>1</v>
      </c>
      <c r="K44" s="15">
        <v>1</v>
      </c>
      <c r="L44" s="15">
        <v>0</v>
      </c>
      <c r="M44" s="15">
        <v>0</v>
      </c>
      <c r="N44" s="15">
        <v>1</v>
      </c>
      <c r="O44" s="15">
        <v>0</v>
      </c>
      <c r="P44" s="15">
        <v>0</v>
      </c>
      <c r="Q44" s="15">
        <v>1</v>
      </c>
      <c r="R44" s="15">
        <v>0</v>
      </c>
      <c r="S44" s="15">
        <v>1</v>
      </c>
      <c r="T44" s="15">
        <v>1</v>
      </c>
      <c r="U44" s="15">
        <v>0</v>
      </c>
      <c r="V44" s="15">
        <v>2</v>
      </c>
      <c r="W44" s="15">
        <v>1</v>
      </c>
      <c r="X44" s="15">
        <v>1</v>
      </c>
      <c r="Y44" s="15">
        <v>1</v>
      </c>
      <c r="Z44" s="15">
        <v>2</v>
      </c>
      <c r="AA44" s="15">
        <v>4</v>
      </c>
      <c r="AB44" s="15">
        <v>1</v>
      </c>
      <c r="AC44" s="15">
        <v>2</v>
      </c>
      <c r="AD44" s="15">
        <v>5</v>
      </c>
      <c r="AE44" s="15">
        <v>2</v>
      </c>
      <c r="AF44" s="15">
        <v>7</v>
      </c>
      <c r="AG44" s="15">
        <v>2</v>
      </c>
      <c r="AH44" s="15">
        <v>1</v>
      </c>
      <c r="AI44" s="15">
        <v>2</v>
      </c>
      <c r="AJ44" s="15">
        <v>5</v>
      </c>
      <c r="AK44" s="15">
        <v>2</v>
      </c>
      <c r="AL44" s="15">
        <v>0</v>
      </c>
      <c r="AM44" s="15">
        <v>0</v>
      </c>
      <c r="AN44" s="15">
        <v>4</v>
      </c>
      <c r="AO44" s="15">
        <v>5</v>
      </c>
      <c r="AP44" s="15">
        <v>5</v>
      </c>
      <c r="AQ44" s="15">
        <v>6</v>
      </c>
      <c r="AR44" s="15">
        <v>6</v>
      </c>
      <c r="AS44" s="15">
        <v>2</v>
      </c>
      <c r="AT44" s="15">
        <v>2</v>
      </c>
      <c r="AU44" s="15">
        <v>2</v>
      </c>
      <c r="AV44" s="15">
        <v>2</v>
      </c>
      <c r="AW44" s="15">
        <v>6</v>
      </c>
      <c r="AX44" s="15">
        <v>7</v>
      </c>
      <c r="AY44" s="15">
        <v>4</v>
      </c>
      <c r="AZ44" s="15">
        <v>3</v>
      </c>
      <c r="BA44" s="15">
        <v>11</v>
      </c>
      <c r="BB44" s="15">
        <v>18</v>
      </c>
      <c r="BC44" s="15">
        <v>7</v>
      </c>
      <c r="BD44" s="15">
        <v>0</v>
      </c>
    </row>
    <row r="45" spans="1:56" x14ac:dyDescent="0.35">
      <c r="A45" s="14" t="s">
        <v>141</v>
      </c>
      <c r="B45" s="15">
        <v>1739</v>
      </c>
      <c r="C45" s="16">
        <v>831.9897424611396</v>
      </c>
      <c r="D45" s="15">
        <v>3</v>
      </c>
      <c r="E45" s="15">
        <v>5</v>
      </c>
      <c r="F45" s="15">
        <v>5</v>
      </c>
      <c r="G45" s="15">
        <v>12</v>
      </c>
      <c r="H45" s="15">
        <v>4</v>
      </c>
      <c r="I45" s="15">
        <v>2</v>
      </c>
      <c r="J45" s="15">
        <v>2</v>
      </c>
      <c r="K45" s="15">
        <v>3</v>
      </c>
      <c r="L45" s="15">
        <v>1</v>
      </c>
      <c r="M45" s="15">
        <v>2</v>
      </c>
      <c r="N45" s="15">
        <v>3</v>
      </c>
      <c r="O45" s="15">
        <v>4</v>
      </c>
      <c r="P45" s="15">
        <v>4</v>
      </c>
      <c r="Q45" s="15">
        <v>4</v>
      </c>
      <c r="R45" s="15">
        <v>6</v>
      </c>
      <c r="S45" s="15">
        <v>5</v>
      </c>
      <c r="T45" s="15">
        <v>4</v>
      </c>
      <c r="U45" s="15">
        <v>5</v>
      </c>
      <c r="V45" s="15">
        <v>6</v>
      </c>
      <c r="W45" s="15">
        <v>4</v>
      </c>
      <c r="X45" s="15">
        <v>12</v>
      </c>
      <c r="Y45" s="15">
        <v>14</v>
      </c>
      <c r="Z45" s="15">
        <v>10</v>
      </c>
      <c r="AA45" s="15">
        <v>7</v>
      </c>
      <c r="AB45" s="15">
        <v>3</v>
      </c>
      <c r="AC45" s="15">
        <v>4</v>
      </c>
      <c r="AD45" s="15">
        <v>4</v>
      </c>
      <c r="AE45" s="15">
        <v>3</v>
      </c>
      <c r="AF45" s="15">
        <v>10</v>
      </c>
      <c r="AG45" s="15">
        <v>18</v>
      </c>
      <c r="AH45" s="15">
        <v>36</v>
      </c>
      <c r="AI45" s="15">
        <v>45</v>
      </c>
      <c r="AJ45" s="15">
        <v>57</v>
      </c>
      <c r="AK45" s="15">
        <v>61</v>
      </c>
      <c r="AL45" s="15">
        <v>71</v>
      </c>
      <c r="AM45" s="15">
        <v>92</v>
      </c>
      <c r="AN45" s="15">
        <v>63</v>
      </c>
      <c r="AO45" s="15">
        <v>101</v>
      </c>
      <c r="AP45" s="15">
        <v>87</v>
      </c>
      <c r="AQ45" s="15">
        <v>81</v>
      </c>
      <c r="AR45" s="15">
        <v>85</v>
      </c>
      <c r="AS45" s="15">
        <v>80</v>
      </c>
      <c r="AT45" s="15">
        <v>68</v>
      </c>
      <c r="AU45" s="15">
        <v>59</v>
      </c>
      <c r="AV45" s="15">
        <v>107</v>
      </c>
      <c r="AW45" s="15">
        <v>121</v>
      </c>
      <c r="AX45" s="15">
        <v>79</v>
      </c>
      <c r="AY45" s="15">
        <v>81</v>
      </c>
      <c r="AZ45" s="15">
        <v>101</v>
      </c>
      <c r="BA45" s="15">
        <v>57</v>
      </c>
      <c r="BB45" s="15">
        <v>27</v>
      </c>
      <c r="BC45" s="15">
        <v>11</v>
      </c>
      <c r="BD45" s="15">
        <v>0</v>
      </c>
    </row>
    <row r="46" spans="1:56" x14ac:dyDescent="0.35">
      <c r="A46" s="14" t="s">
        <v>142</v>
      </c>
      <c r="B46" s="15">
        <v>4</v>
      </c>
      <c r="C46" s="16">
        <v>27.089259108763375</v>
      </c>
      <c r="D46" s="15">
        <v>0</v>
      </c>
      <c r="E46" s="15">
        <v>0</v>
      </c>
      <c r="F46" s="15">
        <v>0</v>
      </c>
      <c r="G46" s="15">
        <v>0</v>
      </c>
      <c r="H46" s="15">
        <v>0</v>
      </c>
      <c r="I46" s="15">
        <v>0</v>
      </c>
      <c r="J46" s="15">
        <v>0</v>
      </c>
      <c r="K46" s="15">
        <v>0</v>
      </c>
      <c r="L46" s="15">
        <v>0</v>
      </c>
      <c r="M46" s="15">
        <v>0</v>
      </c>
      <c r="N46" s="15">
        <v>0</v>
      </c>
      <c r="O46" s="15">
        <v>0</v>
      </c>
      <c r="P46" s="15">
        <v>0</v>
      </c>
      <c r="Q46" s="15">
        <v>0</v>
      </c>
      <c r="R46" s="15">
        <v>0</v>
      </c>
      <c r="S46" s="15">
        <v>0</v>
      </c>
      <c r="T46" s="15">
        <v>0</v>
      </c>
      <c r="U46" s="15">
        <v>0</v>
      </c>
      <c r="V46" s="15">
        <v>0</v>
      </c>
      <c r="W46" s="15">
        <v>0</v>
      </c>
      <c r="X46" s="15">
        <v>0</v>
      </c>
      <c r="Y46" s="15">
        <v>0</v>
      </c>
      <c r="Z46" s="15">
        <v>0</v>
      </c>
      <c r="AA46" s="15">
        <v>0</v>
      </c>
      <c r="AB46" s="15">
        <v>0</v>
      </c>
      <c r="AC46" s="15">
        <v>1</v>
      </c>
      <c r="AD46" s="15">
        <v>0</v>
      </c>
      <c r="AE46" s="15">
        <v>0</v>
      </c>
      <c r="AF46" s="15">
        <v>0</v>
      </c>
      <c r="AG46" s="15">
        <v>0</v>
      </c>
      <c r="AH46" s="15">
        <v>0</v>
      </c>
      <c r="AI46" s="15">
        <v>0</v>
      </c>
      <c r="AJ46" s="15">
        <v>0</v>
      </c>
      <c r="AK46" s="15">
        <v>0</v>
      </c>
      <c r="AL46" s="15">
        <v>0</v>
      </c>
      <c r="AM46" s="15">
        <v>0</v>
      </c>
      <c r="AN46" s="15">
        <v>0</v>
      </c>
      <c r="AO46" s="15">
        <v>0</v>
      </c>
      <c r="AP46" s="15">
        <v>0</v>
      </c>
      <c r="AQ46" s="15">
        <v>0</v>
      </c>
      <c r="AR46" s="15">
        <v>0</v>
      </c>
      <c r="AS46" s="15">
        <v>0</v>
      </c>
      <c r="AT46" s="15">
        <v>1</v>
      </c>
      <c r="AU46" s="15">
        <v>0</v>
      </c>
      <c r="AV46" s="15">
        <v>2</v>
      </c>
      <c r="AW46" s="15">
        <v>0</v>
      </c>
      <c r="AX46" s="15">
        <v>0</v>
      </c>
      <c r="AY46" s="15">
        <v>0</v>
      </c>
      <c r="AZ46" s="15">
        <v>0</v>
      </c>
      <c r="BA46" s="15">
        <v>0</v>
      </c>
      <c r="BB46" s="15">
        <v>0</v>
      </c>
      <c r="BC46" s="15">
        <v>0</v>
      </c>
      <c r="BD46" s="15">
        <v>0</v>
      </c>
    </row>
    <row r="47" spans="1:56" x14ac:dyDescent="0.35">
      <c r="A47" s="14" t="s">
        <v>143</v>
      </c>
      <c r="B47" s="15">
        <v>19</v>
      </c>
      <c r="C47" s="16">
        <v>83.344299688555509</v>
      </c>
      <c r="D47" s="15">
        <v>0</v>
      </c>
      <c r="E47" s="15">
        <v>0</v>
      </c>
      <c r="F47" s="15">
        <v>0</v>
      </c>
      <c r="G47" s="15">
        <v>0</v>
      </c>
      <c r="H47" s="15">
        <v>0</v>
      </c>
      <c r="I47" s="15">
        <v>0</v>
      </c>
      <c r="J47" s="15">
        <v>0</v>
      </c>
      <c r="K47" s="15">
        <v>0</v>
      </c>
      <c r="L47" s="15">
        <v>0</v>
      </c>
      <c r="M47" s="15">
        <v>0</v>
      </c>
      <c r="N47" s="15">
        <v>0</v>
      </c>
      <c r="O47" s="15">
        <v>0</v>
      </c>
      <c r="P47" s="15">
        <v>0</v>
      </c>
      <c r="Q47" s="15">
        <v>0</v>
      </c>
      <c r="R47" s="15">
        <v>0</v>
      </c>
      <c r="S47" s="15">
        <v>0</v>
      </c>
      <c r="T47" s="15">
        <v>0</v>
      </c>
      <c r="U47" s="15">
        <v>0</v>
      </c>
      <c r="V47" s="15">
        <v>0</v>
      </c>
      <c r="W47" s="15">
        <v>0</v>
      </c>
      <c r="X47" s="15">
        <v>0</v>
      </c>
      <c r="Y47" s="15">
        <v>0</v>
      </c>
      <c r="Z47" s="15">
        <v>0</v>
      </c>
      <c r="AA47" s="15">
        <v>0</v>
      </c>
      <c r="AB47" s="15">
        <v>0</v>
      </c>
      <c r="AC47" s="15">
        <v>0</v>
      </c>
      <c r="AD47" s="15">
        <v>0</v>
      </c>
      <c r="AE47" s="15">
        <v>0</v>
      </c>
      <c r="AF47" s="15">
        <v>0</v>
      </c>
      <c r="AG47" s="15">
        <v>0</v>
      </c>
      <c r="AH47" s="15">
        <v>0</v>
      </c>
      <c r="AI47" s="15">
        <v>0</v>
      </c>
      <c r="AJ47" s="15">
        <v>0</v>
      </c>
      <c r="AK47" s="15">
        <v>3</v>
      </c>
      <c r="AL47" s="15">
        <v>1</v>
      </c>
      <c r="AM47" s="15">
        <v>1</v>
      </c>
      <c r="AN47" s="15">
        <v>3</v>
      </c>
      <c r="AO47" s="15">
        <v>0</v>
      </c>
      <c r="AP47" s="15">
        <v>0</v>
      </c>
      <c r="AQ47" s="15">
        <v>2</v>
      </c>
      <c r="AR47" s="15">
        <v>2</v>
      </c>
      <c r="AS47" s="15">
        <v>0</v>
      </c>
      <c r="AT47" s="15">
        <v>1</v>
      </c>
      <c r="AU47" s="15">
        <v>1</v>
      </c>
      <c r="AV47" s="15">
        <v>0</v>
      </c>
      <c r="AW47" s="15">
        <v>1</v>
      </c>
      <c r="AX47" s="15">
        <v>0</v>
      </c>
      <c r="AY47" s="15">
        <v>1</v>
      </c>
      <c r="AZ47" s="15">
        <v>2</v>
      </c>
      <c r="BA47" s="15">
        <v>1</v>
      </c>
      <c r="BB47" s="15">
        <v>0</v>
      </c>
      <c r="BC47" s="15">
        <v>0</v>
      </c>
      <c r="BD47" s="15">
        <v>0</v>
      </c>
    </row>
    <row r="48" spans="1:56" x14ac:dyDescent="0.35">
      <c r="A48" s="14" t="s">
        <v>144</v>
      </c>
      <c r="B48" s="15">
        <v>146</v>
      </c>
      <c r="C48" s="16">
        <v>259.91134530824417</v>
      </c>
      <c r="D48" s="15">
        <v>0</v>
      </c>
      <c r="E48" s="15">
        <v>0</v>
      </c>
      <c r="F48" s="15">
        <v>0</v>
      </c>
      <c r="G48" s="15">
        <v>0</v>
      </c>
      <c r="H48" s="15">
        <v>0</v>
      </c>
      <c r="I48" s="15">
        <v>0</v>
      </c>
      <c r="J48" s="15">
        <v>0</v>
      </c>
      <c r="K48" s="15">
        <v>1</v>
      </c>
      <c r="L48" s="15">
        <v>0</v>
      </c>
      <c r="M48" s="15">
        <v>1</v>
      </c>
      <c r="N48" s="15">
        <v>0</v>
      </c>
      <c r="O48" s="15">
        <v>0</v>
      </c>
      <c r="P48" s="15">
        <v>0</v>
      </c>
      <c r="Q48" s="15">
        <v>0</v>
      </c>
      <c r="R48" s="15">
        <v>0</v>
      </c>
      <c r="S48" s="15">
        <v>0</v>
      </c>
      <c r="T48" s="15">
        <v>0</v>
      </c>
      <c r="U48" s="15">
        <v>2</v>
      </c>
      <c r="V48" s="15">
        <v>0</v>
      </c>
      <c r="W48" s="15">
        <v>0</v>
      </c>
      <c r="X48" s="15">
        <v>0</v>
      </c>
      <c r="Y48" s="15">
        <v>0</v>
      </c>
      <c r="Z48" s="15">
        <v>0</v>
      </c>
      <c r="AA48" s="15">
        <v>0</v>
      </c>
      <c r="AB48" s="15">
        <v>0</v>
      </c>
      <c r="AC48" s="15">
        <v>0</v>
      </c>
      <c r="AD48" s="15">
        <v>2</v>
      </c>
      <c r="AE48" s="15">
        <v>2</v>
      </c>
      <c r="AF48" s="15">
        <v>1</v>
      </c>
      <c r="AG48" s="15">
        <v>2</v>
      </c>
      <c r="AH48" s="15">
        <v>2</v>
      </c>
      <c r="AI48" s="15">
        <v>2</v>
      </c>
      <c r="AJ48" s="15">
        <v>8</v>
      </c>
      <c r="AK48" s="15">
        <v>5</v>
      </c>
      <c r="AL48" s="15">
        <v>10</v>
      </c>
      <c r="AM48" s="15">
        <v>14</v>
      </c>
      <c r="AN48" s="15">
        <v>12</v>
      </c>
      <c r="AO48" s="15">
        <v>4</v>
      </c>
      <c r="AP48" s="15">
        <v>12</v>
      </c>
      <c r="AQ48" s="15">
        <v>13</v>
      </c>
      <c r="AR48" s="15">
        <v>4</v>
      </c>
      <c r="AS48" s="15">
        <v>5</v>
      </c>
      <c r="AT48" s="15">
        <v>3</v>
      </c>
      <c r="AU48" s="15">
        <v>5</v>
      </c>
      <c r="AV48" s="15">
        <v>4</v>
      </c>
      <c r="AW48" s="15">
        <v>8</v>
      </c>
      <c r="AX48" s="15">
        <v>6</v>
      </c>
      <c r="AY48" s="15">
        <v>7</v>
      </c>
      <c r="AZ48" s="15">
        <v>5</v>
      </c>
      <c r="BA48" s="15">
        <v>3</v>
      </c>
      <c r="BB48" s="15">
        <v>2</v>
      </c>
      <c r="BC48" s="15">
        <v>1</v>
      </c>
      <c r="BD48" s="15">
        <v>0</v>
      </c>
    </row>
    <row r="49" spans="1:56" x14ac:dyDescent="0.35">
      <c r="A49" s="14" t="s">
        <v>145</v>
      </c>
      <c r="B49" s="15">
        <v>157</v>
      </c>
      <c r="C49" s="16">
        <v>436.82702206393816</v>
      </c>
      <c r="D49" s="15">
        <v>6</v>
      </c>
      <c r="E49" s="15">
        <v>4</v>
      </c>
      <c r="F49" s="15">
        <v>1</v>
      </c>
      <c r="G49" s="15">
        <v>0</v>
      </c>
      <c r="H49" s="15">
        <v>0</v>
      </c>
      <c r="I49" s="15">
        <v>0</v>
      </c>
      <c r="J49" s="15">
        <v>0</v>
      </c>
      <c r="K49" s="15">
        <v>2</v>
      </c>
      <c r="L49" s="15">
        <v>2</v>
      </c>
      <c r="M49" s="15">
        <v>1</v>
      </c>
      <c r="N49" s="15">
        <v>1</v>
      </c>
      <c r="O49" s="15">
        <v>0</v>
      </c>
      <c r="P49" s="15">
        <v>0</v>
      </c>
      <c r="Q49" s="15">
        <v>0</v>
      </c>
      <c r="R49" s="15">
        <v>0</v>
      </c>
      <c r="S49" s="15">
        <v>0</v>
      </c>
      <c r="T49" s="15">
        <v>0</v>
      </c>
      <c r="U49" s="15">
        <v>1</v>
      </c>
      <c r="V49" s="15">
        <v>1</v>
      </c>
      <c r="W49" s="15">
        <v>1</v>
      </c>
      <c r="X49" s="15">
        <v>1</v>
      </c>
      <c r="Y49" s="15">
        <v>0</v>
      </c>
      <c r="Z49" s="15">
        <v>0</v>
      </c>
      <c r="AA49" s="15">
        <v>0</v>
      </c>
      <c r="AB49" s="15">
        <v>0</v>
      </c>
      <c r="AC49" s="15">
        <v>0</v>
      </c>
      <c r="AD49" s="15">
        <v>0</v>
      </c>
      <c r="AE49" s="15">
        <v>1</v>
      </c>
      <c r="AF49" s="15">
        <v>2</v>
      </c>
      <c r="AG49" s="15">
        <v>7</v>
      </c>
      <c r="AH49" s="15">
        <v>17</v>
      </c>
      <c r="AI49" s="15">
        <v>3</v>
      </c>
      <c r="AJ49" s="15">
        <v>6</v>
      </c>
      <c r="AK49" s="15">
        <v>4</v>
      </c>
      <c r="AL49" s="15">
        <v>2</v>
      </c>
      <c r="AM49" s="15">
        <v>5</v>
      </c>
      <c r="AN49" s="15">
        <v>2</v>
      </c>
      <c r="AO49" s="15">
        <v>8</v>
      </c>
      <c r="AP49" s="15">
        <v>2</v>
      </c>
      <c r="AQ49" s="15">
        <v>2</v>
      </c>
      <c r="AR49" s="15">
        <v>5</v>
      </c>
      <c r="AS49" s="15">
        <v>4</v>
      </c>
      <c r="AT49" s="15">
        <v>6</v>
      </c>
      <c r="AU49" s="15">
        <v>3</v>
      </c>
      <c r="AV49" s="15">
        <v>1</v>
      </c>
      <c r="AW49" s="15">
        <v>5</v>
      </c>
      <c r="AX49" s="15">
        <v>10</v>
      </c>
      <c r="AY49" s="15">
        <v>9</v>
      </c>
      <c r="AZ49" s="15">
        <v>6</v>
      </c>
      <c r="BA49" s="15">
        <v>7</v>
      </c>
      <c r="BB49" s="15">
        <v>12</v>
      </c>
      <c r="BC49" s="15">
        <v>7</v>
      </c>
      <c r="BD49" s="15">
        <v>0</v>
      </c>
    </row>
    <row r="50" spans="1:56" x14ac:dyDescent="0.35">
      <c r="A50" s="14" t="s">
        <v>146</v>
      </c>
      <c r="B50" s="15">
        <v>92</v>
      </c>
      <c r="C50" s="16">
        <v>461.94014862422171</v>
      </c>
      <c r="D50" s="15">
        <v>0</v>
      </c>
      <c r="E50" s="15">
        <v>0</v>
      </c>
      <c r="F50" s="15">
        <v>0</v>
      </c>
      <c r="G50" s="15">
        <v>0</v>
      </c>
      <c r="H50" s="15">
        <v>0</v>
      </c>
      <c r="I50" s="15">
        <v>0</v>
      </c>
      <c r="J50" s="15">
        <v>1</v>
      </c>
      <c r="K50" s="15">
        <v>0</v>
      </c>
      <c r="L50" s="15">
        <v>0</v>
      </c>
      <c r="M50" s="15">
        <v>0</v>
      </c>
      <c r="N50" s="15">
        <v>0</v>
      </c>
      <c r="O50" s="15">
        <v>0</v>
      </c>
      <c r="P50" s="15">
        <v>0</v>
      </c>
      <c r="Q50" s="15">
        <v>0</v>
      </c>
      <c r="R50" s="15">
        <v>0</v>
      </c>
      <c r="S50" s="15">
        <v>0</v>
      </c>
      <c r="T50" s="15">
        <v>0</v>
      </c>
      <c r="U50" s="15">
        <v>0</v>
      </c>
      <c r="V50" s="15">
        <v>0</v>
      </c>
      <c r="W50" s="15">
        <v>0</v>
      </c>
      <c r="X50" s="15">
        <v>1</v>
      </c>
      <c r="Y50" s="15">
        <v>0</v>
      </c>
      <c r="Z50" s="15">
        <v>0</v>
      </c>
      <c r="AA50" s="15">
        <v>0</v>
      </c>
      <c r="AB50" s="15">
        <v>0</v>
      </c>
      <c r="AC50" s="15">
        <v>0</v>
      </c>
      <c r="AD50" s="15">
        <v>0</v>
      </c>
      <c r="AE50" s="15">
        <v>0</v>
      </c>
      <c r="AF50" s="15">
        <v>0</v>
      </c>
      <c r="AG50" s="15">
        <v>1</v>
      </c>
      <c r="AH50" s="15">
        <v>1</v>
      </c>
      <c r="AI50" s="15">
        <v>0</v>
      </c>
      <c r="AJ50" s="15">
        <v>0</v>
      </c>
      <c r="AK50" s="15">
        <v>0</v>
      </c>
      <c r="AL50" s="15">
        <v>4</v>
      </c>
      <c r="AM50" s="15">
        <v>9</v>
      </c>
      <c r="AN50" s="15">
        <v>2</v>
      </c>
      <c r="AO50" s="15">
        <v>8</v>
      </c>
      <c r="AP50" s="15">
        <v>5</v>
      </c>
      <c r="AQ50" s="15">
        <v>8</v>
      </c>
      <c r="AR50" s="15">
        <v>6</v>
      </c>
      <c r="AS50" s="15">
        <v>6</v>
      </c>
      <c r="AT50" s="15">
        <v>8</v>
      </c>
      <c r="AU50" s="15">
        <v>9</v>
      </c>
      <c r="AV50" s="15">
        <v>6</v>
      </c>
      <c r="AW50" s="15">
        <v>5</v>
      </c>
      <c r="AX50" s="15">
        <v>1</v>
      </c>
      <c r="AY50" s="15">
        <v>3</v>
      </c>
      <c r="AZ50" s="15">
        <v>2</v>
      </c>
      <c r="BA50" s="15">
        <v>4</v>
      </c>
      <c r="BB50" s="15">
        <v>2</v>
      </c>
      <c r="BC50" s="15">
        <v>0</v>
      </c>
      <c r="BD50" s="15">
        <v>0</v>
      </c>
    </row>
    <row r="51" spans="1:56" x14ac:dyDescent="0.35">
      <c r="A51" s="14" t="s">
        <v>147</v>
      </c>
      <c r="B51" s="15">
        <v>274</v>
      </c>
      <c r="C51" s="16" t="s">
        <v>106</v>
      </c>
      <c r="D51" s="15">
        <v>1</v>
      </c>
      <c r="E51" s="15">
        <v>3</v>
      </c>
      <c r="F51" s="15">
        <v>0</v>
      </c>
      <c r="G51" s="15">
        <v>0</v>
      </c>
      <c r="H51" s="15">
        <v>0</v>
      </c>
      <c r="I51" s="15">
        <v>0</v>
      </c>
      <c r="J51" s="15">
        <v>0</v>
      </c>
      <c r="K51" s="15">
        <v>0</v>
      </c>
      <c r="L51" s="15">
        <v>0</v>
      </c>
      <c r="M51" s="15">
        <v>1</v>
      </c>
      <c r="N51" s="15">
        <v>0</v>
      </c>
      <c r="O51" s="15">
        <v>0</v>
      </c>
      <c r="P51" s="15">
        <v>3</v>
      </c>
      <c r="Q51" s="15">
        <v>3</v>
      </c>
      <c r="R51" s="15">
        <v>5</v>
      </c>
      <c r="S51" s="15">
        <v>4</v>
      </c>
      <c r="T51" s="15">
        <v>1</v>
      </c>
      <c r="U51" s="15">
        <v>8</v>
      </c>
      <c r="V51" s="15">
        <v>8</v>
      </c>
      <c r="W51" s="15">
        <v>2</v>
      </c>
      <c r="X51" s="15">
        <v>1</v>
      </c>
      <c r="Y51" s="15">
        <v>1</v>
      </c>
      <c r="Z51" s="15">
        <v>1</v>
      </c>
      <c r="AA51" s="15">
        <v>0</v>
      </c>
      <c r="AB51" s="15">
        <v>1</v>
      </c>
      <c r="AC51" s="15">
        <v>0</v>
      </c>
      <c r="AD51" s="15">
        <v>2</v>
      </c>
      <c r="AE51" s="15">
        <v>1</v>
      </c>
      <c r="AF51" s="15">
        <v>5</v>
      </c>
      <c r="AG51" s="15">
        <v>3</v>
      </c>
      <c r="AH51" s="15">
        <v>7</v>
      </c>
      <c r="AI51" s="15">
        <v>13</v>
      </c>
      <c r="AJ51" s="15">
        <v>12</v>
      </c>
      <c r="AK51" s="15">
        <v>7</v>
      </c>
      <c r="AL51" s="15">
        <v>10</v>
      </c>
      <c r="AM51" s="15">
        <v>17</v>
      </c>
      <c r="AN51" s="15">
        <v>7</v>
      </c>
      <c r="AO51" s="15">
        <v>13</v>
      </c>
      <c r="AP51" s="15">
        <v>16</v>
      </c>
      <c r="AQ51" s="15">
        <v>5</v>
      </c>
      <c r="AR51" s="15">
        <v>7</v>
      </c>
      <c r="AS51" s="15">
        <v>8</v>
      </c>
      <c r="AT51" s="15">
        <v>13</v>
      </c>
      <c r="AU51" s="15">
        <v>11</v>
      </c>
      <c r="AV51" s="15">
        <v>14</v>
      </c>
      <c r="AW51" s="15">
        <v>15</v>
      </c>
      <c r="AX51" s="15">
        <v>8</v>
      </c>
      <c r="AY51" s="15">
        <v>14</v>
      </c>
      <c r="AZ51" s="15">
        <v>11</v>
      </c>
      <c r="BA51" s="15">
        <v>12</v>
      </c>
      <c r="BB51" s="15">
        <v>0</v>
      </c>
      <c r="BC51" s="15">
        <v>0</v>
      </c>
      <c r="BD51" s="15">
        <v>0</v>
      </c>
    </row>
    <row r="52" spans="1:56" x14ac:dyDescent="0.35">
      <c r="A52" s="19"/>
      <c r="B52" s="19"/>
      <c r="C52" s="19"/>
      <c r="D52" s="19"/>
      <c r="E52" s="19"/>
      <c r="F52" s="19"/>
      <c r="G52" s="19"/>
      <c r="H52" s="19"/>
      <c r="I52" s="19"/>
      <c r="J52" s="19"/>
      <c r="K52" s="19"/>
      <c r="L52" s="19"/>
      <c r="M52" s="19"/>
      <c r="N52" s="19"/>
      <c r="O52" s="19"/>
      <c r="P52" s="19"/>
      <c r="Q52" s="19"/>
      <c r="R52" s="19"/>
      <c r="S52" s="19"/>
      <c r="T52" s="19"/>
      <c r="U52" s="19"/>
      <c r="V52" s="19"/>
      <c r="W52" s="19"/>
      <c r="X52" s="19"/>
      <c r="Y52" s="19"/>
      <c r="Z52" s="19"/>
      <c r="AA52" s="19"/>
      <c r="AB52" s="19"/>
      <c r="AC52" s="19"/>
      <c r="AD52" s="19"/>
      <c r="AE52" s="19"/>
      <c r="AF52" s="19"/>
      <c r="AG52" s="19"/>
      <c r="AH52" s="19"/>
      <c r="AI52" s="19"/>
      <c r="AJ52" s="19"/>
      <c r="AK52" s="19"/>
      <c r="AL52" s="19"/>
      <c r="AM52" s="19"/>
      <c r="AN52" s="19"/>
      <c r="AO52" s="19"/>
      <c r="AP52" s="19"/>
      <c r="AQ52" s="19"/>
      <c r="AR52" s="19"/>
      <c r="AS52" s="19"/>
      <c r="AT52" s="19"/>
      <c r="AU52" s="19"/>
      <c r="AV52" s="19"/>
      <c r="AW52" s="19"/>
      <c r="AX52" s="19"/>
      <c r="AY52" s="19"/>
      <c r="AZ52" s="19"/>
      <c r="BA52" s="19"/>
      <c r="BB52" s="19"/>
      <c r="BC52" s="19"/>
      <c r="BD52" s="19"/>
    </row>
    <row r="53" spans="1:56" x14ac:dyDescent="0.35">
      <c r="A53" s="1" t="s">
        <v>148</v>
      </c>
      <c r="B53" s="10">
        <v>1305</v>
      </c>
      <c r="C53" s="11">
        <v>236.99049313998782</v>
      </c>
      <c r="D53" s="10">
        <v>6</v>
      </c>
      <c r="E53" s="10">
        <v>5</v>
      </c>
      <c r="F53" s="10">
        <v>2</v>
      </c>
      <c r="G53" s="10">
        <v>2</v>
      </c>
      <c r="H53" s="10">
        <v>6</v>
      </c>
      <c r="I53" s="10">
        <v>3</v>
      </c>
      <c r="J53" s="10">
        <v>2</v>
      </c>
      <c r="K53" s="10">
        <v>0</v>
      </c>
      <c r="L53" s="10">
        <v>0</v>
      </c>
      <c r="M53" s="10">
        <v>1</v>
      </c>
      <c r="N53" s="10">
        <v>2</v>
      </c>
      <c r="O53" s="10">
        <v>1</v>
      </c>
      <c r="P53" s="10">
        <v>0</v>
      </c>
      <c r="Q53" s="10">
        <v>1</v>
      </c>
      <c r="R53" s="10">
        <v>1</v>
      </c>
      <c r="S53" s="10">
        <v>0</v>
      </c>
      <c r="T53" s="10">
        <v>1</v>
      </c>
      <c r="U53" s="10">
        <v>0</v>
      </c>
      <c r="V53" s="10">
        <v>2</v>
      </c>
      <c r="W53" s="10">
        <v>3</v>
      </c>
      <c r="X53" s="10">
        <v>3</v>
      </c>
      <c r="Y53" s="10">
        <v>1</v>
      </c>
      <c r="Z53" s="10">
        <v>1</v>
      </c>
      <c r="AA53" s="10">
        <v>0</v>
      </c>
      <c r="AB53" s="10">
        <v>0</v>
      </c>
      <c r="AC53" s="10">
        <v>0</v>
      </c>
      <c r="AD53" s="10">
        <v>1</v>
      </c>
      <c r="AE53" s="10">
        <v>4</v>
      </c>
      <c r="AF53" s="10">
        <v>4</v>
      </c>
      <c r="AG53" s="10">
        <v>1</v>
      </c>
      <c r="AH53" s="10">
        <v>7</v>
      </c>
      <c r="AI53" s="10">
        <v>7</v>
      </c>
      <c r="AJ53" s="10">
        <v>16</v>
      </c>
      <c r="AK53" s="10">
        <v>37</v>
      </c>
      <c r="AL53" s="10">
        <v>45</v>
      </c>
      <c r="AM53" s="10">
        <v>59</v>
      </c>
      <c r="AN53" s="10">
        <v>52</v>
      </c>
      <c r="AO53" s="10">
        <v>60</v>
      </c>
      <c r="AP53" s="10">
        <v>44</v>
      </c>
      <c r="AQ53" s="10">
        <v>66</v>
      </c>
      <c r="AR53" s="10">
        <v>89</v>
      </c>
      <c r="AS53" s="10">
        <v>102</v>
      </c>
      <c r="AT53" s="10">
        <v>85</v>
      </c>
      <c r="AU53" s="10">
        <v>79</v>
      </c>
      <c r="AV53" s="10">
        <v>68</v>
      </c>
      <c r="AW53" s="10">
        <v>72</v>
      </c>
      <c r="AX53" s="10">
        <v>49</v>
      </c>
      <c r="AY53" s="10">
        <v>65</v>
      </c>
      <c r="AZ53" s="10">
        <v>83</v>
      </c>
      <c r="BA53" s="10">
        <v>77</v>
      </c>
      <c r="BB53" s="10">
        <v>57</v>
      </c>
      <c r="BC53" s="10">
        <v>33</v>
      </c>
      <c r="BD53" s="10">
        <v>0</v>
      </c>
    </row>
    <row r="54" spans="1:56" x14ac:dyDescent="0.35">
      <c r="A54" s="14" t="s">
        <v>149</v>
      </c>
      <c r="B54" s="15">
        <v>46</v>
      </c>
      <c r="C54" s="16">
        <v>27.515417606278302</v>
      </c>
      <c r="D54" s="15">
        <v>1</v>
      </c>
      <c r="E54" s="15">
        <v>0</v>
      </c>
      <c r="F54" s="15">
        <v>0</v>
      </c>
      <c r="G54" s="15">
        <v>0</v>
      </c>
      <c r="H54" s="15">
        <v>0</v>
      </c>
      <c r="I54" s="15">
        <v>0</v>
      </c>
      <c r="J54" s="15">
        <v>0</v>
      </c>
      <c r="K54" s="15">
        <v>0</v>
      </c>
      <c r="L54" s="15">
        <v>0</v>
      </c>
      <c r="M54" s="15">
        <v>0</v>
      </c>
      <c r="N54" s="15">
        <v>0</v>
      </c>
      <c r="O54" s="15">
        <v>0</v>
      </c>
      <c r="P54" s="15">
        <v>0</v>
      </c>
      <c r="Q54" s="15">
        <v>0</v>
      </c>
      <c r="R54" s="15">
        <v>0</v>
      </c>
      <c r="S54" s="15">
        <v>0</v>
      </c>
      <c r="T54" s="15">
        <v>1</v>
      </c>
      <c r="U54" s="15">
        <v>0</v>
      </c>
      <c r="V54" s="15">
        <v>1</v>
      </c>
      <c r="W54" s="15">
        <v>0</v>
      </c>
      <c r="X54" s="15">
        <v>0</v>
      </c>
      <c r="Y54" s="15">
        <v>0</v>
      </c>
      <c r="Z54" s="15">
        <v>0</v>
      </c>
      <c r="AA54" s="15">
        <v>0</v>
      </c>
      <c r="AB54" s="15">
        <v>0</v>
      </c>
      <c r="AC54" s="15">
        <v>0</v>
      </c>
      <c r="AD54" s="15">
        <v>0</v>
      </c>
      <c r="AE54" s="15">
        <v>0</v>
      </c>
      <c r="AF54" s="15">
        <v>0</v>
      </c>
      <c r="AG54" s="15">
        <v>0</v>
      </c>
      <c r="AH54" s="15">
        <v>0</v>
      </c>
      <c r="AI54" s="15">
        <v>1</v>
      </c>
      <c r="AJ54" s="15">
        <v>3</v>
      </c>
      <c r="AK54" s="15">
        <v>0</v>
      </c>
      <c r="AL54" s="15">
        <v>0</v>
      </c>
      <c r="AM54" s="15">
        <v>1</v>
      </c>
      <c r="AN54" s="15">
        <v>0</v>
      </c>
      <c r="AO54" s="15">
        <v>1</v>
      </c>
      <c r="AP54" s="15">
        <v>0</v>
      </c>
      <c r="AQ54" s="15">
        <v>3</v>
      </c>
      <c r="AR54" s="15">
        <v>5</v>
      </c>
      <c r="AS54" s="15">
        <v>5</v>
      </c>
      <c r="AT54" s="15">
        <v>3</v>
      </c>
      <c r="AU54" s="15">
        <v>6</v>
      </c>
      <c r="AV54" s="15">
        <v>3</v>
      </c>
      <c r="AW54" s="15">
        <v>4</v>
      </c>
      <c r="AX54" s="15">
        <v>0</v>
      </c>
      <c r="AY54" s="15">
        <v>0</v>
      </c>
      <c r="AZ54" s="15">
        <v>3</v>
      </c>
      <c r="BA54" s="15">
        <v>2</v>
      </c>
      <c r="BB54" s="15">
        <v>3</v>
      </c>
      <c r="BC54" s="15">
        <v>0</v>
      </c>
      <c r="BD54" s="15">
        <v>0</v>
      </c>
    </row>
    <row r="55" spans="1:56" x14ac:dyDescent="0.35">
      <c r="A55" s="14" t="s">
        <v>150</v>
      </c>
      <c r="B55" s="15">
        <v>31</v>
      </c>
      <c r="C55" s="16">
        <v>48.291869830043773</v>
      </c>
      <c r="D55" s="15">
        <v>0</v>
      </c>
      <c r="E55" s="15">
        <v>0</v>
      </c>
      <c r="F55" s="15">
        <v>0</v>
      </c>
      <c r="G55" s="15">
        <v>0</v>
      </c>
      <c r="H55" s="15">
        <v>0</v>
      </c>
      <c r="I55" s="15">
        <v>0</v>
      </c>
      <c r="J55" s="15">
        <v>0</v>
      </c>
      <c r="K55" s="15">
        <v>0</v>
      </c>
      <c r="L55" s="15">
        <v>0</v>
      </c>
      <c r="M55" s="15">
        <v>0</v>
      </c>
      <c r="N55" s="15">
        <v>0</v>
      </c>
      <c r="O55" s="15">
        <v>0</v>
      </c>
      <c r="P55" s="15">
        <v>0</v>
      </c>
      <c r="Q55" s="15">
        <v>0</v>
      </c>
      <c r="R55" s="15">
        <v>0</v>
      </c>
      <c r="S55" s="15">
        <v>0</v>
      </c>
      <c r="T55" s="15">
        <v>0</v>
      </c>
      <c r="U55" s="15">
        <v>0</v>
      </c>
      <c r="V55" s="15">
        <v>0</v>
      </c>
      <c r="W55" s="15">
        <v>0</v>
      </c>
      <c r="X55" s="15">
        <v>0</v>
      </c>
      <c r="Y55" s="15">
        <v>0</v>
      </c>
      <c r="Z55" s="15">
        <v>0</v>
      </c>
      <c r="AA55" s="15">
        <v>0</v>
      </c>
      <c r="AB55" s="15">
        <v>0</v>
      </c>
      <c r="AC55" s="15">
        <v>0</v>
      </c>
      <c r="AD55" s="15">
        <v>0</v>
      </c>
      <c r="AE55" s="15">
        <v>0</v>
      </c>
      <c r="AF55" s="15">
        <v>1</v>
      </c>
      <c r="AG55" s="15">
        <v>0</v>
      </c>
      <c r="AH55" s="15">
        <v>0</v>
      </c>
      <c r="AI55" s="15">
        <v>0</v>
      </c>
      <c r="AJ55" s="15">
        <v>0</v>
      </c>
      <c r="AK55" s="15">
        <v>1</v>
      </c>
      <c r="AL55" s="15">
        <v>0</v>
      </c>
      <c r="AM55" s="15">
        <v>0</v>
      </c>
      <c r="AN55" s="15">
        <v>0</v>
      </c>
      <c r="AO55" s="15">
        <v>0</v>
      </c>
      <c r="AP55" s="15">
        <v>1</v>
      </c>
      <c r="AQ55" s="15">
        <v>1</v>
      </c>
      <c r="AR55" s="15">
        <v>0</v>
      </c>
      <c r="AS55" s="15">
        <v>0</v>
      </c>
      <c r="AT55" s="15">
        <v>4</v>
      </c>
      <c r="AU55" s="15">
        <v>4</v>
      </c>
      <c r="AV55" s="15">
        <v>2</v>
      </c>
      <c r="AW55" s="15">
        <v>2</v>
      </c>
      <c r="AX55" s="15">
        <v>3</v>
      </c>
      <c r="AY55" s="15">
        <v>2</v>
      </c>
      <c r="AZ55" s="15">
        <v>4</v>
      </c>
      <c r="BA55" s="15">
        <v>4</v>
      </c>
      <c r="BB55" s="15">
        <v>2</v>
      </c>
      <c r="BC55" s="15">
        <v>0</v>
      </c>
      <c r="BD55" s="15">
        <v>0</v>
      </c>
    </row>
    <row r="56" spans="1:56" x14ac:dyDescent="0.35">
      <c r="A56" s="14" t="s">
        <v>151</v>
      </c>
      <c r="B56" s="15">
        <v>41</v>
      </c>
      <c r="C56" s="16">
        <v>35.461299613385343</v>
      </c>
      <c r="D56" s="15">
        <v>0</v>
      </c>
      <c r="E56" s="15">
        <v>0</v>
      </c>
      <c r="F56" s="15">
        <v>0</v>
      </c>
      <c r="G56" s="15">
        <v>0</v>
      </c>
      <c r="H56" s="15">
        <v>0</v>
      </c>
      <c r="I56" s="15">
        <v>0</v>
      </c>
      <c r="J56" s="15">
        <v>1</v>
      </c>
      <c r="K56" s="15">
        <v>0</v>
      </c>
      <c r="L56" s="15">
        <v>0</v>
      </c>
      <c r="M56" s="15">
        <v>0</v>
      </c>
      <c r="N56" s="15">
        <v>1</v>
      </c>
      <c r="O56" s="15">
        <v>0</v>
      </c>
      <c r="P56" s="15">
        <v>0</v>
      </c>
      <c r="Q56" s="15">
        <v>0</v>
      </c>
      <c r="R56" s="15">
        <v>1</v>
      </c>
      <c r="S56" s="15">
        <v>0</v>
      </c>
      <c r="T56" s="15">
        <v>0</v>
      </c>
      <c r="U56" s="15">
        <v>0</v>
      </c>
      <c r="V56" s="15">
        <v>0</v>
      </c>
      <c r="W56" s="15">
        <v>0</v>
      </c>
      <c r="X56" s="15">
        <v>0</v>
      </c>
      <c r="Y56" s="15">
        <v>0</v>
      </c>
      <c r="Z56" s="15">
        <v>1</v>
      </c>
      <c r="AA56" s="15">
        <v>0</v>
      </c>
      <c r="AB56" s="15">
        <v>0</v>
      </c>
      <c r="AC56" s="15">
        <v>0</v>
      </c>
      <c r="AD56" s="15">
        <v>0</v>
      </c>
      <c r="AE56" s="15">
        <v>2</v>
      </c>
      <c r="AF56" s="15">
        <v>0</v>
      </c>
      <c r="AG56" s="15">
        <v>0</v>
      </c>
      <c r="AH56" s="15">
        <v>0</v>
      </c>
      <c r="AI56" s="15">
        <v>0</v>
      </c>
      <c r="AJ56" s="15">
        <v>2</v>
      </c>
      <c r="AK56" s="15">
        <v>0</v>
      </c>
      <c r="AL56" s="15">
        <v>0</v>
      </c>
      <c r="AM56" s="15">
        <v>0</v>
      </c>
      <c r="AN56" s="15">
        <v>0</v>
      </c>
      <c r="AO56" s="15">
        <v>2</v>
      </c>
      <c r="AP56" s="15">
        <v>1</v>
      </c>
      <c r="AQ56" s="15">
        <v>1</v>
      </c>
      <c r="AR56" s="15">
        <v>1</v>
      </c>
      <c r="AS56" s="15">
        <v>2</v>
      </c>
      <c r="AT56" s="15">
        <v>2</v>
      </c>
      <c r="AU56" s="15">
        <v>5</v>
      </c>
      <c r="AV56" s="15">
        <v>1</v>
      </c>
      <c r="AW56" s="15">
        <v>4</v>
      </c>
      <c r="AX56" s="15">
        <v>4</v>
      </c>
      <c r="AY56" s="15">
        <v>3</v>
      </c>
      <c r="AZ56" s="15">
        <v>6</v>
      </c>
      <c r="BA56" s="15">
        <v>0</v>
      </c>
      <c r="BB56" s="15">
        <v>0</v>
      </c>
      <c r="BC56" s="15">
        <v>1</v>
      </c>
      <c r="BD56" s="15">
        <v>0</v>
      </c>
    </row>
    <row r="57" spans="1:56" x14ac:dyDescent="0.35">
      <c r="A57" s="14" t="s">
        <v>152</v>
      </c>
      <c r="B57" s="15">
        <v>268</v>
      </c>
      <c r="C57" s="16">
        <v>1636.2415287868612</v>
      </c>
      <c r="D57" s="15">
        <v>0</v>
      </c>
      <c r="E57" s="15">
        <v>0</v>
      </c>
      <c r="F57" s="15">
        <v>0</v>
      </c>
      <c r="G57" s="15">
        <v>0</v>
      </c>
      <c r="H57" s="15">
        <v>0</v>
      </c>
      <c r="I57" s="15">
        <v>0</v>
      </c>
      <c r="J57" s="15">
        <v>0</v>
      </c>
      <c r="K57" s="15">
        <v>0</v>
      </c>
      <c r="L57" s="15">
        <v>0</v>
      </c>
      <c r="M57" s="15">
        <v>0</v>
      </c>
      <c r="N57" s="15">
        <v>0</v>
      </c>
      <c r="O57" s="15">
        <v>0</v>
      </c>
      <c r="P57" s="15">
        <v>0</v>
      </c>
      <c r="Q57" s="15">
        <v>1</v>
      </c>
      <c r="R57" s="15">
        <v>0</v>
      </c>
      <c r="S57" s="15">
        <v>0</v>
      </c>
      <c r="T57" s="15">
        <v>0</v>
      </c>
      <c r="U57" s="15">
        <v>0</v>
      </c>
      <c r="V57" s="15">
        <v>0</v>
      </c>
      <c r="W57" s="15">
        <v>0</v>
      </c>
      <c r="X57" s="15">
        <v>0</v>
      </c>
      <c r="Y57" s="15">
        <v>0</v>
      </c>
      <c r="Z57" s="15">
        <v>0</v>
      </c>
      <c r="AA57" s="15">
        <v>0</v>
      </c>
      <c r="AB57" s="15">
        <v>0</v>
      </c>
      <c r="AC57" s="15">
        <v>0</v>
      </c>
      <c r="AD57" s="15">
        <v>0</v>
      </c>
      <c r="AE57" s="15">
        <v>1</v>
      </c>
      <c r="AF57" s="15">
        <v>3</v>
      </c>
      <c r="AG57" s="15">
        <v>1</v>
      </c>
      <c r="AH57" s="15">
        <v>3</v>
      </c>
      <c r="AI57" s="15">
        <v>4</v>
      </c>
      <c r="AJ57" s="15">
        <v>8</v>
      </c>
      <c r="AK57" s="15">
        <v>10</v>
      </c>
      <c r="AL57" s="15">
        <v>15</v>
      </c>
      <c r="AM57" s="15">
        <v>14</v>
      </c>
      <c r="AN57" s="15">
        <v>9</v>
      </c>
      <c r="AO57" s="15">
        <v>20</v>
      </c>
      <c r="AP57" s="15">
        <v>8</v>
      </c>
      <c r="AQ57" s="15">
        <v>10</v>
      </c>
      <c r="AR57" s="15">
        <v>34</v>
      </c>
      <c r="AS57" s="15">
        <v>24</v>
      </c>
      <c r="AT57" s="15">
        <v>16</v>
      </c>
      <c r="AU57" s="15">
        <v>11</v>
      </c>
      <c r="AV57" s="15">
        <v>11</v>
      </c>
      <c r="AW57" s="15">
        <v>11</v>
      </c>
      <c r="AX57" s="15">
        <v>6</v>
      </c>
      <c r="AY57" s="15">
        <v>14</v>
      </c>
      <c r="AZ57" s="15">
        <v>13</v>
      </c>
      <c r="BA57" s="15">
        <v>14</v>
      </c>
      <c r="BB57" s="15">
        <v>5</v>
      </c>
      <c r="BC57" s="15">
        <v>2</v>
      </c>
      <c r="BD57" s="15">
        <v>0</v>
      </c>
    </row>
    <row r="58" spans="1:56" x14ac:dyDescent="0.35">
      <c r="A58" s="14" t="s">
        <v>153</v>
      </c>
      <c r="B58" s="15">
        <v>886</v>
      </c>
      <c r="C58" s="16">
        <v>1206.3284590038941</v>
      </c>
      <c r="D58" s="15">
        <v>4</v>
      </c>
      <c r="E58" s="15">
        <v>5</v>
      </c>
      <c r="F58" s="15">
        <v>2</v>
      </c>
      <c r="G58" s="15">
        <v>2</v>
      </c>
      <c r="H58" s="15">
        <v>6</v>
      </c>
      <c r="I58" s="15">
        <v>3</v>
      </c>
      <c r="J58" s="15">
        <v>1</v>
      </c>
      <c r="K58" s="15">
        <v>0</v>
      </c>
      <c r="L58" s="15">
        <v>0</v>
      </c>
      <c r="M58" s="15">
        <v>1</v>
      </c>
      <c r="N58" s="15">
        <v>1</v>
      </c>
      <c r="O58" s="15">
        <v>0</v>
      </c>
      <c r="P58" s="15">
        <v>0</v>
      </c>
      <c r="Q58" s="15">
        <v>0</v>
      </c>
      <c r="R58" s="15">
        <v>0</v>
      </c>
      <c r="S58" s="15">
        <v>0</v>
      </c>
      <c r="T58" s="15">
        <v>0</v>
      </c>
      <c r="U58" s="15">
        <v>0</v>
      </c>
      <c r="V58" s="15">
        <v>1</v>
      </c>
      <c r="W58" s="15">
        <v>2</v>
      </c>
      <c r="X58" s="15">
        <v>1</v>
      </c>
      <c r="Y58" s="15">
        <v>0</v>
      </c>
      <c r="Z58" s="15">
        <v>0</v>
      </c>
      <c r="AA58" s="15">
        <v>0</v>
      </c>
      <c r="AB58" s="15">
        <v>0</v>
      </c>
      <c r="AC58" s="15">
        <v>0</v>
      </c>
      <c r="AD58" s="15">
        <v>1</v>
      </c>
      <c r="AE58" s="15">
        <v>1</v>
      </c>
      <c r="AF58" s="15">
        <v>0</v>
      </c>
      <c r="AG58" s="15">
        <v>0</v>
      </c>
      <c r="AH58" s="15">
        <v>3</v>
      </c>
      <c r="AI58" s="15">
        <v>2</v>
      </c>
      <c r="AJ58" s="15">
        <v>2</v>
      </c>
      <c r="AK58" s="15">
        <v>23</v>
      </c>
      <c r="AL58" s="15">
        <v>29</v>
      </c>
      <c r="AM58" s="15">
        <v>42</v>
      </c>
      <c r="AN58" s="15">
        <v>43</v>
      </c>
      <c r="AO58" s="15">
        <v>37</v>
      </c>
      <c r="AP58" s="15">
        <v>34</v>
      </c>
      <c r="AQ58" s="15">
        <v>51</v>
      </c>
      <c r="AR58" s="15">
        <v>48</v>
      </c>
      <c r="AS58" s="15">
        <v>68</v>
      </c>
      <c r="AT58" s="15">
        <v>60</v>
      </c>
      <c r="AU58" s="15">
        <v>52</v>
      </c>
      <c r="AV58" s="15">
        <v>46</v>
      </c>
      <c r="AW58" s="15">
        <v>50</v>
      </c>
      <c r="AX58" s="15">
        <v>34</v>
      </c>
      <c r="AY58" s="15">
        <v>45</v>
      </c>
      <c r="AZ58" s="15">
        <v>55</v>
      </c>
      <c r="BA58" s="15">
        <v>54</v>
      </c>
      <c r="BB58" s="15">
        <v>47</v>
      </c>
      <c r="BC58" s="15">
        <v>30</v>
      </c>
      <c r="BD58" s="15">
        <v>0</v>
      </c>
    </row>
    <row r="59" spans="1:56" x14ac:dyDescent="0.35">
      <c r="A59" s="14" t="s">
        <v>154</v>
      </c>
      <c r="B59" s="15">
        <v>6</v>
      </c>
      <c r="C59" s="16">
        <v>38.206826286296483</v>
      </c>
      <c r="D59" s="15">
        <v>0</v>
      </c>
      <c r="E59" s="15">
        <v>0</v>
      </c>
      <c r="F59" s="15">
        <v>0</v>
      </c>
      <c r="G59" s="15">
        <v>0</v>
      </c>
      <c r="H59" s="15">
        <v>0</v>
      </c>
      <c r="I59" s="15">
        <v>0</v>
      </c>
      <c r="J59" s="15">
        <v>0</v>
      </c>
      <c r="K59" s="15">
        <v>0</v>
      </c>
      <c r="L59" s="15">
        <v>0</v>
      </c>
      <c r="M59" s="15">
        <v>0</v>
      </c>
      <c r="N59" s="15">
        <v>0</v>
      </c>
      <c r="O59" s="15">
        <v>0</v>
      </c>
      <c r="P59" s="15">
        <v>0</v>
      </c>
      <c r="Q59" s="15">
        <v>0</v>
      </c>
      <c r="R59" s="15">
        <v>0</v>
      </c>
      <c r="S59" s="15">
        <v>0</v>
      </c>
      <c r="T59" s="15">
        <v>0</v>
      </c>
      <c r="U59" s="15">
        <v>0</v>
      </c>
      <c r="V59" s="15">
        <v>0</v>
      </c>
      <c r="W59" s="15">
        <v>0</v>
      </c>
      <c r="X59" s="15">
        <v>0</v>
      </c>
      <c r="Y59" s="15">
        <v>0</v>
      </c>
      <c r="Z59" s="15">
        <v>0</v>
      </c>
      <c r="AA59" s="15">
        <v>0</v>
      </c>
      <c r="AB59" s="15">
        <v>0</v>
      </c>
      <c r="AC59" s="15">
        <v>0</v>
      </c>
      <c r="AD59" s="15">
        <v>0</v>
      </c>
      <c r="AE59" s="15">
        <v>0</v>
      </c>
      <c r="AF59" s="15">
        <v>0</v>
      </c>
      <c r="AG59" s="15">
        <v>0</v>
      </c>
      <c r="AH59" s="15">
        <v>1</v>
      </c>
      <c r="AI59" s="15">
        <v>0</v>
      </c>
      <c r="AJ59" s="15">
        <v>0</v>
      </c>
      <c r="AK59" s="15">
        <v>2</v>
      </c>
      <c r="AL59" s="15">
        <v>0</v>
      </c>
      <c r="AM59" s="15">
        <v>0</v>
      </c>
      <c r="AN59" s="15">
        <v>0</v>
      </c>
      <c r="AO59" s="15">
        <v>0</v>
      </c>
      <c r="AP59" s="15">
        <v>0</v>
      </c>
      <c r="AQ59" s="15">
        <v>0</v>
      </c>
      <c r="AR59" s="15">
        <v>0</v>
      </c>
      <c r="AS59" s="15">
        <v>1</v>
      </c>
      <c r="AT59" s="15">
        <v>0</v>
      </c>
      <c r="AU59" s="15">
        <v>0</v>
      </c>
      <c r="AV59" s="15">
        <v>2</v>
      </c>
      <c r="AW59" s="15">
        <v>0</v>
      </c>
      <c r="AX59" s="15">
        <v>0</v>
      </c>
      <c r="AY59" s="15">
        <v>0</v>
      </c>
      <c r="AZ59" s="15">
        <v>0</v>
      </c>
      <c r="BA59" s="15">
        <v>0</v>
      </c>
      <c r="BB59" s="15">
        <v>0</v>
      </c>
      <c r="BC59" s="15">
        <v>0</v>
      </c>
      <c r="BD59" s="15">
        <v>0</v>
      </c>
    </row>
    <row r="60" spans="1:56" x14ac:dyDescent="0.35">
      <c r="A60" s="14" t="s">
        <v>155</v>
      </c>
      <c r="B60" s="15">
        <v>2</v>
      </c>
      <c r="C60" s="16">
        <v>3.9312812045445606</v>
      </c>
      <c r="D60" s="15">
        <v>0</v>
      </c>
      <c r="E60" s="15">
        <v>0</v>
      </c>
      <c r="F60" s="15">
        <v>0</v>
      </c>
      <c r="G60" s="15">
        <v>0</v>
      </c>
      <c r="H60" s="15">
        <v>0</v>
      </c>
      <c r="I60" s="15">
        <v>0</v>
      </c>
      <c r="J60" s="15">
        <v>0</v>
      </c>
      <c r="K60" s="15">
        <v>0</v>
      </c>
      <c r="L60" s="15">
        <v>0</v>
      </c>
      <c r="M60" s="15">
        <v>0</v>
      </c>
      <c r="N60" s="15">
        <v>0</v>
      </c>
      <c r="O60" s="15">
        <v>0</v>
      </c>
      <c r="P60" s="15">
        <v>0</v>
      </c>
      <c r="Q60" s="15">
        <v>0</v>
      </c>
      <c r="R60" s="15">
        <v>0</v>
      </c>
      <c r="S60" s="15">
        <v>0</v>
      </c>
      <c r="T60" s="15">
        <v>0</v>
      </c>
      <c r="U60" s="15">
        <v>0</v>
      </c>
      <c r="V60" s="15">
        <v>0</v>
      </c>
      <c r="W60" s="15">
        <v>0</v>
      </c>
      <c r="X60" s="15">
        <v>0</v>
      </c>
      <c r="Y60" s="15">
        <v>0</v>
      </c>
      <c r="Z60" s="15">
        <v>0</v>
      </c>
      <c r="AA60" s="15">
        <v>0</v>
      </c>
      <c r="AB60" s="15">
        <v>0</v>
      </c>
      <c r="AC60" s="15">
        <v>0</v>
      </c>
      <c r="AD60" s="15">
        <v>0</v>
      </c>
      <c r="AE60" s="15">
        <v>0</v>
      </c>
      <c r="AF60" s="15">
        <v>0</v>
      </c>
      <c r="AG60" s="15">
        <v>0</v>
      </c>
      <c r="AH60" s="15">
        <v>0</v>
      </c>
      <c r="AI60" s="15">
        <v>0</v>
      </c>
      <c r="AJ60" s="15">
        <v>1</v>
      </c>
      <c r="AK60" s="15">
        <v>0</v>
      </c>
      <c r="AL60" s="15">
        <v>0</v>
      </c>
      <c r="AM60" s="15">
        <v>0</v>
      </c>
      <c r="AN60" s="15">
        <v>0</v>
      </c>
      <c r="AO60" s="15">
        <v>0</v>
      </c>
      <c r="AP60" s="15">
        <v>0</v>
      </c>
      <c r="AQ60" s="15">
        <v>0</v>
      </c>
      <c r="AR60" s="15">
        <v>0</v>
      </c>
      <c r="AS60" s="15">
        <v>1</v>
      </c>
      <c r="AT60" s="15">
        <v>0</v>
      </c>
      <c r="AU60" s="15">
        <v>0</v>
      </c>
      <c r="AV60" s="15">
        <v>0</v>
      </c>
      <c r="AW60" s="15">
        <v>0</v>
      </c>
      <c r="AX60" s="15">
        <v>0</v>
      </c>
      <c r="AY60" s="15">
        <v>0</v>
      </c>
      <c r="AZ60" s="15">
        <v>0</v>
      </c>
      <c r="BA60" s="15">
        <v>0</v>
      </c>
      <c r="BB60" s="15">
        <v>0</v>
      </c>
      <c r="BC60" s="15">
        <v>0</v>
      </c>
      <c r="BD60" s="15">
        <v>0</v>
      </c>
    </row>
    <row r="61" spans="1:56" x14ac:dyDescent="0.35">
      <c r="A61" s="14" t="s">
        <v>156</v>
      </c>
      <c r="B61" s="15">
        <v>25</v>
      </c>
      <c r="C61" s="16">
        <v>52.897738092719152</v>
      </c>
      <c r="D61" s="15">
        <v>1</v>
      </c>
      <c r="E61" s="15">
        <v>0</v>
      </c>
      <c r="F61" s="15">
        <v>0</v>
      </c>
      <c r="G61" s="15">
        <v>0</v>
      </c>
      <c r="H61" s="15">
        <v>0</v>
      </c>
      <c r="I61" s="15">
        <v>0</v>
      </c>
      <c r="J61" s="15">
        <v>0</v>
      </c>
      <c r="K61" s="15">
        <v>0</v>
      </c>
      <c r="L61" s="15">
        <v>0</v>
      </c>
      <c r="M61" s="15">
        <v>0</v>
      </c>
      <c r="N61" s="15">
        <v>0</v>
      </c>
      <c r="O61" s="15">
        <v>1</v>
      </c>
      <c r="P61" s="15">
        <v>0</v>
      </c>
      <c r="Q61" s="15">
        <v>0</v>
      </c>
      <c r="R61" s="15">
        <v>0</v>
      </c>
      <c r="S61" s="15">
        <v>0</v>
      </c>
      <c r="T61" s="15">
        <v>0</v>
      </c>
      <c r="U61" s="15">
        <v>0</v>
      </c>
      <c r="V61" s="15">
        <v>0</v>
      </c>
      <c r="W61" s="15">
        <v>1</v>
      </c>
      <c r="X61" s="15">
        <v>2</v>
      </c>
      <c r="Y61" s="15">
        <v>1</v>
      </c>
      <c r="Z61" s="15">
        <v>0</v>
      </c>
      <c r="AA61" s="15">
        <v>0</v>
      </c>
      <c r="AB61" s="15">
        <v>0</v>
      </c>
      <c r="AC61" s="15">
        <v>0</v>
      </c>
      <c r="AD61" s="15">
        <v>0</v>
      </c>
      <c r="AE61" s="15">
        <v>0</v>
      </c>
      <c r="AF61" s="15">
        <v>0</v>
      </c>
      <c r="AG61" s="15">
        <v>0</v>
      </c>
      <c r="AH61" s="15">
        <v>0</v>
      </c>
      <c r="AI61" s="15">
        <v>0</v>
      </c>
      <c r="AJ61" s="15">
        <v>0</v>
      </c>
      <c r="AK61" s="15">
        <v>1</v>
      </c>
      <c r="AL61" s="15">
        <v>1</v>
      </c>
      <c r="AM61" s="15">
        <v>2</v>
      </c>
      <c r="AN61" s="15">
        <v>0</v>
      </c>
      <c r="AO61" s="15">
        <v>0</v>
      </c>
      <c r="AP61" s="15">
        <v>0</v>
      </c>
      <c r="AQ61" s="15">
        <v>0</v>
      </c>
      <c r="AR61" s="15">
        <v>1</v>
      </c>
      <c r="AS61" s="15">
        <v>1</v>
      </c>
      <c r="AT61" s="15">
        <v>0</v>
      </c>
      <c r="AU61" s="15">
        <v>1</v>
      </c>
      <c r="AV61" s="15">
        <v>3</v>
      </c>
      <c r="AW61" s="15">
        <v>1</v>
      </c>
      <c r="AX61" s="15">
        <v>2</v>
      </c>
      <c r="AY61" s="15">
        <v>1</v>
      </c>
      <c r="AZ61" s="15">
        <v>2</v>
      </c>
      <c r="BA61" s="15">
        <v>3</v>
      </c>
      <c r="BB61" s="15">
        <v>0</v>
      </c>
      <c r="BC61" s="15">
        <v>0</v>
      </c>
      <c r="BD61" s="15">
        <v>0</v>
      </c>
    </row>
    <row r="62" spans="1:56" x14ac:dyDescent="0.35">
      <c r="A62" s="14"/>
      <c r="B62" s="12"/>
      <c r="C62" s="13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</row>
    <row r="63" spans="1:56" x14ac:dyDescent="0.35">
      <c r="A63" s="1" t="s">
        <v>157</v>
      </c>
      <c r="B63" s="10">
        <v>2241</v>
      </c>
      <c r="C63" s="11">
        <v>410.33509784139204</v>
      </c>
      <c r="D63" s="10">
        <v>5</v>
      </c>
      <c r="E63" s="10">
        <v>9</v>
      </c>
      <c r="F63" s="10">
        <v>7</v>
      </c>
      <c r="G63" s="10">
        <v>0</v>
      </c>
      <c r="H63" s="10">
        <v>7</v>
      </c>
      <c r="I63" s="10">
        <v>2</v>
      </c>
      <c r="J63" s="10">
        <v>7</v>
      </c>
      <c r="K63" s="10">
        <v>1</v>
      </c>
      <c r="L63" s="10">
        <v>2</v>
      </c>
      <c r="M63" s="10">
        <v>3</v>
      </c>
      <c r="N63" s="10">
        <v>6</v>
      </c>
      <c r="O63" s="10">
        <v>8</v>
      </c>
      <c r="P63" s="10">
        <v>5</v>
      </c>
      <c r="Q63" s="10">
        <v>9</v>
      </c>
      <c r="R63" s="10">
        <v>8</v>
      </c>
      <c r="S63" s="10">
        <v>19</v>
      </c>
      <c r="T63" s="10">
        <v>17</v>
      </c>
      <c r="U63" s="10">
        <v>23</v>
      </c>
      <c r="V63" s="10">
        <v>25</v>
      </c>
      <c r="W63" s="10">
        <v>19</v>
      </c>
      <c r="X63" s="10">
        <v>22</v>
      </c>
      <c r="Y63" s="10">
        <v>24</v>
      </c>
      <c r="Z63" s="10">
        <v>20</v>
      </c>
      <c r="AA63" s="10">
        <v>29</v>
      </c>
      <c r="AB63" s="10">
        <v>41</v>
      </c>
      <c r="AC63" s="10">
        <v>43</v>
      </c>
      <c r="AD63" s="10">
        <v>47</v>
      </c>
      <c r="AE63" s="10">
        <v>45</v>
      </c>
      <c r="AF63" s="10">
        <v>63</v>
      </c>
      <c r="AG63" s="10">
        <v>45</v>
      </c>
      <c r="AH63" s="10">
        <v>80</v>
      </c>
      <c r="AI63" s="10">
        <v>94</v>
      </c>
      <c r="AJ63" s="10">
        <v>75</v>
      </c>
      <c r="AK63" s="10">
        <v>90</v>
      </c>
      <c r="AL63" s="10">
        <v>68</v>
      </c>
      <c r="AM63" s="10">
        <v>92</v>
      </c>
      <c r="AN63" s="10">
        <v>75</v>
      </c>
      <c r="AO63" s="10">
        <v>91</v>
      </c>
      <c r="AP63" s="10">
        <v>89</v>
      </c>
      <c r="AQ63" s="10">
        <v>111</v>
      </c>
      <c r="AR63" s="10">
        <v>100</v>
      </c>
      <c r="AS63" s="10">
        <v>87</v>
      </c>
      <c r="AT63" s="10">
        <v>88</v>
      </c>
      <c r="AU63" s="10">
        <v>90</v>
      </c>
      <c r="AV63" s="10">
        <v>101</v>
      </c>
      <c r="AW63" s="10">
        <v>84</v>
      </c>
      <c r="AX63" s="10">
        <v>64</v>
      </c>
      <c r="AY63" s="10">
        <v>85</v>
      </c>
      <c r="AZ63" s="10">
        <v>58</v>
      </c>
      <c r="BA63" s="10">
        <v>49</v>
      </c>
      <c r="BB63" s="10">
        <v>9</v>
      </c>
      <c r="BC63" s="10">
        <v>0</v>
      </c>
      <c r="BD63" s="10">
        <v>0</v>
      </c>
    </row>
    <row r="64" spans="1:56" x14ac:dyDescent="0.35">
      <c r="A64" s="14" t="s">
        <v>158</v>
      </c>
      <c r="B64" s="15">
        <v>125</v>
      </c>
      <c r="C64" s="16">
        <v>84.830305456963885</v>
      </c>
      <c r="D64" s="15">
        <v>0</v>
      </c>
      <c r="E64" s="15">
        <v>0</v>
      </c>
      <c r="F64" s="15">
        <v>0</v>
      </c>
      <c r="G64" s="15">
        <v>0</v>
      </c>
      <c r="H64" s="15">
        <v>0</v>
      </c>
      <c r="I64" s="15">
        <v>0</v>
      </c>
      <c r="J64" s="15">
        <v>0</v>
      </c>
      <c r="K64" s="15">
        <v>0</v>
      </c>
      <c r="L64" s="15">
        <v>0</v>
      </c>
      <c r="M64" s="15">
        <v>0</v>
      </c>
      <c r="N64" s="15">
        <v>0</v>
      </c>
      <c r="O64" s="15">
        <v>0</v>
      </c>
      <c r="P64" s="15">
        <v>0</v>
      </c>
      <c r="Q64" s="15">
        <v>0</v>
      </c>
      <c r="R64" s="15">
        <v>0</v>
      </c>
      <c r="S64" s="15">
        <v>0</v>
      </c>
      <c r="T64" s="15">
        <v>0</v>
      </c>
      <c r="U64" s="15">
        <v>0</v>
      </c>
      <c r="V64" s="15">
        <v>0</v>
      </c>
      <c r="W64" s="15">
        <v>0</v>
      </c>
      <c r="X64" s="15">
        <v>0</v>
      </c>
      <c r="Y64" s="15">
        <v>1</v>
      </c>
      <c r="Z64" s="15">
        <v>0</v>
      </c>
      <c r="AA64" s="15">
        <v>0</v>
      </c>
      <c r="AB64" s="15">
        <v>0</v>
      </c>
      <c r="AC64" s="15">
        <v>0</v>
      </c>
      <c r="AD64" s="15">
        <v>3</v>
      </c>
      <c r="AE64" s="15">
        <v>2</v>
      </c>
      <c r="AF64" s="15">
        <v>0</v>
      </c>
      <c r="AG64" s="15">
        <v>1</v>
      </c>
      <c r="AH64" s="15">
        <v>0</v>
      </c>
      <c r="AI64" s="15">
        <v>2</v>
      </c>
      <c r="AJ64" s="15">
        <v>4</v>
      </c>
      <c r="AK64" s="15">
        <v>5</v>
      </c>
      <c r="AL64" s="15">
        <v>2</v>
      </c>
      <c r="AM64" s="15">
        <v>4</v>
      </c>
      <c r="AN64" s="15">
        <v>6</v>
      </c>
      <c r="AO64" s="15">
        <v>3</v>
      </c>
      <c r="AP64" s="15">
        <v>7</v>
      </c>
      <c r="AQ64" s="15">
        <v>7</v>
      </c>
      <c r="AR64" s="15">
        <v>9</v>
      </c>
      <c r="AS64" s="15">
        <v>5</v>
      </c>
      <c r="AT64" s="15">
        <v>8</v>
      </c>
      <c r="AU64" s="15">
        <v>3</v>
      </c>
      <c r="AV64" s="15">
        <v>5</v>
      </c>
      <c r="AW64" s="15">
        <v>10</v>
      </c>
      <c r="AX64" s="15">
        <v>10</v>
      </c>
      <c r="AY64" s="15">
        <v>11</v>
      </c>
      <c r="AZ64" s="15">
        <v>11</v>
      </c>
      <c r="BA64" s="15">
        <v>6</v>
      </c>
      <c r="BB64" s="15">
        <v>0</v>
      </c>
      <c r="BC64" s="15">
        <v>0</v>
      </c>
      <c r="BD64" s="15">
        <v>0</v>
      </c>
    </row>
    <row r="65" spans="1:56" x14ac:dyDescent="0.35">
      <c r="A65" s="14" t="s">
        <v>159</v>
      </c>
      <c r="B65" s="15">
        <v>77</v>
      </c>
      <c r="C65" s="16">
        <v>157.9195635677516</v>
      </c>
      <c r="D65" s="15">
        <v>0</v>
      </c>
      <c r="E65" s="15">
        <v>0</v>
      </c>
      <c r="F65" s="15">
        <v>0</v>
      </c>
      <c r="G65" s="15">
        <v>0</v>
      </c>
      <c r="H65" s="15">
        <v>0</v>
      </c>
      <c r="I65" s="15">
        <v>0</v>
      </c>
      <c r="J65" s="15">
        <v>0</v>
      </c>
      <c r="K65" s="15">
        <v>0</v>
      </c>
      <c r="L65" s="15">
        <v>0</v>
      </c>
      <c r="M65" s="15">
        <v>0</v>
      </c>
      <c r="N65" s="15">
        <v>0</v>
      </c>
      <c r="O65" s="15">
        <v>0</v>
      </c>
      <c r="P65" s="15">
        <v>0</v>
      </c>
      <c r="Q65" s="15">
        <v>0</v>
      </c>
      <c r="R65" s="15">
        <v>2</v>
      </c>
      <c r="S65" s="15">
        <v>0</v>
      </c>
      <c r="T65" s="15">
        <v>0</v>
      </c>
      <c r="U65" s="15">
        <v>0</v>
      </c>
      <c r="V65" s="15">
        <v>0</v>
      </c>
      <c r="W65" s="15">
        <v>0</v>
      </c>
      <c r="X65" s="15">
        <v>0</v>
      </c>
      <c r="Y65" s="15">
        <v>0</v>
      </c>
      <c r="Z65" s="15">
        <v>0</v>
      </c>
      <c r="AA65" s="15">
        <v>1</v>
      </c>
      <c r="AB65" s="15">
        <v>1</v>
      </c>
      <c r="AC65" s="15">
        <v>0</v>
      </c>
      <c r="AD65" s="15">
        <v>2</v>
      </c>
      <c r="AE65" s="15">
        <v>1</v>
      </c>
      <c r="AF65" s="15">
        <v>1</v>
      </c>
      <c r="AG65" s="15">
        <v>2</v>
      </c>
      <c r="AH65" s="15">
        <v>2</v>
      </c>
      <c r="AI65" s="15">
        <v>0</v>
      </c>
      <c r="AJ65" s="15">
        <v>2</v>
      </c>
      <c r="AK65" s="15">
        <v>1</v>
      </c>
      <c r="AL65" s="15">
        <v>2</v>
      </c>
      <c r="AM65" s="15">
        <v>5</v>
      </c>
      <c r="AN65" s="15">
        <v>2</v>
      </c>
      <c r="AO65" s="15">
        <v>6</v>
      </c>
      <c r="AP65" s="15">
        <v>3</v>
      </c>
      <c r="AQ65" s="15">
        <v>3</v>
      </c>
      <c r="AR65" s="15">
        <v>7</v>
      </c>
      <c r="AS65" s="15">
        <v>7</v>
      </c>
      <c r="AT65" s="15">
        <v>3</v>
      </c>
      <c r="AU65" s="15">
        <v>2</v>
      </c>
      <c r="AV65" s="15">
        <v>6</v>
      </c>
      <c r="AW65" s="15">
        <v>2</v>
      </c>
      <c r="AX65" s="15">
        <v>7</v>
      </c>
      <c r="AY65" s="15">
        <v>2</v>
      </c>
      <c r="AZ65" s="15">
        <v>4</v>
      </c>
      <c r="BA65" s="15">
        <v>1</v>
      </c>
      <c r="BB65" s="15">
        <v>0</v>
      </c>
      <c r="BC65" s="15">
        <v>0</v>
      </c>
      <c r="BD65" s="15">
        <v>0</v>
      </c>
    </row>
    <row r="66" spans="1:56" x14ac:dyDescent="0.35">
      <c r="A66" s="14" t="s">
        <v>160</v>
      </c>
      <c r="B66" s="15">
        <v>29</v>
      </c>
      <c r="C66" s="16">
        <v>57.757418840868347</v>
      </c>
      <c r="D66" s="15">
        <v>0</v>
      </c>
      <c r="E66" s="15">
        <v>0</v>
      </c>
      <c r="F66" s="15">
        <v>1</v>
      </c>
      <c r="G66" s="15">
        <v>0</v>
      </c>
      <c r="H66" s="15">
        <v>0</v>
      </c>
      <c r="I66" s="15">
        <v>0</v>
      </c>
      <c r="J66" s="15">
        <v>0</v>
      </c>
      <c r="K66" s="15">
        <v>0</v>
      </c>
      <c r="L66" s="15">
        <v>0</v>
      </c>
      <c r="M66" s="15">
        <v>0</v>
      </c>
      <c r="N66" s="15">
        <v>0</v>
      </c>
      <c r="O66" s="15">
        <v>0</v>
      </c>
      <c r="P66" s="15">
        <v>0</v>
      </c>
      <c r="Q66" s="15">
        <v>0</v>
      </c>
      <c r="R66" s="15">
        <v>0</v>
      </c>
      <c r="S66" s="15">
        <v>0</v>
      </c>
      <c r="T66" s="15">
        <v>0</v>
      </c>
      <c r="U66" s="15">
        <v>0</v>
      </c>
      <c r="V66" s="15">
        <v>0</v>
      </c>
      <c r="W66" s="15">
        <v>0</v>
      </c>
      <c r="X66" s="15">
        <v>1</v>
      </c>
      <c r="Y66" s="15">
        <v>0</v>
      </c>
      <c r="Z66" s="15">
        <v>0</v>
      </c>
      <c r="AA66" s="15">
        <v>0</v>
      </c>
      <c r="AB66" s="15">
        <v>0</v>
      </c>
      <c r="AC66" s="15">
        <v>0</v>
      </c>
      <c r="AD66" s="15">
        <v>1</v>
      </c>
      <c r="AE66" s="15">
        <v>0</v>
      </c>
      <c r="AF66" s="15">
        <v>1</v>
      </c>
      <c r="AG66" s="15">
        <v>1</v>
      </c>
      <c r="AH66" s="15">
        <v>0</v>
      </c>
      <c r="AI66" s="15">
        <v>0</v>
      </c>
      <c r="AJ66" s="15">
        <v>2</v>
      </c>
      <c r="AK66" s="15">
        <v>3</v>
      </c>
      <c r="AL66" s="15">
        <v>0</v>
      </c>
      <c r="AM66" s="15">
        <v>0</v>
      </c>
      <c r="AN66" s="15">
        <v>0</v>
      </c>
      <c r="AO66" s="15">
        <v>1</v>
      </c>
      <c r="AP66" s="15">
        <v>3</v>
      </c>
      <c r="AQ66" s="15">
        <v>0</v>
      </c>
      <c r="AR66" s="15">
        <v>1</v>
      </c>
      <c r="AS66" s="15">
        <v>1</v>
      </c>
      <c r="AT66" s="15">
        <v>1</v>
      </c>
      <c r="AU66" s="15">
        <v>3</v>
      </c>
      <c r="AV66" s="15">
        <v>2</v>
      </c>
      <c r="AW66" s="15">
        <v>3</v>
      </c>
      <c r="AX66" s="15">
        <v>1</v>
      </c>
      <c r="AY66" s="15">
        <v>3</v>
      </c>
      <c r="AZ66" s="15">
        <v>0</v>
      </c>
      <c r="BA66" s="15">
        <v>0</v>
      </c>
      <c r="BB66" s="15">
        <v>0</v>
      </c>
      <c r="BC66" s="15">
        <v>0</v>
      </c>
      <c r="BD66" s="15">
        <v>0</v>
      </c>
    </row>
    <row r="67" spans="1:56" x14ac:dyDescent="0.35">
      <c r="A67" s="14" t="s">
        <v>161</v>
      </c>
      <c r="B67" s="15">
        <v>41</v>
      </c>
      <c r="C67" s="16">
        <v>92.31323456567749</v>
      </c>
      <c r="D67" s="15">
        <v>0</v>
      </c>
      <c r="E67" s="15">
        <v>0</v>
      </c>
      <c r="F67" s="15">
        <v>0</v>
      </c>
      <c r="G67" s="15">
        <v>0</v>
      </c>
      <c r="H67" s="15">
        <v>0</v>
      </c>
      <c r="I67" s="15">
        <v>0</v>
      </c>
      <c r="J67" s="15">
        <v>0</v>
      </c>
      <c r="K67" s="15">
        <v>0</v>
      </c>
      <c r="L67" s="15">
        <v>0</v>
      </c>
      <c r="M67" s="15">
        <v>0</v>
      </c>
      <c r="N67" s="15">
        <v>0</v>
      </c>
      <c r="O67" s="15">
        <v>0</v>
      </c>
      <c r="P67" s="15">
        <v>0</v>
      </c>
      <c r="Q67" s="15">
        <v>0</v>
      </c>
      <c r="R67" s="15">
        <v>0</v>
      </c>
      <c r="S67" s="15">
        <v>0</v>
      </c>
      <c r="T67" s="15">
        <v>0</v>
      </c>
      <c r="U67" s="15">
        <v>0</v>
      </c>
      <c r="V67" s="15">
        <v>0</v>
      </c>
      <c r="W67" s="15">
        <v>0</v>
      </c>
      <c r="X67" s="15">
        <v>0</v>
      </c>
      <c r="Y67" s="15">
        <v>0</v>
      </c>
      <c r="Z67" s="15">
        <v>0</v>
      </c>
      <c r="AA67" s="15">
        <v>0</v>
      </c>
      <c r="AB67" s="15">
        <v>1</v>
      </c>
      <c r="AC67" s="15">
        <v>0</v>
      </c>
      <c r="AD67" s="15">
        <v>0</v>
      </c>
      <c r="AE67" s="15">
        <v>0</v>
      </c>
      <c r="AF67" s="15">
        <v>1</v>
      </c>
      <c r="AG67" s="15">
        <v>0</v>
      </c>
      <c r="AH67" s="15">
        <v>1</v>
      </c>
      <c r="AI67" s="15">
        <v>0</v>
      </c>
      <c r="AJ67" s="15">
        <v>0</v>
      </c>
      <c r="AK67" s="15">
        <v>1</v>
      </c>
      <c r="AL67" s="15">
        <v>1</v>
      </c>
      <c r="AM67" s="15">
        <v>2</v>
      </c>
      <c r="AN67" s="15">
        <v>4</v>
      </c>
      <c r="AO67" s="15">
        <v>1</v>
      </c>
      <c r="AP67" s="15">
        <v>1</v>
      </c>
      <c r="AQ67" s="15">
        <v>3</v>
      </c>
      <c r="AR67" s="15">
        <v>8</v>
      </c>
      <c r="AS67" s="15">
        <v>3</v>
      </c>
      <c r="AT67" s="15">
        <v>0</v>
      </c>
      <c r="AU67" s="15">
        <v>2</v>
      </c>
      <c r="AV67" s="15">
        <v>4</v>
      </c>
      <c r="AW67" s="15">
        <v>4</v>
      </c>
      <c r="AX67" s="15">
        <v>2</v>
      </c>
      <c r="AY67" s="15">
        <v>2</v>
      </c>
      <c r="AZ67" s="15">
        <v>0</v>
      </c>
      <c r="BA67" s="15">
        <v>0</v>
      </c>
      <c r="BB67" s="15">
        <v>0</v>
      </c>
      <c r="BC67" s="15">
        <v>0</v>
      </c>
      <c r="BD67" s="15">
        <v>0</v>
      </c>
    </row>
    <row r="68" spans="1:56" x14ac:dyDescent="0.35">
      <c r="A68" s="14" t="s">
        <v>162</v>
      </c>
      <c r="B68" s="15">
        <v>38</v>
      </c>
      <c r="C68" s="16">
        <v>66.476567010128932</v>
      </c>
      <c r="D68" s="15">
        <v>0</v>
      </c>
      <c r="E68" s="15">
        <v>0</v>
      </c>
      <c r="F68" s="15">
        <v>0</v>
      </c>
      <c r="G68" s="15">
        <v>0</v>
      </c>
      <c r="H68" s="15">
        <v>0</v>
      </c>
      <c r="I68" s="15">
        <v>0</v>
      </c>
      <c r="J68" s="15">
        <v>0</v>
      </c>
      <c r="K68" s="15">
        <v>0</v>
      </c>
      <c r="L68" s="15">
        <v>0</v>
      </c>
      <c r="M68" s="15">
        <v>0</v>
      </c>
      <c r="N68" s="15">
        <v>0</v>
      </c>
      <c r="O68" s="15">
        <v>0</v>
      </c>
      <c r="P68" s="15">
        <v>0</v>
      </c>
      <c r="Q68" s="15">
        <v>1</v>
      </c>
      <c r="R68" s="15">
        <v>0</v>
      </c>
      <c r="S68" s="15">
        <v>0</v>
      </c>
      <c r="T68" s="15">
        <v>0</v>
      </c>
      <c r="U68" s="15">
        <v>0</v>
      </c>
      <c r="V68" s="15">
        <v>0</v>
      </c>
      <c r="W68" s="15">
        <v>0</v>
      </c>
      <c r="X68" s="15">
        <v>0</v>
      </c>
      <c r="Y68" s="15">
        <v>0</v>
      </c>
      <c r="Z68" s="15">
        <v>0</v>
      </c>
      <c r="AA68" s="15">
        <v>0</v>
      </c>
      <c r="AB68" s="15">
        <v>0</v>
      </c>
      <c r="AC68" s="15">
        <v>2</v>
      </c>
      <c r="AD68" s="15">
        <v>0</v>
      </c>
      <c r="AE68" s="15">
        <v>0</v>
      </c>
      <c r="AF68" s="15">
        <v>0</v>
      </c>
      <c r="AG68" s="15">
        <v>2</v>
      </c>
      <c r="AH68" s="15">
        <v>2</v>
      </c>
      <c r="AI68" s="15">
        <v>1</v>
      </c>
      <c r="AJ68" s="15">
        <v>1</v>
      </c>
      <c r="AK68" s="15">
        <v>1</v>
      </c>
      <c r="AL68" s="15">
        <v>2</v>
      </c>
      <c r="AM68" s="15">
        <v>1</v>
      </c>
      <c r="AN68" s="15">
        <v>0</v>
      </c>
      <c r="AO68" s="15">
        <v>4</v>
      </c>
      <c r="AP68" s="15">
        <v>1</v>
      </c>
      <c r="AQ68" s="15">
        <v>4</v>
      </c>
      <c r="AR68" s="15">
        <v>1</v>
      </c>
      <c r="AS68" s="15">
        <v>0</v>
      </c>
      <c r="AT68" s="15">
        <v>0</v>
      </c>
      <c r="AU68" s="15">
        <v>3</v>
      </c>
      <c r="AV68" s="15">
        <v>4</v>
      </c>
      <c r="AW68" s="15">
        <v>1</v>
      </c>
      <c r="AX68" s="15">
        <v>1</v>
      </c>
      <c r="AY68" s="15">
        <v>1</v>
      </c>
      <c r="AZ68" s="15">
        <v>3</v>
      </c>
      <c r="BA68" s="15">
        <v>2</v>
      </c>
      <c r="BB68" s="15">
        <v>0</v>
      </c>
      <c r="BC68" s="15">
        <v>0</v>
      </c>
      <c r="BD68" s="15">
        <v>0</v>
      </c>
    </row>
    <row r="69" spans="1:56" x14ac:dyDescent="0.35">
      <c r="A69" s="14" t="s">
        <v>163</v>
      </c>
      <c r="B69" s="15">
        <v>8</v>
      </c>
      <c r="C69" s="16">
        <v>33.531729398943753</v>
      </c>
      <c r="D69" s="15">
        <v>0</v>
      </c>
      <c r="E69" s="15">
        <v>1</v>
      </c>
      <c r="F69" s="15">
        <v>0</v>
      </c>
      <c r="G69" s="15">
        <v>0</v>
      </c>
      <c r="H69" s="15">
        <v>0</v>
      </c>
      <c r="I69" s="15">
        <v>0</v>
      </c>
      <c r="J69" s="15">
        <v>0</v>
      </c>
      <c r="K69" s="15">
        <v>0</v>
      </c>
      <c r="L69" s="15">
        <v>0</v>
      </c>
      <c r="M69" s="15">
        <v>0</v>
      </c>
      <c r="N69" s="15">
        <v>0</v>
      </c>
      <c r="O69" s="15">
        <v>0</v>
      </c>
      <c r="P69" s="15">
        <v>0</v>
      </c>
      <c r="Q69" s="15">
        <v>0</v>
      </c>
      <c r="R69" s="15">
        <v>0</v>
      </c>
      <c r="S69" s="15">
        <v>0</v>
      </c>
      <c r="T69" s="15">
        <v>0</v>
      </c>
      <c r="U69" s="15">
        <v>0</v>
      </c>
      <c r="V69" s="15">
        <v>0</v>
      </c>
      <c r="W69" s="15">
        <v>0</v>
      </c>
      <c r="X69" s="15">
        <v>0</v>
      </c>
      <c r="Y69" s="15">
        <v>0</v>
      </c>
      <c r="Z69" s="15">
        <v>0</v>
      </c>
      <c r="AA69" s="15">
        <v>0</v>
      </c>
      <c r="AB69" s="15">
        <v>0</v>
      </c>
      <c r="AC69" s="15">
        <v>1</v>
      </c>
      <c r="AD69" s="15">
        <v>0</v>
      </c>
      <c r="AE69" s="15">
        <v>0</v>
      </c>
      <c r="AF69" s="15">
        <v>1</v>
      </c>
      <c r="AG69" s="15">
        <v>1</v>
      </c>
      <c r="AH69" s="15">
        <v>1</v>
      </c>
      <c r="AI69" s="15">
        <v>1</v>
      </c>
      <c r="AJ69" s="15">
        <v>0</v>
      </c>
      <c r="AK69" s="15">
        <v>0</v>
      </c>
      <c r="AL69" s="15">
        <v>0</v>
      </c>
      <c r="AM69" s="15">
        <v>1</v>
      </c>
      <c r="AN69" s="15">
        <v>0</v>
      </c>
      <c r="AO69" s="15">
        <v>0</v>
      </c>
      <c r="AP69" s="15">
        <v>0</v>
      </c>
      <c r="AQ69" s="15">
        <v>0</v>
      </c>
      <c r="AR69" s="15">
        <v>0</v>
      </c>
      <c r="AS69" s="15">
        <v>0</v>
      </c>
      <c r="AT69" s="15">
        <v>0</v>
      </c>
      <c r="AU69" s="15">
        <v>0</v>
      </c>
      <c r="AV69" s="15">
        <v>1</v>
      </c>
      <c r="AW69" s="15">
        <v>0</v>
      </c>
      <c r="AX69" s="15">
        <v>0</v>
      </c>
      <c r="AY69" s="15">
        <v>0</v>
      </c>
      <c r="AZ69" s="15">
        <v>0</v>
      </c>
      <c r="BA69" s="15">
        <v>0</v>
      </c>
      <c r="BB69" s="15">
        <v>0</v>
      </c>
      <c r="BC69" s="15">
        <v>0</v>
      </c>
      <c r="BD69" s="15">
        <v>0</v>
      </c>
    </row>
    <row r="70" spans="1:56" x14ac:dyDescent="0.35">
      <c r="A70" s="14" t="s">
        <v>164</v>
      </c>
      <c r="B70" s="15">
        <v>103</v>
      </c>
      <c r="C70" s="16">
        <v>381.02989050014799</v>
      </c>
      <c r="D70" s="15">
        <v>0</v>
      </c>
      <c r="E70" s="15">
        <v>0</v>
      </c>
      <c r="F70" s="15">
        <v>0</v>
      </c>
      <c r="G70" s="15">
        <v>0</v>
      </c>
      <c r="H70" s="15">
        <v>0</v>
      </c>
      <c r="I70" s="15">
        <v>0</v>
      </c>
      <c r="J70" s="15">
        <v>0</v>
      </c>
      <c r="K70" s="15">
        <v>0</v>
      </c>
      <c r="L70" s="15">
        <v>0</v>
      </c>
      <c r="M70" s="15">
        <v>0</v>
      </c>
      <c r="N70" s="15">
        <v>0</v>
      </c>
      <c r="O70" s="15">
        <v>0</v>
      </c>
      <c r="P70" s="15">
        <v>0</v>
      </c>
      <c r="Q70" s="15">
        <v>0</v>
      </c>
      <c r="R70" s="15">
        <v>0</v>
      </c>
      <c r="S70" s="15">
        <v>0</v>
      </c>
      <c r="T70" s="15">
        <v>0</v>
      </c>
      <c r="U70" s="15">
        <v>0</v>
      </c>
      <c r="V70" s="15">
        <v>0</v>
      </c>
      <c r="W70" s="15">
        <v>0</v>
      </c>
      <c r="X70" s="15">
        <v>1</v>
      </c>
      <c r="Y70" s="15">
        <v>0</v>
      </c>
      <c r="Z70" s="15">
        <v>0</v>
      </c>
      <c r="AA70" s="15">
        <v>0</v>
      </c>
      <c r="AB70" s="15">
        <v>0</v>
      </c>
      <c r="AC70" s="15">
        <v>0</v>
      </c>
      <c r="AD70" s="15">
        <v>0</v>
      </c>
      <c r="AE70" s="15">
        <v>0</v>
      </c>
      <c r="AF70" s="15">
        <v>0</v>
      </c>
      <c r="AG70" s="15">
        <v>0</v>
      </c>
      <c r="AH70" s="15">
        <v>0</v>
      </c>
      <c r="AI70" s="15">
        <v>1</v>
      </c>
      <c r="AJ70" s="15">
        <v>1</v>
      </c>
      <c r="AK70" s="15">
        <v>1</v>
      </c>
      <c r="AL70" s="15">
        <v>1</v>
      </c>
      <c r="AM70" s="15">
        <v>0</v>
      </c>
      <c r="AN70" s="15">
        <v>3</v>
      </c>
      <c r="AO70" s="15">
        <v>10</v>
      </c>
      <c r="AP70" s="15">
        <v>2</v>
      </c>
      <c r="AQ70" s="15">
        <v>5</v>
      </c>
      <c r="AR70" s="15">
        <v>6</v>
      </c>
      <c r="AS70" s="15">
        <v>15</v>
      </c>
      <c r="AT70" s="15">
        <v>6</v>
      </c>
      <c r="AU70" s="15">
        <v>8</v>
      </c>
      <c r="AV70" s="15">
        <v>9</v>
      </c>
      <c r="AW70" s="15">
        <v>11</v>
      </c>
      <c r="AX70" s="15">
        <v>5</v>
      </c>
      <c r="AY70" s="15">
        <v>9</v>
      </c>
      <c r="AZ70" s="15">
        <v>3</v>
      </c>
      <c r="BA70" s="15">
        <v>5</v>
      </c>
      <c r="BB70" s="15">
        <v>1</v>
      </c>
      <c r="BC70" s="15">
        <v>0</v>
      </c>
      <c r="BD70" s="15">
        <v>0</v>
      </c>
    </row>
    <row r="71" spans="1:56" x14ac:dyDescent="0.35">
      <c r="A71" s="14" t="s">
        <v>165</v>
      </c>
      <c r="B71" s="15">
        <v>108</v>
      </c>
      <c r="C71" s="16">
        <v>420.97057103878393</v>
      </c>
      <c r="D71" s="15">
        <v>0</v>
      </c>
      <c r="E71" s="15">
        <v>0</v>
      </c>
      <c r="F71" s="15">
        <v>0</v>
      </c>
      <c r="G71" s="15">
        <v>0</v>
      </c>
      <c r="H71" s="15">
        <v>0</v>
      </c>
      <c r="I71" s="15">
        <v>0</v>
      </c>
      <c r="J71" s="15">
        <v>0</v>
      </c>
      <c r="K71" s="15">
        <v>0</v>
      </c>
      <c r="L71" s="15">
        <v>0</v>
      </c>
      <c r="M71" s="15">
        <v>0</v>
      </c>
      <c r="N71" s="15">
        <v>0</v>
      </c>
      <c r="O71" s="15">
        <v>0</v>
      </c>
      <c r="P71" s="15">
        <v>0</v>
      </c>
      <c r="Q71" s="15">
        <v>0</v>
      </c>
      <c r="R71" s="15">
        <v>0</v>
      </c>
      <c r="S71" s="15">
        <v>1</v>
      </c>
      <c r="T71" s="15">
        <v>1</v>
      </c>
      <c r="U71" s="15">
        <v>0</v>
      </c>
      <c r="V71" s="15">
        <v>1</v>
      </c>
      <c r="W71" s="15">
        <v>0</v>
      </c>
      <c r="X71" s="15">
        <v>0</v>
      </c>
      <c r="Y71" s="15">
        <v>0</v>
      </c>
      <c r="Z71" s="15">
        <v>0</v>
      </c>
      <c r="AA71" s="15">
        <v>0</v>
      </c>
      <c r="AB71" s="15">
        <v>0</v>
      </c>
      <c r="AC71" s="15">
        <v>0</v>
      </c>
      <c r="AD71" s="15">
        <v>0</v>
      </c>
      <c r="AE71" s="15">
        <v>0</v>
      </c>
      <c r="AF71" s="15">
        <v>3</v>
      </c>
      <c r="AG71" s="15">
        <v>0</v>
      </c>
      <c r="AH71" s="15">
        <v>0</v>
      </c>
      <c r="AI71" s="15">
        <v>0</v>
      </c>
      <c r="AJ71" s="15">
        <v>1</v>
      </c>
      <c r="AK71" s="15">
        <v>0</v>
      </c>
      <c r="AL71" s="15">
        <v>1</v>
      </c>
      <c r="AM71" s="15">
        <v>6</v>
      </c>
      <c r="AN71" s="15">
        <v>0</v>
      </c>
      <c r="AO71" s="15">
        <v>7</v>
      </c>
      <c r="AP71" s="15">
        <v>5</v>
      </c>
      <c r="AQ71" s="15">
        <v>2</v>
      </c>
      <c r="AR71" s="15">
        <v>4</v>
      </c>
      <c r="AS71" s="15">
        <v>4</v>
      </c>
      <c r="AT71" s="15">
        <v>9</v>
      </c>
      <c r="AU71" s="15">
        <v>10</v>
      </c>
      <c r="AV71" s="15">
        <v>9</v>
      </c>
      <c r="AW71" s="15">
        <v>8</v>
      </c>
      <c r="AX71" s="15">
        <v>5</v>
      </c>
      <c r="AY71" s="15">
        <v>18</v>
      </c>
      <c r="AZ71" s="15">
        <v>4</v>
      </c>
      <c r="BA71" s="15">
        <v>9</v>
      </c>
      <c r="BB71" s="15">
        <v>0</v>
      </c>
      <c r="BC71" s="15">
        <v>0</v>
      </c>
      <c r="BD71" s="15">
        <v>0</v>
      </c>
    </row>
    <row r="72" spans="1:56" x14ac:dyDescent="0.35">
      <c r="A72" s="14" t="s">
        <v>166</v>
      </c>
      <c r="B72" s="15">
        <v>32</v>
      </c>
      <c r="C72" s="16">
        <v>101.07710287753878</v>
      </c>
      <c r="D72" s="15">
        <v>1</v>
      </c>
      <c r="E72" s="15">
        <v>0</v>
      </c>
      <c r="F72" s="15">
        <v>0</v>
      </c>
      <c r="G72" s="15">
        <v>0</v>
      </c>
      <c r="H72" s="15">
        <v>0</v>
      </c>
      <c r="I72" s="15">
        <v>0</v>
      </c>
      <c r="J72" s="15">
        <v>0</v>
      </c>
      <c r="K72" s="15">
        <v>0</v>
      </c>
      <c r="L72" s="15">
        <v>0</v>
      </c>
      <c r="M72" s="15">
        <v>0</v>
      </c>
      <c r="N72" s="15">
        <v>0</v>
      </c>
      <c r="O72" s="15">
        <v>0</v>
      </c>
      <c r="P72" s="15">
        <v>0</v>
      </c>
      <c r="Q72" s="15">
        <v>0</v>
      </c>
      <c r="R72" s="15">
        <v>0</v>
      </c>
      <c r="S72" s="15">
        <v>0</v>
      </c>
      <c r="T72" s="15">
        <v>0</v>
      </c>
      <c r="U72" s="15">
        <v>1</v>
      </c>
      <c r="V72" s="15">
        <v>0</v>
      </c>
      <c r="W72" s="15">
        <v>0</v>
      </c>
      <c r="X72" s="15">
        <v>1</v>
      </c>
      <c r="Y72" s="15">
        <v>0</v>
      </c>
      <c r="Z72" s="15">
        <v>0</v>
      </c>
      <c r="AA72" s="15">
        <v>1</v>
      </c>
      <c r="AB72" s="15">
        <v>0</v>
      </c>
      <c r="AC72" s="15">
        <v>0</v>
      </c>
      <c r="AD72" s="15">
        <v>0</v>
      </c>
      <c r="AE72" s="15">
        <v>0</v>
      </c>
      <c r="AF72" s="15">
        <v>0</v>
      </c>
      <c r="AG72" s="15">
        <v>0</v>
      </c>
      <c r="AH72" s="15">
        <v>1</v>
      </c>
      <c r="AI72" s="15">
        <v>0</v>
      </c>
      <c r="AJ72" s="15">
        <v>0</v>
      </c>
      <c r="AK72" s="15">
        <v>1</v>
      </c>
      <c r="AL72" s="15">
        <v>3</v>
      </c>
      <c r="AM72" s="15">
        <v>2</v>
      </c>
      <c r="AN72" s="15">
        <v>0</v>
      </c>
      <c r="AO72" s="15">
        <v>0</v>
      </c>
      <c r="AP72" s="15">
        <v>0</v>
      </c>
      <c r="AQ72" s="15">
        <v>2</v>
      </c>
      <c r="AR72" s="15">
        <v>2</v>
      </c>
      <c r="AS72" s="15">
        <v>2</v>
      </c>
      <c r="AT72" s="15">
        <v>2</v>
      </c>
      <c r="AU72" s="15">
        <v>3</v>
      </c>
      <c r="AV72" s="15">
        <v>3</v>
      </c>
      <c r="AW72" s="15">
        <v>3</v>
      </c>
      <c r="AX72" s="15">
        <v>2</v>
      </c>
      <c r="AY72" s="15">
        <v>2</v>
      </c>
      <c r="AZ72" s="15">
        <v>0</v>
      </c>
      <c r="BA72" s="15">
        <v>0</v>
      </c>
      <c r="BB72" s="15">
        <v>0</v>
      </c>
      <c r="BC72" s="15">
        <v>0</v>
      </c>
      <c r="BD72" s="15">
        <v>0</v>
      </c>
    </row>
    <row r="73" spans="1:56" x14ac:dyDescent="0.35">
      <c r="A73" s="14" t="s">
        <v>167</v>
      </c>
      <c r="B73" s="15">
        <v>1680</v>
      </c>
      <c r="C73" s="16">
        <v>1865.9202985472477</v>
      </c>
      <c r="D73" s="15">
        <v>4</v>
      </c>
      <c r="E73" s="15">
        <v>8</v>
      </c>
      <c r="F73" s="15">
        <v>6</v>
      </c>
      <c r="G73" s="15">
        <v>0</v>
      </c>
      <c r="H73" s="15">
        <v>7</v>
      </c>
      <c r="I73" s="15">
        <v>2</v>
      </c>
      <c r="J73" s="15">
        <v>7</v>
      </c>
      <c r="K73" s="15">
        <v>1</v>
      </c>
      <c r="L73" s="15">
        <v>2</v>
      </c>
      <c r="M73" s="15">
        <v>3</v>
      </c>
      <c r="N73" s="15">
        <v>6</v>
      </c>
      <c r="O73" s="15">
        <v>8</v>
      </c>
      <c r="P73" s="15">
        <v>5</v>
      </c>
      <c r="Q73" s="15">
        <v>8</v>
      </c>
      <c r="R73" s="15">
        <v>6</v>
      </c>
      <c r="S73" s="15">
        <v>18</v>
      </c>
      <c r="T73" s="15">
        <v>16</v>
      </c>
      <c r="U73" s="15">
        <v>22</v>
      </c>
      <c r="V73" s="15">
        <v>24</v>
      </c>
      <c r="W73" s="15">
        <v>19</v>
      </c>
      <c r="X73" s="15">
        <v>19</v>
      </c>
      <c r="Y73" s="15">
        <v>23</v>
      </c>
      <c r="Z73" s="15">
        <v>20</v>
      </c>
      <c r="AA73" s="15">
        <v>27</v>
      </c>
      <c r="AB73" s="15">
        <v>39</v>
      </c>
      <c r="AC73" s="15">
        <v>40</v>
      </c>
      <c r="AD73" s="15">
        <v>41</v>
      </c>
      <c r="AE73" s="15">
        <v>42</v>
      </c>
      <c r="AF73" s="15">
        <v>56</v>
      </c>
      <c r="AG73" s="15">
        <v>38</v>
      </c>
      <c r="AH73" s="15">
        <v>73</v>
      </c>
      <c r="AI73" s="15">
        <v>89</v>
      </c>
      <c r="AJ73" s="15">
        <v>64</v>
      </c>
      <c r="AK73" s="15">
        <v>77</v>
      </c>
      <c r="AL73" s="15">
        <v>56</v>
      </c>
      <c r="AM73" s="15">
        <v>71</v>
      </c>
      <c r="AN73" s="15">
        <v>60</v>
      </c>
      <c r="AO73" s="15">
        <v>59</v>
      </c>
      <c r="AP73" s="15">
        <v>67</v>
      </c>
      <c r="AQ73" s="15">
        <v>85</v>
      </c>
      <c r="AR73" s="15">
        <v>62</v>
      </c>
      <c r="AS73" s="15">
        <v>50</v>
      </c>
      <c r="AT73" s="15">
        <v>59</v>
      </c>
      <c r="AU73" s="15">
        <v>56</v>
      </c>
      <c r="AV73" s="15">
        <v>58</v>
      </c>
      <c r="AW73" s="15">
        <v>42</v>
      </c>
      <c r="AX73" s="15">
        <v>31</v>
      </c>
      <c r="AY73" s="15">
        <v>37</v>
      </c>
      <c r="AZ73" s="15">
        <v>33</v>
      </c>
      <c r="BA73" s="15">
        <v>26</v>
      </c>
      <c r="BB73" s="15">
        <v>8</v>
      </c>
      <c r="BC73" s="15">
        <v>0</v>
      </c>
      <c r="BD73" s="15">
        <v>0</v>
      </c>
    </row>
    <row r="74" spans="1:56" x14ac:dyDescent="0.35">
      <c r="A74" s="14"/>
      <c r="B74" s="12"/>
      <c r="C74" s="13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</row>
    <row r="75" spans="1:56" x14ac:dyDescent="0.35">
      <c r="A75" s="1" t="s">
        <v>168</v>
      </c>
      <c r="B75" s="10">
        <v>6048</v>
      </c>
      <c r="C75" s="11">
        <v>1474.9240955481582</v>
      </c>
      <c r="D75" s="10">
        <v>3</v>
      </c>
      <c r="E75" s="10">
        <v>4</v>
      </c>
      <c r="F75" s="10">
        <v>2</v>
      </c>
      <c r="G75" s="10">
        <v>1</v>
      </c>
      <c r="H75" s="10">
        <v>0</v>
      </c>
      <c r="I75" s="10">
        <v>3</v>
      </c>
      <c r="J75" s="10">
        <v>2</v>
      </c>
      <c r="K75" s="10">
        <v>7</v>
      </c>
      <c r="L75" s="10">
        <v>0</v>
      </c>
      <c r="M75" s="10">
        <v>4</v>
      </c>
      <c r="N75" s="10">
        <v>2</v>
      </c>
      <c r="O75" s="10">
        <v>1</v>
      </c>
      <c r="P75" s="10">
        <v>0</v>
      </c>
      <c r="Q75" s="10">
        <v>2</v>
      </c>
      <c r="R75" s="10">
        <v>3</v>
      </c>
      <c r="S75" s="10">
        <v>0</v>
      </c>
      <c r="T75" s="10">
        <v>2</v>
      </c>
      <c r="U75" s="10">
        <v>1</v>
      </c>
      <c r="V75" s="10">
        <v>4</v>
      </c>
      <c r="W75" s="10">
        <v>3</v>
      </c>
      <c r="X75" s="10">
        <v>1</v>
      </c>
      <c r="Y75" s="10">
        <v>3</v>
      </c>
      <c r="Z75" s="10">
        <v>4</v>
      </c>
      <c r="AA75" s="10">
        <v>11</v>
      </c>
      <c r="AB75" s="10">
        <v>5</v>
      </c>
      <c r="AC75" s="10">
        <v>7</v>
      </c>
      <c r="AD75" s="10">
        <v>11</v>
      </c>
      <c r="AE75" s="10">
        <v>29</v>
      </c>
      <c r="AF75" s="10">
        <v>34</v>
      </c>
      <c r="AG75" s="10">
        <v>38</v>
      </c>
      <c r="AH75" s="10">
        <v>58</v>
      </c>
      <c r="AI75" s="10">
        <v>74</v>
      </c>
      <c r="AJ75" s="10">
        <v>88</v>
      </c>
      <c r="AK75" s="10">
        <v>133</v>
      </c>
      <c r="AL75" s="10">
        <v>156</v>
      </c>
      <c r="AM75" s="10">
        <v>163</v>
      </c>
      <c r="AN75" s="10">
        <v>188</v>
      </c>
      <c r="AO75" s="10">
        <v>183</v>
      </c>
      <c r="AP75" s="10">
        <v>253</v>
      </c>
      <c r="AQ75" s="10">
        <v>351</v>
      </c>
      <c r="AR75" s="10">
        <v>330</v>
      </c>
      <c r="AS75" s="10">
        <v>376</v>
      </c>
      <c r="AT75" s="10">
        <v>374</v>
      </c>
      <c r="AU75" s="10">
        <v>399</v>
      </c>
      <c r="AV75" s="10">
        <v>449</v>
      </c>
      <c r="AW75" s="10">
        <v>494</v>
      </c>
      <c r="AX75" s="10">
        <v>400</v>
      </c>
      <c r="AY75" s="10">
        <v>441</v>
      </c>
      <c r="AZ75" s="10">
        <v>380</v>
      </c>
      <c r="BA75" s="10">
        <v>329</v>
      </c>
      <c r="BB75" s="10">
        <v>168</v>
      </c>
      <c r="BC75" s="10">
        <v>74</v>
      </c>
      <c r="BD75" s="10">
        <v>0</v>
      </c>
    </row>
    <row r="76" spans="1:56" x14ac:dyDescent="0.35">
      <c r="A76" s="14" t="s">
        <v>169</v>
      </c>
      <c r="B76" s="15">
        <v>743</v>
      </c>
      <c r="C76" s="16">
        <v>918.71305982145054</v>
      </c>
      <c r="D76" s="15">
        <v>0</v>
      </c>
      <c r="E76" s="15">
        <v>0</v>
      </c>
      <c r="F76" s="15">
        <v>0</v>
      </c>
      <c r="G76" s="15">
        <v>0</v>
      </c>
      <c r="H76" s="15">
        <v>0</v>
      </c>
      <c r="I76" s="15">
        <v>0</v>
      </c>
      <c r="J76" s="15">
        <v>1</v>
      </c>
      <c r="K76" s="15">
        <v>2</v>
      </c>
      <c r="L76" s="15">
        <v>0</v>
      </c>
      <c r="M76" s="15">
        <v>0</v>
      </c>
      <c r="N76" s="15">
        <v>0</v>
      </c>
      <c r="O76" s="15">
        <v>0</v>
      </c>
      <c r="P76" s="15">
        <v>0</v>
      </c>
      <c r="Q76" s="15">
        <v>0</v>
      </c>
      <c r="R76" s="15">
        <v>1</v>
      </c>
      <c r="S76" s="15">
        <v>0</v>
      </c>
      <c r="T76" s="15">
        <v>0</v>
      </c>
      <c r="U76" s="15">
        <v>0</v>
      </c>
      <c r="V76" s="15">
        <v>0</v>
      </c>
      <c r="W76" s="15">
        <v>0</v>
      </c>
      <c r="X76" s="15">
        <v>0</v>
      </c>
      <c r="Y76" s="15">
        <v>0</v>
      </c>
      <c r="Z76" s="15">
        <v>0</v>
      </c>
      <c r="AA76" s="15">
        <v>0</v>
      </c>
      <c r="AB76" s="15">
        <v>0</v>
      </c>
      <c r="AC76" s="15">
        <v>0</v>
      </c>
      <c r="AD76" s="15">
        <v>0</v>
      </c>
      <c r="AE76" s="15">
        <v>1</v>
      </c>
      <c r="AF76" s="15">
        <v>2</v>
      </c>
      <c r="AG76" s="15">
        <v>3</v>
      </c>
      <c r="AH76" s="15">
        <v>5</v>
      </c>
      <c r="AI76" s="15">
        <v>7</v>
      </c>
      <c r="AJ76" s="15">
        <v>4</v>
      </c>
      <c r="AK76" s="15">
        <v>4</v>
      </c>
      <c r="AL76" s="15">
        <v>1</v>
      </c>
      <c r="AM76" s="15">
        <v>2</v>
      </c>
      <c r="AN76" s="15">
        <v>6</v>
      </c>
      <c r="AO76" s="15">
        <v>11</v>
      </c>
      <c r="AP76" s="15">
        <v>15</v>
      </c>
      <c r="AQ76" s="15">
        <v>27</v>
      </c>
      <c r="AR76" s="15">
        <v>31</v>
      </c>
      <c r="AS76" s="15">
        <v>60</v>
      </c>
      <c r="AT76" s="15">
        <v>78</v>
      </c>
      <c r="AU76" s="15">
        <v>92</v>
      </c>
      <c r="AV76" s="15">
        <v>84</v>
      </c>
      <c r="AW76" s="15">
        <v>104</v>
      </c>
      <c r="AX76" s="15">
        <v>58</v>
      </c>
      <c r="AY76" s="15">
        <v>81</v>
      </c>
      <c r="AZ76" s="15">
        <v>41</v>
      </c>
      <c r="BA76" s="15">
        <v>22</v>
      </c>
      <c r="BB76" s="15">
        <v>0</v>
      </c>
      <c r="BC76" s="15">
        <v>0</v>
      </c>
      <c r="BD76" s="15">
        <v>0</v>
      </c>
    </row>
    <row r="77" spans="1:56" x14ac:dyDescent="0.35">
      <c r="A77" s="14" t="s">
        <v>170</v>
      </c>
      <c r="B77" s="15">
        <v>1309</v>
      </c>
      <c r="C77" s="16">
        <v>2252.3530120274622</v>
      </c>
      <c r="D77" s="15">
        <v>2</v>
      </c>
      <c r="E77" s="15">
        <v>0</v>
      </c>
      <c r="F77" s="15">
        <v>0</v>
      </c>
      <c r="G77" s="15">
        <v>0</v>
      </c>
      <c r="H77" s="15">
        <v>0</v>
      </c>
      <c r="I77" s="15">
        <v>1</v>
      </c>
      <c r="J77" s="15">
        <v>0</v>
      </c>
      <c r="K77" s="15">
        <v>2</v>
      </c>
      <c r="L77" s="15">
        <v>0</v>
      </c>
      <c r="M77" s="15">
        <v>4</v>
      </c>
      <c r="N77" s="15">
        <v>0</v>
      </c>
      <c r="O77" s="15">
        <v>0</v>
      </c>
      <c r="P77" s="15">
        <v>0</v>
      </c>
      <c r="Q77" s="15">
        <v>1</v>
      </c>
      <c r="R77" s="15">
        <v>1</v>
      </c>
      <c r="S77" s="15">
        <v>0</v>
      </c>
      <c r="T77" s="15">
        <v>1</v>
      </c>
      <c r="U77" s="15">
        <v>0</v>
      </c>
      <c r="V77" s="15">
        <v>4</v>
      </c>
      <c r="W77" s="15">
        <v>0</v>
      </c>
      <c r="X77" s="15">
        <v>0</v>
      </c>
      <c r="Y77" s="15">
        <v>1</v>
      </c>
      <c r="Z77" s="15">
        <v>1</v>
      </c>
      <c r="AA77" s="15">
        <v>6</v>
      </c>
      <c r="AB77" s="15">
        <v>1</v>
      </c>
      <c r="AC77" s="15">
        <v>4</v>
      </c>
      <c r="AD77" s="15">
        <v>5</v>
      </c>
      <c r="AE77" s="15">
        <v>22</v>
      </c>
      <c r="AF77" s="15">
        <v>15</v>
      </c>
      <c r="AG77" s="15">
        <v>18</v>
      </c>
      <c r="AH77" s="15">
        <v>27</v>
      </c>
      <c r="AI77" s="15">
        <v>48</v>
      </c>
      <c r="AJ77" s="15">
        <v>44</v>
      </c>
      <c r="AK77" s="15">
        <v>55</v>
      </c>
      <c r="AL77" s="15">
        <v>74</v>
      </c>
      <c r="AM77" s="15">
        <v>65</v>
      </c>
      <c r="AN77" s="15">
        <v>75</v>
      </c>
      <c r="AO77" s="15">
        <v>59</v>
      </c>
      <c r="AP77" s="15">
        <v>74</v>
      </c>
      <c r="AQ77" s="15">
        <v>83</v>
      </c>
      <c r="AR77" s="15">
        <v>71</v>
      </c>
      <c r="AS77" s="15">
        <v>61</v>
      </c>
      <c r="AT77" s="15">
        <v>57</v>
      </c>
      <c r="AU77" s="15">
        <v>43</v>
      </c>
      <c r="AV77" s="15">
        <v>46</v>
      </c>
      <c r="AW77" s="15">
        <v>72</v>
      </c>
      <c r="AX77" s="15">
        <v>70</v>
      </c>
      <c r="AY77" s="15">
        <v>54</v>
      </c>
      <c r="AZ77" s="15">
        <v>45</v>
      </c>
      <c r="BA77" s="15">
        <v>66</v>
      </c>
      <c r="BB77" s="15">
        <v>24</v>
      </c>
      <c r="BC77" s="15">
        <v>7</v>
      </c>
      <c r="BD77" s="15">
        <v>0</v>
      </c>
    </row>
    <row r="78" spans="1:56" x14ac:dyDescent="0.35">
      <c r="A78" s="14" t="s">
        <v>171</v>
      </c>
      <c r="B78" s="15">
        <v>718</v>
      </c>
      <c r="C78" s="16">
        <v>991.54836214991985</v>
      </c>
      <c r="D78" s="15">
        <v>1</v>
      </c>
      <c r="E78" s="15">
        <v>1</v>
      </c>
      <c r="F78" s="15">
        <v>0</v>
      </c>
      <c r="G78" s="15">
        <v>0</v>
      </c>
      <c r="H78" s="15">
        <v>0</v>
      </c>
      <c r="I78" s="15">
        <v>1</v>
      </c>
      <c r="J78" s="15">
        <v>1</v>
      </c>
      <c r="K78" s="15">
        <v>1</v>
      </c>
      <c r="L78" s="15">
        <v>0</v>
      </c>
      <c r="M78" s="15">
        <v>0</v>
      </c>
      <c r="N78" s="15">
        <v>0</v>
      </c>
      <c r="O78" s="15">
        <v>0</v>
      </c>
      <c r="P78" s="15">
        <v>0</v>
      </c>
      <c r="Q78" s="15">
        <v>0</v>
      </c>
      <c r="R78" s="15">
        <v>0</v>
      </c>
      <c r="S78" s="15">
        <v>0</v>
      </c>
      <c r="T78" s="15">
        <v>1</v>
      </c>
      <c r="U78" s="15">
        <v>0</v>
      </c>
      <c r="V78" s="15">
        <v>0</v>
      </c>
      <c r="W78" s="15">
        <v>0</v>
      </c>
      <c r="X78" s="15">
        <v>0</v>
      </c>
      <c r="Y78" s="15">
        <v>0</v>
      </c>
      <c r="Z78" s="15">
        <v>0</v>
      </c>
      <c r="AA78" s="15">
        <v>1</v>
      </c>
      <c r="AB78" s="15">
        <v>1</v>
      </c>
      <c r="AC78" s="15">
        <v>0</v>
      </c>
      <c r="AD78" s="15">
        <v>0</v>
      </c>
      <c r="AE78" s="15">
        <v>0</v>
      </c>
      <c r="AF78" s="15">
        <v>4</v>
      </c>
      <c r="AG78" s="15">
        <v>3</v>
      </c>
      <c r="AH78" s="15">
        <v>4</v>
      </c>
      <c r="AI78" s="15">
        <v>1</v>
      </c>
      <c r="AJ78" s="15">
        <v>5</v>
      </c>
      <c r="AK78" s="15">
        <v>9</v>
      </c>
      <c r="AL78" s="15">
        <v>12</v>
      </c>
      <c r="AM78" s="15">
        <v>9</v>
      </c>
      <c r="AN78" s="15">
        <v>13</v>
      </c>
      <c r="AO78" s="15">
        <v>15</v>
      </c>
      <c r="AP78" s="15">
        <v>27</v>
      </c>
      <c r="AQ78" s="15">
        <v>23</v>
      </c>
      <c r="AR78" s="15">
        <v>28</v>
      </c>
      <c r="AS78" s="15">
        <v>29</v>
      </c>
      <c r="AT78" s="15">
        <v>44</v>
      </c>
      <c r="AU78" s="15">
        <v>44</v>
      </c>
      <c r="AV78" s="15">
        <v>64</v>
      </c>
      <c r="AW78" s="15">
        <v>85</v>
      </c>
      <c r="AX78" s="15">
        <v>54</v>
      </c>
      <c r="AY78" s="15">
        <v>65</v>
      </c>
      <c r="AZ78" s="15">
        <v>67</v>
      </c>
      <c r="BA78" s="15">
        <v>49</v>
      </c>
      <c r="BB78" s="15">
        <v>39</v>
      </c>
      <c r="BC78" s="15">
        <v>17</v>
      </c>
      <c r="BD78" s="15">
        <v>0</v>
      </c>
    </row>
    <row r="79" spans="1:56" x14ac:dyDescent="0.35">
      <c r="A79" s="14" t="s">
        <v>172</v>
      </c>
      <c r="B79" s="15">
        <v>574</v>
      </c>
      <c r="C79" s="16">
        <v>2277.5066460342023</v>
      </c>
      <c r="D79" s="15">
        <v>0</v>
      </c>
      <c r="E79" s="15">
        <v>0</v>
      </c>
      <c r="F79" s="15">
        <v>1</v>
      </c>
      <c r="G79" s="15">
        <v>0</v>
      </c>
      <c r="H79" s="15">
        <v>0</v>
      </c>
      <c r="I79" s="15">
        <v>0</v>
      </c>
      <c r="J79" s="15">
        <v>0</v>
      </c>
      <c r="K79" s="15">
        <v>0</v>
      </c>
      <c r="L79" s="15">
        <v>0</v>
      </c>
      <c r="M79" s="15">
        <v>0</v>
      </c>
      <c r="N79" s="15">
        <v>0</v>
      </c>
      <c r="O79" s="15">
        <v>0</v>
      </c>
      <c r="P79" s="15">
        <v>0</v>
      </c>
      <c r="Q79" s="15">
        <v>0</v>
      </c>
      <c r="R79" s="15">
        <v>0</v>
      </c>
      <c r="S79" s="15">
        <v>0</v>
      </c>
      <c r="T79" s="15">
        <v>0</v>
      </c>
      <c r="U79" s="15">
        <v>0</v>
      </c>
      <c r="V79" s="15">
        <v>0</v>
      </c>
      <c r="W79" s="15">
        <v>0</v>
      </c>
      <c r="X79" s="15">
        <v>0</v>
      </c>
      <c r="Y79" s="15">
        <v>0</v>
      </c>
      <c r="Z79" s="15">
        <v>0</v>
      </c>
      <c r="AA79" s="15">
        <v>2</v>
      </c>
      <c r="AB79" s="15">
        <v>0</v>
      </c>
      <c r="AC79" s="15">
        <v>3</v>
      </c>
      <c r="AD79" s="15">
        <v>2</v>
      </c>
      <c r="AE79" s="15">
        <v>3</v>
      </c>
      <c r="AF79" s="15">
        <v>12</v>
      </c>
      <c r="AG79" s="15">
        <v>4</v>
      </c>
      <c r="AH79" s="15">
        <v>9</v>
      </c>
      <c r="AI79" s="15">
        <v>4</v>
      </c>
      <c r="AJ79" s="15">
        <v>2</v>
      </c>
      <c r="AK79" s="15">
        <v>14</v>
      </c>
      <c r="AL79" s="15">
        <v>11</v>
      </c>
      <c r="AM79" s="15">
        <v>24</v>
      </c>
      <c r="AN79" s="15">
        <v>24</v>
      </c>
      <c r="AO79" s="15">
        <v>39</v>
      </c>
      <c r="AP79" s="15">
        <v>46</v>
      </c>
      <c r="AQ79" s="15">
        <v>60</v>
      </c>
      <c r="AR79" s="15">
        <v>40</v>
      </c>
      <c r="AS79" s="15">
        <v>38</v>
      </c>
      <c r="AT79" s="15">
        <v>40</v>
      </c>
      <c r="AU79" s="15">
        <v>37</v>
      </c>
      <c r="AV79" s="15">
        <v>37</v>
      </c>
      <c r="AW79" s="15">
        <v>21</v>
      </c>
      <c r="AX79" s="15">
        <v>23</v>
      </c>
      <c r="AY79" s="15">
        <v>19</v>
      </c>
      <c r="AZ79" s="15">
        <v>21</v>
      </c>
      <c r="BA79" s="15">
        <v>20</v>
      </c>
      <c r="BB79" s="15">
        <v>13</v>
      </c>
      <c r="BC79" s="15">
        <v>5</v>
      </c>
      <c r="BD79" s="15">
        <v>0</v>
      </c>
    </row>
    <row r="80" spans="1:56" x14ac:dyDescent="0.35">
      <c r="A80" s="14" t="s">
        <v>173</v>
      </c>
      <c r="B80" s="15">
        <v>435</v>
      </c>
      <c r="C80" s="16">
        <v>894.3072716432639</v>
      </c>
      <c r="D80" s="15">
        <v>0</v>
      </c>
      <c r="E80" s="15">
        <v>0</v>
      </c>
      <c r="F80" s="15">
        <v>0</v>
      </c>
      <c r="G80" s="15">
        <v>0</v>
      </c>
      <c r="H80" s="15">
        <v>0</v>
      </c>
      <c r="I80" s="15">
        <v>1</v>
      </c>
      <c r="J80" s="15">
        <v>0</v>
      </c>
      <c r="K80" s="15">
        <v>0</v>
      </c>
      <c r="L80" s="15">
        <v>0</v>
      </c>
      <c r="M80" s="15">
        <v>0</v>
      </c>
      <c r="N80" s="15">
        <v>0</v>
      </c>
      <c r="O80" s="15">
        <v>0</v>
      </c>
      <c r="P80" s="15">
        <v>0</v>
      </c>
      <c r="Q80" s="15">
        <v>0</v>
      </c>
      <c r="R80" s="15">
        <v>0</v>
      </c>
      <c r="S80" s="15">
        <v>0</v>
      </c>
      <c r="T80" s="15">
        <v>0</v>
      </c>
      <c r="U80" s="15">
        <v>0</v>
      </c>
      <c r="V80" s="15">
        <v>0</v>
      </c>
      <c r="W80" s="15">
        <v>2</v>
      </c>
      <c r="X80" s="15">
        <v>0</v>
      </c>
      <c r="Y80" s="15">
        <v>2</v>
      </c>
      <c r="Z80" s="15">
        <v>1</v>
      </c>
      <c r="AA80" s="15">
        <v>1</v>
      </c>
      <c r="AB80" s="15">
        <v>0</v>
      </c>
      <c r="AC80" s="15">
        <v>0</v>
      </c>
      <c r="AD80" s="15">
        <v>1</v>
      </c>
      <c r="AE80" s="15">
        <v>0</v>
      </c>
      <c r="AF80" s="15">
        <v>0</v>
      </c>
      <c r="AG80" s="15">
        <v>3</v>
      </c>
      <c r="AH80" s="15">
        <v>2</v>
      </c>
      <c r="AI80" s="15">
        <v>6</v>
      </c>
      <c r="AJ80" s="15">
        <v>8</v>
      </c>
      <c r="AK80" s="15">
        <v>11</v>
      </c>
      <c r="AL80" s="15">
        <v>18</v>
      </c>
      <c r="AM80" s="15">
        <v>9</v>
      </c>
      <c r="AN80" s="15">
        <v>7</v>
      </c>
      <c r="AO80" s="15">
        <v>11</v>
      </c>
      <c r="AP80" s="15">
        <v>15</v>
      </c>
      <c r="AQ80" s="15">
        <v>24</v>
      </c>
      <c r="AR80" s="15">
        <v>25</v>
      </c>
      <c r="AS80" s="15">
        <v>44</v>
      </c>
      <c r="AT80" s="15">
        <v>28</v>
      </c>
      <c r="AU80" s="15">
        <v>20</v>
      </c>
      <c r="AV80" s="15">
        <v>34</v>
      </c>
      <c r="AW80" s="15">
        <v>30</v>
      </c>
      <c r="AX80" s="15">
        <v>33</v>
      </c>
      <c r="AY80" s="15">
        <v>49</v>
      </c>
      <c r="AZ80" s="15">
        <v>36</v>
      </c>
      <c r="BA80" s="15">
        <v>14</v>
      </c>
      <c r="BB80" s="15">
        <v>0</v>
      </c>
      <c r="BC80" s="15">
        <v>0</v>
      </c>
      <c r="BD80" s="15">
        <v>0</v>
      </c>
    </row>
    <row r="81" spans="1:56" x14ac:dyDescent="0.35">
      <c r="A81" s="14" t="s">
        <v>174</v>
      </c>
      <c r="B81" s="15">
        <v>264</v>
      </c>
      <c r="C81" s="16">
        <v>782.47725184504588</v>
      </c>
      <c r="D81" s="15">
        <v>0</v>
      </c>
      <c r="E81" s="15">
        <v>0</v>
      </c>
      <c r="F81" s="15">
        <v>0</v>
      </c>
      <c r="G81" s="15">
        <v>0</v>
      </c>
      <c r="H81" s="15">
        <v>0</v>
      </c>
      <c r="I81" s="15">
        <v>0</v>
      </c>
      <c r="J81" s="15">
        <v>0</v>
      </c>
      <c r="K81" s="15">
        <v>1</v>
      </c>
      <c r="L81" s="15">
        <v>0</v>
      </c>
      <c r="M81" s="15">
        <v>0</v>
      </c>
      <c r="N81" s="15">
        <v>1</v>
      </c>
      <c r="O81" s="15">
        <v>0</v>
      </c>
      <c r="P81" s="15">
        <v>0</v>
      </c>
      <c r="Q81" s="15">
        <v>0</v>
      </c>
      <c r="R81" s="15">
        <v>0</v>
      </c>
      <c r="S81" s="15">
        <v>0</v>
      </c>
      <c r="T81" s="15">
        <v>0</v>
      </c>
      <c r="U81" s="15">
        <v>0</v>
      </c>
      <c r="V81" s="15">
        <v>0</v>
      </c>
      <c r="W81" s="15">
        <v>0</v>
      </c>
      <c r="X81" s="15">
        <v>1</v>
      </c>
      <c r="Y81" s="15">
        <v>0</v>
      </c>
      <c r="Z81" s="15">
        <v>0</v>
      </c>
      <c r="AA81" s="15">
        <v>0</v>
      </c>
      <c r="AB81" s="15">
        <v>2</v>
      </c>
      <c r="AC81" s="15">
        <v>0</v>
      </c>
      <c r="AD81" s="15">
        <v>2</v>
      </c>
      <c r="AE81" s="15">
        <v>0</v>
      </c>
      <c r="AF81" s="15">
        <v>0</v>
      </c>
      <c r="AG81" s="15">
        <v>0</v>
      </c>
      <c r="AH81" s="15">
        <v>1</v>
      </c>
      <c r="AI81" s="15">
        <v>1</v>
      </c>
      <c r="AJ81" s="15">
        <v>0</v>
      </c>
      <c r="AK81" s="15">
        <v>1</v>
      </c>
      <c r="AL81" s="15">
        <v>4</v>
      </c>
      <c r="AM81" s="15">
        <v>3</v>
      </c>
      <c r="AN81" s="15">
        <v>7</v>
      </c>
      <c r="AO81" s="15">
        <v>2</v>
      </c>
      <c r="AP81" s="15">
        <v>6</v>
      </c>
      <c r="AQ81" s="15">
        <v>7</v>
      </c>
      <c r="AR81" s="15">
        <v>4</v>
      </c>
      <c r="AS81" s="15">
        <v>4</v>
      </c>
      <c r="AT81" s="15">
        <v>8</v>
      </c>
      <c r="AU81" s="15">
        <v>15</v>
      </c>
      <c r="AV81" s="15">
        <v>18</v>
      </c>
      <c r="AW81" s="15">
        <v>26</v>
      </c>
      <c r="AX81" s="15">
        <v>34</v>
      </c>
      <c r="AY81" s="15">
        <v>30</v>
      </c>
      <c r="AZ81" s="15">
        <v>49</v>
      </c>
      <c r="BA81" s="15">
        <v>37</v>
      </c>
      <c r="BB81" s="15">
        <v>0</v>
      </c>
      <c r="BC81" s="15">
        <v>0</v>
      </c>
      <c r="BD81" s="15">
        <v>0</v>
      </c>
    </row>
    <row r="82" spans="1:56" x14ac:dyDescent="0.35">
      <c r="A82" s="14" t="s">
        <v>175</v>
      </c>
      <c r="B82" s="15">
        <v>717</v>
      </c>
      <c r="C82" s="16">
        <v>3512.4675451917892</v>
      </c>
      <c r="D82" s="15">
        <v>0</v>
      </c>
      <c r="E82" s="15">
        <v>0</v>
      </c>
      <c r="F82" s="15">
        <v>0</v>
      </c>
      <c r="G82" s="15">
        <v>0</v>
      </c>
      <c r="H82" s="15">
        <v>0</v>
      </c>
      <c r="I82" s="15">
        <v>0</v>
      </c>
      <c r="J82" s="15">
        <v>0</v>
      </c>
      <c r="K82" s="15">
        <v>0</v>
      </c>
      <c r="L82" s="15">
        <v>0</v>
      </c>
      <c r="M82" s="15">
        <v>0</v>
      </c>
      <c r="N82" s="15">
        <v>0</v>
      </c>
      <c r="O82" s="15">
        <v>0</v>
      </c>
      <c r="P82" s="15">
        <v>0</v>
      </c>
      <c r="Q82" s="15">
        <v>0</v>
      </c>
      <c r="R82" s="15">
        <v>0</v>
      </c>
      <c r="S82" s="15">
        <v>0</v>
      </c>
      <c r="T82" s="15">
        <v>0</v>
      </c>
      <c r="U82" s="15">
        <v>0</v>
      </c>
      <c r="V82" s="15">
        <v>0</v>
      </c>
      <c r="W82" s="15">
        <v>0</v>
      </c>
      <c r="X82" s="15">
        <v>0</v>
      </c>
      <c r="Y82" s="15">
        <v>0</v>
      </c>
      <c r="Z82" s="15">
        <v>0</v>
      </c>
      <c r="AA82" s="15">
        <v>1</v>
      </c>
      <c r="AB82" s="15">
        <v>0</v>
      </c>
      <c r="AC82" s="15">
        <v>0</v>
      </c>
      <c r="AD82" s="15">
        <v>0</v>
      </c>
      <c r="AE82" s="15">
        <v>0</v>
      </c>
      <c r="AF82" s="15">
        <v>0</v>
      </c>
      <c r="AG82" s="15">
        <v>3</v>
      </c>
      <c r="AH82" s="15">
        <v>5</v>
      </c>
      <c r="AI82" s="15">
        <v>4</v>
      </c>
      <c r="AJ82" s="15">
        <v>2</v>
      </c>
      <c r="AK82" s="15">
        <v>4</v>
      </c>
      <c r="AL82" s="15">
        <v>11</v>
      </c>
      <c r="AM82" s="15">
        <v>15</v>
      </c>
      <c r="AN82" s="15">
        <v>15</v>
      </c>
      <c r="AO82" s="15">
        <v>18</v>
      </c>
      <c r="AP82" s="15">
        <v>16</v>
      </c>
      <c r="AQ82" s="15">
        <v>52</v>
      </c>
      <c r="AR82" s="15">
        <v>40</v>
      </c>
      <c r="AS82" s="15">
        <v>68</v>
      </c>
      <c r="AT82" s="15">
        <v>61</v>
      </c>
      <c r="AU82" s="15">
        <v>54</v>
      </c>
      <c r="AV82" s="15">
        <v>60</v>
      </c>
      <c r="AW82" s="15">
        <v>38</v>
      </c>
      <c r="AX82" s="15">
        <v>31</v>
      </c>
      <c r="AY82" s="15">
        <v>60</v>
      </c>
      <c r="AZ82" s="15">
        <v>43</v>
      </c>
      <c r="BA82" s="15">
        <v>51</v>
      </c>
      <c r="BB82" s="15">
        <v>51</v>
      </c>
      <c r="BC82" s="15">
        <v>14</v>
      </c>
      <c r="BD82" s="15">
        <v>0</v>
      </c>
    </row>
    <row r="83" spans="1:56" x14ac:dyDescent="0.35">
      <c r="A83" s="14" t="s">
        <v>176</v>
      </c>
      <c r="B83" s="15">
        <v>256</v>
      </c>
      <c r="C83" s="16">
        <v>1158.7380618295388</v>
      </c>
      <c r="D83" s="15">
        <v>0</v>
      </c>
      <c r="E83" s="15">
        <v>0</v>
      </c>
      <c r="F83" s="15">
        <v>1</v>
      </c>
      <c r="G83" s="15">
        <v>0</v>
      </c>
      <c r="H83" s="15">
        <v>0</v>
      </c>
      <c r="I83" s="15">
        <v>0</v>
      </c>
      <c r="J83" s="15">
        <v>0</v>
      </c>
      <c r="K83" s="15">
        <v>0</v>
      </c>
      <c r="L83" s="15">
        <v>0</v>
      </c>
      <c r="M83" s="15">
        <v>0</v>
      </c>
      <c r="N83" s="15">
        <v>0</v>
      </c>
      <c r="O83" s="15">
        <v>0</v>
      </c>
      <c r="P83" s="15">
        <v>0</v>
      </c>
      <c r="Q83" s="15">
        <v>0</v>
      </c>
      <c r="R83" s="15">
        <v>0</v>
      </c>
      <c r="S83" s="15">
        <v>0</v>
      </c>
      <c r="T83" s="15">
        <v>0</v>
      </c>
      <c r="U83" s="15">
        <v>0</v>
      </c>
      <c r="V83" s="15">
        <v>0</v>
      </c>
      <c r="W83" s="15">
        <v>0</v>
      </c>
      <c r="X83" s="15">
        <v>0</v>
      </c>
      <c r="Y83" s="15">
        <v>0</v>
      </c>
      <c r="Z83" s="15">
        <v>0</v>
      </c>
      <c r="AA83" s="15">
        <v>0</v>
      </c>
      <c r="AB83" s="15">
        <v>0</v>
      </c>
      <c r="AC83" s="15">
        <v>0</v>
      </c>
      <c r="AD83" s="15">
        <v>0</v>
      </c>
      <c r="AE83" s="15">
        <v>0</v>
      </c>
      <c r="AF83" s="15">
        <v>0</v>
      </c>
      <c r="AG83" s="15">
        <v>1</v>
      </c>
      <c r="AH83" s="15">
        <v>1</v>
      </c>
      <c r="AI83" s="15">
        <v>0</v>
      </c>
      <c r="AJ83" s="15">
        <v>10</v>
      </c>
      <c r="AK83" s="15">
        <v>13</v>
      </c>
      <c r="AL83" s="15">
        <v>14</v>
      </c>
      <c r="AM83" s="15">
        <v>16</v>
      </c>
      <c r="AN83" s="15">
        <v>11</v>
      </c>
      <c r="AO83" s="15">
        <v>8</v>
      </c>
      <c r="AP83" s="15">
        <v>11</v>
      </c>
      <c r="AQ83" s="15">
        <v>22</v>
      </c>
      <c r="AR83" s="15">
        <v>22</v>
      </c>
      <c r="AS83" s="15">
        <v>12</v>
      </c>
      <c r="AT83" s="15">
        <v>9</v>
      </c>
      <c r="AU83" s="15">
        <v>17</v>
      </c>
      <c r="AV83" s="15">
        <v>18</v>
      </c>
      <c r="AW83" s="15">
        <v>12</v>
      </c>
      <c r="AX83" s="15">
        <v>15</v>
      </c>
      <c r="AY83" s="15">
        <v>11</v>
      </c>
      <c r="AZ83" s="15">
        <v>25</v>
      </c>
      <c r="BA83" s="15">
        <v>7</v>
      </c>
      <c r="BB83" s="15">
        <v>0</v>
      </c>
      <c r="BC83" s="15">
        <v>0</v>
      </c>
      <c r="BD83" s="15">
        <v>0</v>
      </c>
    </row>
    <row r="84" spans="1:56" x14ac:dyDescent="0.35">
      <c r="A84" s="14" t="s">
        <v>177</v>
      </c>
      <c r="B84" s="15">
        <v>205</v>
      </c>
      <c r="C84" s="16">
        <v>1727.7707543194267</v>
      </c>
      <c r="D84" s="15">
        <v>0</v>
      </c>
      <c r="E84" s="15">
        <v>0</v>
      </c>
      <c r="F84" s="15">
        <v>0</v>
      </c>
      <c r="G84" s="15">
        <v>0</v>
      </c>
      <c r="H84" s="15">
        <v>0</v>
      </c>
      <c r="I84" s="15">
        <v>0</v>
      </c>
      <c r="J84" s="15">
        <v>0</v>
      </c>
      <c r="K84" s="15">
        <v>0</v>
      </c>
      <c r="L84" s="15">
        <v>0</v>
      </c>
      <c r="M84" s="15">
        <v>0</v>
      </c>
      <c r="N84" s="15">
        <v>0</v>
      </c>
      <c r="O84" s="15">
        <v>0</v>
      </c>
      <c r="P84" s="15">
        <v>0</v>
      </c>
      <c r="Q84" s="15">
        <v>0</v>
      </c>
      <c r="R84" s="15">
        <v>0</v>
      </c>
      <c r="S84" s="15">
        <v>0</v>
      </c>
      <c r="T84" s="15">
        <v>0</v>
      </c>
      <c r="U84" s="15">
        <v>0</v>
      </c>
      <c r="V84" s="15">
        <v>0</v>
      </c>
      <c r="W84" s="15">
        <v>0</v>
      </c>
      <c r="X84" s="15">
        <v>0</v>
      </c>
      <c r="Y84" s="15">
        <v>0</v>
      </c>
      <c r="Z84" s="15">
        <v>2</v>
      </c>
      <c r="AA84" s="15">
        <v>0</v>
      </c>
      <c r="AB84" s="15">
        <v>0</v>
      </c>
      <c r="AC84" s="15">
        <v>0</v>
      </c>
      <c r="AD84" s="15">
        <v>0</v>
      </c>
      <c r="AE84" s="15">
        <v>0</v>
      </c>
      <c r="AF84" s="15">
        <v>0</v>
      </c>
      <c r="AG84" s="15">
        <v>3</v>
      </c>
      <c r="AH84" s="15">
        <v>3</v>
      </c>
      <c r="AI84" s="15">
        <v>3</v>
      </c>
      <c r="AJ84" s="15">
        <v>11</v>
      </c>
      <c r="AK84" s="15">
        <v>15</v>
      </c>
      <c r="AL84" s="15">
        <v>5</v>
      </c>
      <c r="AM84" s="15">
        <v>7</v>
      </c>
      <c r="AN84" s="15">
        <v>19</v>
      </c>
      <c r="AO84" s="15">
        <v>7</v>
      </c>
      <c r="AP84" s="15">
        <v>13</v>
      </c>
      <c r="AQ84" s="15">
        <v>16</v>
      </c>
      <c r="AR84" s="15">
        <v>11</v>
      </c>
      <c r="AS84" s="15">
        <v>7</v>
      </c>
      <c r="AT84" s="15">
        <v>10</v>
      </c>
      <c r="AU84" s="15">
        <v>9</v>
      </c>
      <c r="AV84" s="15">
        <v>6</v>
      </c>
      <c r="AW84" s="15">
        <v>19</v>
      </c>
      <c r="AX84" s="15">
        <v>12</v>
      </c>
      <c r="AY84" s="15">
        <v>6</v>
      </c>
      <c r="AZ84" s="15">
        <v>7</v>
      </c>
      <c r="BA84" s="15">
        <v>9</v>
      </c>
      <c r="BB84" s="15">
        <v>2</v>
      </c>
      <c r="BC84" s="15">
        <v>3</v>
      </c>
      <c r="BD84" s="15">
        <v>0</v>
      </c>
    </row>
    <row r="85" spans="1:56" x14ac:dyDescent="0.35">
      <c r="A85" s="14" t="s">
        <v>178</v>
      </c>
      <c r="B85" s="15">
        <v>801</v>
      </c>
      <c r="C85" s="16">
        <v>2803.9346098645287</v>
      </c>
      <c r="D85" s="15">
        <v>0</v>
      </c>
      <c r="E85" s="15">
        <v>2</v>
      </c>
      <c r="F85" s="15">
        <v>0</v>
      </c>
      <c r="G85" s="15">
        <v>1</v>
      </c>
      <c r="H85" s="15">
        <v>0</v>
      </c>
      <c r="I85" s="15">
        <v>0</v>
      </c>
      <c r="J85" s="15">
        <v>0</v>
      </c>
      <c r="K85" s="15">
        <v>1</v>
      </c>
      <c r="L85" s="15">
        <v>0</v>
      </c>
      <c r="M85" s="15">
        <v>0</v>
      </c>
      <c r="N85" s="15">
        <v>1</v>
      </c>
      <c r="O85" s="15">
        <v>1</v>
      </c>
      <c r="P85" s="15">
        <v>0</v>
      </c>
      <c r="Q85" s="15">
        <v>0</v>
      </c>
      <c r="R85" s="15">
        <v>1</v>
      </c>
      <c r="S85" s="15">
        <v>0</v>
      </c>
      <c r="T85" s="15">
        <v>0</v>
      </c>
      <c r="U85" s="15">
        <v>1</v>
      </c>
      <c r="V85" s="15">
        <v>0</v>
      </c>
      <c r="W85" s="15">
        <v>1</v>
      </c>
      <c r="X85" s="15">
        <v>0</v>
      </c>
      <c r="Y85" s="15">
        <v>0</v>
      </c>
      <c r="Z85" s="15">
        <v>0</v>
      </c>
      <c r="AA85" s="15">
        <v>0</v>
      </c>
      <c r="AB85" s="15">
        <v>1</v>
      </c>
      <c r="AC85" s="15">
        <v>0</v>
      </c>
      <c r="AD85" s="15">
        <v>1</v>
      </c>
      <c r="AE85" s="15">
        <v>0</v>
      </c>
      <c r="AF85" s="15">
        <v>0</v>
      </c>
      <c r="AG85" s="15">
        <v>0</v>
      </c>
      <c r="AH85" s="15">
        <v>0</v>
      </c>
      <c r="AI85" s="15">
        <v>0</v>
      </c>
      <c r="AJ85" s="15">
        <v>0</v>
      </c>
      <c r="AK85" s="15">
        <v>7</v>
      </c>
      <c r="AL85" s="15">
        <v>6</v>
      </c>
      <c r="AM85" s="15">
        <v>13</v>
      </c>
      <c r="AN85" s="15">
        <v>10</v>
      </c>
      <c r="AO85" s="15">
        <v>13</v>
      </c>
      <c r="AP85" s="15">
        <v>28</v>
      </c>
      <c r="AQ85" s="15">
        <v>32</v>
      </c>
      <c r="AR85" s="15">
        <v>56</v>
      </c>
      <c r="AS85" s="15">
        <v>52</v>
      </c>
      <c r="AT85" s="15">
        <v>39</v>
      </c>
      <c r="AU85" s="15">
        <v>68</v>
      </c>
      <c r="AV85" s="15">
        <v>81</v>
      </c>
      <c r="AW85" s="15">
        <v>86</v>
      </c>
      <c r="AX85" s="15">
        <v>68</v>
      </c>
      <c r="AY85" s="15">
        <v>66</v>
      </c>
      <c r="AZ85" s="15">
        <v>45</v>
      </c>
      <c r="BA85" s="15">
        <v>54</v>
      </c>
      <c r="BB85" s="15">
        <v>38</v>
      </c>
      <c r="BC85" s="15">
        <v>28</v>
      </c>
      <c r="BD85" s="15">
        <v>0</v>
      </c>
    </row>
    <row r="86" spans="1:56" x14ac:dyDescent="0.35">
      <c r="A86" s="14" t="s">
        <v>179</v>
      </c>
      <c r="B86" s="15">
        <v>26</v>
      </c>
      <c r="C86" s="16">
        <v>319.7638666830648</v>
      </c>
      <c r="D86" s="15">
        <v>0</v>
      </c>
      <c r="E86" s="15">
        <v>1</v>
      </c>
      <c r="F86" s="15">
        <v>0</v>
      </c>
      <c r="G86" s="15">
        <v>0</v>
      </c>
      <c r="H86" s="15">
        <v>0</v>
      </c>
      <c r="I86" s="15">
        <v>0</v>
      </c>
      <c r="J86" s="15">
        <v>0</v>
      </c>
      <c r="K86" s="15">
        <v>0</v>
      </c>
      <c r="L86" s="15">
        <v>0</v>
      </c>
      <c r="M86" s="15">
        <v>0</v>
      </c>
      <c r="N86" s="15">
        <v>0</v>
      </c>
      <c r="O86" s="15">
        <v>0</v>
      </c>
      <c r="P86" s="15">
        <v>0</v>
      </c>
      <c r="Q86" s="15">
        <v>1</v>
      </c>
      <c r="R86" s="15">
        <v>0</v>
      </c>
      <c r="S86" s="15">
        <v>0</v>
      </c>
      <c r="T86" s="15">
        <v>0</v>
      </c>
      <c r="U86" s="15">
        <v>0</v>
      </c>
      <c r="V86" s="15">
        <v>0</v>
      </c>
      <c r="W86" s="15">
        <v>0</v>
      </c>
      <c r="X86" s="15">
        <v>0</v>
      </c>
      <c r="Y86" s="15">
        <v>0</v>
      </c>
      <c r="Z86" s="15">
        <v>0</v>
      </c>
      <c r="AA86" s="15">
        <v>0</v>
      </c>
      <c r="AB86" s="15">
        <v>0</v>
      </c>
      <c r="AC86" s="15">
        <v>0</v>
      </c>
      <c r="AD86" s="15">
        <v>0</v>
      </c>
      <c r="AE86" s="15">
        <v>3</v>
      </c>
      <c r="AF86" s="15">
        <v>1</v>
      </c>
      <c r="AG86" s="15">
        <v>0</v>
      </c>
      <c r="AH86" s="15">
        <v>1</v>
      </c>
      <c r="AI86" s="15">
        <v>0</v>
      </c>
      <c r="AJ86" s="15">
        <v>2</v>
      </c>
      <c r="AK86" s="15">
        <v>0</v>
      </c>
      <c r="AL86" s="15">
        <v>0</v>
      </c>
      <c r="AM86" s="15">
        <v>0</v>
      </c>
      <c r="AN86" s="15">
        <v>1</v>
      </c>
      <c r="AO86" s="15">
        <v>0</v>
      </c>
      <c r="AP86" s="15">
        <v>2</v>
      </c>
      <c r="AQ86" s="15">
        <v>5</v>
      </c>
      <c r="AR86" s="15">
        <v>2</v>
      </c>
      <c r="AS86" s="15">
        <v>1</v>
      </c>
      <c r="AT86" s="15">
        <v>0</v>
      </c>
      <c r="AU86" s="15">
        <v>0</v>
      </c>
      <c r="AV86" s="15">
        <v>1</v>
      </c>
      <c r="AW86" s="15">
        <v>1</v>
      </c>
      <c r="AX86" s="15">
        <v>2</v>
      </c>
      <c r="AY86" s="15">
        <v>0</v>
      </c>
      <c r="AZ86" s="15">
        <v>1</v>
      </c>
      <c r="BA86" s="15">
        <v>0</v>
      </c>
      <c r="BB86" s="15">
        <v>1</v>
      </c>
      <c r="BC86" s="15">
        <v>0</v>
      </c>
      <c r="BD86" s="15">
        <v>0</v>
      </c>
    </row>
    <row r="87" spans="1:56" x14ac:dyDescent="0.35">
      <c r="A87" s="14"/>
      <c r="B87" s="12"/>
      <c r="C87" s="13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</row>
    <row r="88" spans="1:56" x14ac:dyDescent="0.35">
      <c r="A88" s="1" t="s">
        <v>180</v>
      </c>
      <c r="B88" s="10">
        <v>4498</v>
      </c>
      <c r="C88" s="11">
        <v>871.15504545577789</v>
      </c>
      <c r="D88" s="10">
        <v>3</v>
      </c>
      <c r="E88" s="10">
        <v>2</v>
      </c>
      <c r="F88" s="10">
        <v>3</v>
      </c>
      <c r="G88" s="10">
        <v>5</v>
      </c>
      <c r="H88" s="10">
        <v>5</v>
      </c>
      <c r="I88" s="10">
        <v>1</v>
      </c>
      <c r="J88" s="10">
        <v>2</v>
      </c>
      <c r="K88" s="10">
        <v>11</v>
      </c>
      <c r="L88" s="10">
        <v>4</v>
      </c>
      <c r="M88" s="10">
        <v>4</v>
      </c>
      <c r="N88" s="10">
        <v>4</v>
      </c>
      <c r="O88" s="10">
        <v>6</v>
      </c>
      <c r="P88" s="10">
        <v>10</v>
      </c>
      <c r="Q88" s="10">
        <v>5</v>
      </c>
      <c r="R88" s="10">
        <v>8</v>
      </c>
      <c r="S88" s="10">
        <v>7</v>
      </c>
      <c r="T88" s="10">
        <v>9</v>
      </c>
      <c r="U88" s="10">
        <v>16</v>
      </c>
      <c r="V88" s="10">
        <v>20</v>
      </c>
      <c r="W88" s="10">
        <v>24</v>
      </c>
      <c r="X88" s="10">
        <v>30</v>
      </c>
      <c r="Y88" s="10">
        <v>46</v>
      </c>
      <c r="Z88" s="10">
        <v>32</v>
      </c>
      <c r="AA88" s="10">
        <v>54</v>
      </c>
      <c r="AB88" s="10">
        <v>44</v>
      </c>
      <c r="AC88" s="10">
        <v>74</v>
      </c>
      <c r="AD88" s="10">
        <v>91</v>
      </c>
      <c r="AE88" s="10">
        <v>80</v>
      </c>
      <c r="AF88" s="10">
        <v>109</v>
      </c>
      <c r="AG88" s="10">
        <v>91</v>
      </c>
      <c r="AH88" s="10">
        <v>116</v>
      </c>
      <c r="AI88" s="10">
        <v>114</v>
      </c>
      <c r="AJ88" s="10">
        <v>113</v>
      </c>
      <c r="AK88" s="10">
        <v>109</v>
      </c>
      <c r="AL88" s="10">
        <v>92</v>
      </c>
      <c r="AM88" s="10">
        <v>118</v>
      </c>
      <c r="AN88" s="10">
        <v>98</v>
      </c>
      <c r="AO88" s="10">
        <v>142</v>
      </c>
      <c r="AP88" s="10">
        <v>168</v>
      </c>
      <c r="AQ88" s="10">
        <v>210</v>
      </c>
      <c r="AR88" s="10">
        <v>221</v>
      </c>
      <c r="AS88" s="10">
        <v>206</v>
      </c>
      <c r="AT88" s="10">
        <v>235</v>
      </c>
      <c r="AU88" s="10">
        <v>252</v>
      </c>
      <c r="AV88" s="10">
        <v>251</v>
      </c>
      <c r="AW88" s="10">
        <v>255</v>
      </c>
      <c r="AX88" s="10">
        <v>220</v>
      </c>
      <c r="AY88" s="10">
        <v>175</v>
      </c>
      <c r="AZ88" s="10">
        <v>218</v>
      </c>
      <c r="BA88" s="10">
        <v>171</v>
      </c>
      <c r="BB88" s="10">
        <v>137</v>
      </c>
      <c r="BC88" s="10">
        <v>77</v>
      </c>
      <c r="BD88" s="10">
        <v>0</v>
      </c>
    </row>
    <row r="89" spans="1:56" x14ac:dyDescent="0.35">
      <c r="A89" s="14" t="s">
        <v>181</v>
      </c>
      <c r="B89" s="15">
        <v>2709</v>
      </c>
      <c r="C89" s="16">
        <v>1859.1595692844055</v>
      </c>
      <c r="D89" s="15">
        <v>2</v>
      </c>
      <c r="E89" s="15">
        <v>1</v>
      </c>
      <c r="F89" s="15">
        <v>2</v>
      </c>
      <c r="G89" s="15">
        <v>3</v>
      </c>
      <c r="H89" s="15">
        <v>1</v>
      </c>
      <c r="I89" s="15">
        <v>1</v>
      </c>
      <c r="J89" s="15">
        <v>1</v>
      </c>
      <c r="K89" s="15">
        <v>6</v>
      </c>
      <c r="L89" s="15">
        <v>3</v>
      </c>
      <c r="M89" s="15">
        <v>2</v>
      </c>
      <c r="N89" s="15">
        <v>1</v>
      </c>
      <c r="O89" s="15">
        <v>1</v>
      </c>
      <c r="P89" s="15">
        <v>2</v>
      </c>
      <c r="Q89" s="15">
        <v>0</v>
      </c>
      <c r="R89" s="15">
        <v>3</v>
      </c>
      <c r="S89" s="15">
        <v>0</v>
      </c>
      <c r="T89" s="15">
        <v>3</v>
      </c>
      <c r="U89" s="15">
        <v>4</v>
      </c>
      <c r="V89" s="15">
        <v>5</v>
      </c>
      <c r="W89" s="15">
        <v>5</v>
      </c>
      <c r="X89" s="15">
        <v>7</v>
      </c>
      <c r="Y89" s="15">
        <v>8</v>
      </c>
      <c r="Z89" s="15">
        <v>8</v>
      </c>
      <c r="AA89" s="15">
        <v>20</v>
      </c>
      <c r="AB89" s="15">
        <v>8</v>
      </c>
      <c r="AC89" s="15">
        <v>25</v>
      </c>
      <c r="AD89" s="15">
        <v>32</v>
      </c>
      <c r="AE89" s="15">
        <v>38</v>
      </c>
      <c r="AF89" s="15">
        <v>37</v>
      </c>
      <c r="AG89" s="15">
        <v>43</v>
      </c>
      <c r="AH89" s="15">
        <v>72</v>
      </c>
      <c r="AI89" s="15">
        <v>65</v>
      </c>
      <c r="AJ89" s="15">
        <v>73</v>
      </c>
      <c r="AK89" s="15">
        <v>70</v>
      </c>
      <c r="AL89" s="15">
        <v>58</v>
      </c>
      <c r="AM89" s="15">
        <v>74</v>
      </c>
      <c r="AN89" s="15">
        <v>66</v>
      </c>
      <c r="AO89" s="15">
        <v>105</v>
      </c>
      <c r="AP89" s="15">
        <v>119</v>
      </c>
      <c r="AQ89" s="15">
        <v>141</v>
      </c>
      <c r="AR89" s="15">
        <v>157</v>
      </c>
      <c r="AS89" s="15">
        <v>142</v>
      </c>
      <c r="AT89" s="15">
        <v>152</v>
      </c>
      <c r="AU89" s="15">
        <v>156</v>
      </c>
      <c r="AV89" s="15">
        <v>178</v>
      </c>
      <c r="AW89" s="15">
        <v>168</v>
      </c>
      <c r="AX89" s="15">
        <v>140</v>
      </c>
      <c r="AY89" s="15">
        <v>106</v>
      </c>
      <c r="AZ89" s="15">
        <v>143</v>
      </c>
      <c r="BA89" s="15">
        <v>117</v>
      </c>
      <c r="BB89" s="15">
        <v>76</v>
      </c>
      <c r="BC89" s="15">
        <v>59</v>
      </c>
      <c r="BD89" s="15">
        <v>0</v>
      </c>
    </row>
    <row r="90" spans="1:56" x14ac:dyDescent="0.35">
      <c r="A90" s="14" t="s">
        <v>182</v>
      </c>
      <c r="B90" s="15">
        <v>365</v>
      </c>
      <c r="C90" s="16">
        <v>918.0311376040645</v>
      </c>
      <c r="D90" s="15">
        <v>0</v>
      </c>
      <c r="E90" s="15">
        <v>0</v>
      </c>
      <c r="F90" s="15">
        <v>1</v>
      </c>
      <c r="G90" s="15">
        <v>0</v>
      </c>
      <c r="H90" s="15">
        <v>0</v>
      </c>
      <c r="I90" s="15">
        <v>0</v>
      </c>
      <c r="J90" s="15">
        <v>0</v>
      </c>
      <c r="K90" s="15">
        <v>0</v>
      </c>
      <c r="L90" s="15">
        <v>0</v>
      </c>
      <c r="M90" s="15">
        <v>0</v>
      </c>
      <c r="N90" s="15">
        <v>0</v>
      </c>
      <c r="O90" s="15">
        <v>0</v>
      </c>
      <c r="P90" s="15">
        <v>0</v>
      </c>
      <c r="Q90" s="15">
        <v>0</v>
      </c>
      <c r="R90" s="15">
        <v>1</v>
      </c>
      <c r="S90" s="15">
        <v>0</v>
      </c>
      <c r="T90" s="15">
        <v>0</v>
      </c>
      <c r="U90" s="15">
        <v>0</v>
      </c>
      <c r="V90" s="15">
        <v>0</v>
      </c>
      <c r="W90" s="15">
        <v>0</v>
      </c>
      <c r="X90" s="15">
        <v>0</v>
      </c>
      <c r="Y90" s="15">
        <v>0</v>
      </c>
      <c r="Z90" s="15">
        <v>0</v>
      </c>
      <c r="AA90" s="15">
        <v>0</v>
      </c>
      <c r="AB90" s="15">
        <v>2</v>
      </c>
      <c r="AC90" s="15">
        <v>1</v>
      </c>
      <c r="AD90" s="15">
        <v>0</v>
      </c>
      <c r="AE90" s="15">
        <v>0</v>
      </c>
      <c r="AF90" s="15">
        <v>0</v>
      </c>
      <c r="AG90" s="15">
        <v>1</v>
      </c>
      <c r="AH90" s="15">
        <v>2</v>
      </c>
      <c r="AI90" s="15">
        <v>1</v>
      </c>
      <c r="AJ90" s="15">
        <v>5</v>
      </c>
      <c r="AK90" s="15">
        <v>2</v>
      </c>
      <c r="AL90" s="15">
        <v>0</v>
      </c>
      <c r="AM90" s="15">
        <v>9</v>
      </c>
      <c r="AN90" s="15">
        <v>3</v>
      </c>
      <c r="AO90" s="15">
        <v>12</v>
      </c>
      <c r="AP90" s="15">
        <v>15</v>
      </c>
      <c r="AQ90" s="15">
        <v>18</v>
      </c>
      <c r="AR90" s="15">
        <v>29</v>
      </c>
      <c r="AS90" s="15">
        <v>21</v>
      </c>
      <c r="AT90" s="15">
        <v>38</v>
      </c>
      <c r="AU90" s="15">
        <v>27</v>
      </c>
      <c r="AV90" s="15">
        <v>22</v>
      </c>
      <c r="AW90" s="15">
        <v>28</v>
      </c>
      <c r="AX90" s="15">
        <v>33</v>
      </c>
      <c r="AY90" s="15">
        <v>28</v>
      </c>
      <c r="AZ90" s="15">
        <v>20</v>
      </c>
      <c r="BA90" s="15">
        <v>23</v>
      </c>
      <c r="BB90" s="15">
        <v>22</v>
      </c>
      <c r="BC90" s="15">
        <v>1</v>
      </c>
      <c r="BD90" s="15">
        <v>0</v>
      </c>
    </row>
    <row r="91" spans="1:56" x14ac:dyDescent="0.35">
      <c r="A91" s="14" t="s">
        <v>183</v>
      </c>
      <c r="B91" s="15">
        <v>206</v>
      </c>
      <c r="C91" s="16">
        <v>371.55276590372097</v>
      </c>
      <c r="D91" s="15">
        <v>0</v>
      </c>
      <c r="E91" s="15">
        <v>0</v>
      </c>
      <c r="F91" s="15">
        <v>0</v>
      </c>
      <c r="G91" s="15">
        <v>0</v>
      </c>
      <c r="H91" s="15">
        <v>0</v>
      </c>
      <c r="I91" s="15">
        <v>0</v>
      </c>
      <c r="J91" s="15">
        <v>0</v>
      </c>
      <c r="K91" s="15">
        <v>1</v>
      </c>
      <c r="L91" s="15">
        <v>0</v>
      </c>
      <c r="M91" s="15">
        <v>0</v>
      </c>
      <c r="N91" s="15">
        <v>0</v>
      </c>
      <c r="O91" s="15">
        <v>0</v>
      </c>
      <c r="P91" s="15">
        <v>0</v>
      </c>
      <c r="Q91" s="15">
        <v>0</v>
      </c>
      <c r="R91" s="15">
        <v>0</v>
      </c>
      <c r="S91" s="15">
        <v>1</v>
      </c>
      <c r="T91" s="15">
        <v>0</v>
      </c>
      <c r="U91" s="15">
        <v>0</v>
      </c>
      <c r="V91" s="15">
        <v>0</v>
      </c>
      <c r="W91" s="15">
        <v>0</v>
      </c>
      <c r="X91" s="15">
        <v>0</v>
      </c>
      <c r="Y91" s="15">
        <v>0</v>
      </c>
      <c r="Z91" s="15">
        <v>0</v>
      </c>
      <c r="AA91" s="15">
        <v>0</v>
      </c>
      <c r="AB91" s="15">
        <v>0</v>
      </c>
      <c r="AC91" s="15">
        <v>1</v>
      </c>
      <c r="AD91" s="15">
        <v>1</v>
      </c>
      <c r="AE91" s="15">
        <v>1</v>
      </c>
      <c r="AF91" s="15">
        <v>1</v>
      </c>
      <c r="AG91" s="15">
        <v>0</v>
      </c>
      <c r="AH91" s="15">
        <v>0</v>
      </c>
      <c r="AI91" s="15">
        <v>0</v>
      </c>
      <c r="AJ91" s="15">
        <v>0</v>
      </c>
      <c r="AK91" s="15">
        <v>2</v>
      </c>
      <c r="AL91" s="15">
        <v>0</v>
      </c>
      <c r="AM91" s="15">
        <v>7</v>
      </c>
      <c r="AN91" s="15">
        <v>2</v>
      </c>
      <c r="AO91" s="15">
        <v>4</v>
      </c>
      <c r="AP91" s="15">
        <v>8</v>
      </c>
      <c r="AQ91" s="15">
        <v>9</v>
      </c>
      <c r="AR91" s="15">
        <v>10</v>
      </c>
      <c r="AS91" s="15">
        <v>17</v>
      </c>
      <c r="AT91" s="15">
        <v>10</v>
      </c>
      <c r="AU91" s="15">
        <v>25</v>
      </c>
      <c r="AV91" s="15">
        <v>17</v>
      </c>
      <c r="AW91" s="15">
        <v>17</v>
      </c>
      <c r="AX91" s="15">
        <v>18</v>
      </c>
      <c r="AY91" s="15">
        <v>16</v>
      </c>
      <c r="AZ91" s="15">
        <v>26</v>
      </c>
      <c r="BA91" s="15">
        <v>12</v>
      </c>
      <c r="BB91" s="15">
        <v>0</v>
      </c>
      <c r="BC91" s="15">
        <v>0</v>
      </c>
      <c r="BD91" s="15">
        <v>0</v>
      </c>
    </row>
    <row r="92" spans="1:56" x14ac:dyDescent="0.35">
      <c r="A92" s="14" t="s">
        <v>184</v>
      </c>
      <c r="B92" s="15">
        <v>107</v>
      </c>
      <c r="C92" s="16">
        <v>727.44578149432311</v>
      </c>
      <c r="D92" s="15">
        <v>0</v>
      </c>
      <c r="E92" s="15">
        <v>0</v>
      </c>
      <c r="F92" s="15">
        <v>0</v>
      </c>
      <c r="G92" s="15">
        <v>1</v>
      </c>
      <c r="H92" s="15">
        <v>1</v>
      </c>
      <c r="I92" s="15">
        <v>0</v>
      </c>
      <c r="J92" s="15">
        <v>0</v>
      </c>
      <c r="K92" s="15">
        <v>0</v>
      </c>
      <c r="L92" s="15">
        <v>0</v>
      </c>
      <c r="M92" s="15">
        <v>0</v>
      </c>
      <c r="N92" s="15">
        <v>0</v>
      </c>
      <c r="O92" s="15">
        <v>0</v>
      </c>
      <c r="P92" s="15">
        <v>0</v>
      </c>
      <c r="Q92" s="15">
        <v>0</v>
      </c>
      <c r="R92" s="15">
        <v>0</v>
      </c>
      <c r="S92" s="15">
        <v>0</v>
      </c>
      <c r="T92" s="15">
        <v>0</v>
      </c>
      <c r="U92" s="15">
        <v>0</v>
      </c>
      <c r="V92" s="15">
        <v>0</v>
      </c>
      <c r="W92" s="15">
        <v>0</v>
      </c>
      <c r="X92" s="15">
        <v>1</v>
      </c>
      <c r="Y92" s="15">
        <v>3</v>
      </c>
      <c r="Z92" s="15">
        <v>3</v>
      </c>
      <c r="AA92" s="15">
        <v>7</v>
      </c>
      <c r="AB92" s="15">
        <v>1</v>
      </c>
      <c r="AC92" s="15">
        <v>0</v>
      </c>
      <c r="AD92" s="15">
        <v>1</v>
      </c>
      <c r="AE92" s="15">
        <v>0</v>
      </c>
      <c r="AF92" s="15">
        <v>1</v>
      </c>
      <c r="AG92" s="15">
        <v>1</v>
      </c>
      <c r="AH92" s="15">
        <v>1</v>
      </c>
      <c r="AI92" s="15">
        <v>1</v>
      </c>
      <c r="AJ92" s="15">
        <v>0</v>
      </c>
      <c r="AK92" s="15">
        <v>0</v>
      </c>
      <c r="AL92" s="15">
        <v>0</v>
      </c>
      <c r="AM92" s="15">
        <v>2</v>
      </c>
      <c r="AN92" s="15">
        <v>2</v>
      </c>
      <c r="AO92" s="15">
        <v>2</v>
      </c>
      <c r="AP92" s="15">
        <v>0</v>
      </c>
      <c r="AQ92" s="15">
        <v>14</v>
      </c>
      <c r="AR92" s="15">
        <v>5</v>
      </c>
      <c r="AS92" s="15">
        <v>7</v>
      </c>
      <c r="AT92" s="15">
        <v>7</v>
      </c>
      <c r="AU92" s="15">
        <v>1</v>
      </c>
      <c r="AV92" s="15">
        <v>8</v>
      </c>
      <c r="AW92" s="15">
        <v>6</v>
      </c>
      <c r="AX92" s="15">
        <v>4</v>
      </c>
      <c r="AY92" s="15">
        <v>3</v>
      </c>
      <c r="AZ92" s="15">
        <v>1</v>
      </c>
      <c r="BA92" s="15">
        <v>4</v>
      </c>
      <c r="BB92" s="15">
        <v>10</v>
      </c>
      <c r="BC92" s="15">
        <v>9</v>
      </c>
      <c r="BD92" s="15">
        <v>0</v>
      </c>
    </row>
    <row r="93" spans="1:56" x14ac:dyDescent="0.35">
      <c r="A93" s="14" t="s">
        <v>185</v>
      </c>
      <c r="B93" s="15">
        <v>68</v>
      </c>
      <c r="C93" s="16">
        <v>215.9004318008636</v>
      </c>
      <c r="D93" s="15">
        <v>0</v>
      </c>
      <c r="E93" s="15">
        <v>0</v>
      </c>
      <c r="F93" s="15">
        <v>0</v>
      </c>
      <c r="G93" s="15">
        <v>0</v>
      </c>
      <c r="H93" s="15">
        <v>0</v>
      </c>
      <c r="I93" s="15">
        <v>0</v>
      </c>
      <c r="J93" s="15">
        <v>0</v>
      </c>
      <c r="K93" s="15">
        <v>0</v>
      </c>
      <c r="L93" s="15">
        <v>0</v>
      </c>
      <c r="M93" s="15">
        <v>0</v>
      </c>
      <c r="N93" s="15">
        <v>0</v>
      </c>
      <c r="O93" s="15">
        <v>0</v>
      </c>
      <c r="P93" s="15">
        <v>0</v>
      </c>
      <c r="Q93" s="15">
        <v>0</v>
      </c>
      <c r="R93" s="15">
        <v>0</v>
      </c>
      <c r="S93" s="15">
        <v>0</v>
      </c>
      <c r="T93" s="15">
        <v>0</v>
      </c>
      <c r="U93" s="15">
        <v>0</v>
      </c>
      <c r="V93" s="15">
        <v>0</v>
      </c>
      <c r="W93" s="15">
        <v>0</v>
      </c>
      <c r="X93" s="15">
        <v>0</v>
      </c>
      <c r="Y93" s="15">
        <v>0</v>
      </c>
      <c r="Z93" s="15">
        <v>0</v>
      </c>
      <c r="AA93" s="15">
        <v>0</v>
      </c>
      <c r="AB93" s="15">
        <v>0</v>
      </c>
      <c r="AC93" s="15">
        <v>0</v>
      </c>
      <c r="AD93" s="15">
        <v>2</v>
      </c>
      <c r="AE93" s="15">
        <v>2</v>
      </c>
      <c r="AF93" s="15">
        <v>14</v>
      </c>
      <c r="AG93" s="15">
        <v>5</v>
      </c>
      <c r="AH93" s="15">
        <v>8</v>
      </c>
      <c r="AI93" s="15">
        <v>2</v>
      </c>
      <c r="AJ93" s="15">
        <v>1</v>
      </c>
      <c r="AK93" s="15">
        <v>3</v>
      </c>
      <c r="AL93" s="15">
        <v>2</v>
      </c>
      <c r="AM93" s="15">
        <v>2</v>
      </c>
      <c r="AN93" s="15">
        <v>2</v>
      </c>
      <c r="AO93" s="15">
        <v>2</v>
      </c>
      <c r="AP93" s="15">
        <v>7</v>
      </c>
      <c r="AQ93" s="15">
        <v>3</v>
      </c>
      <c r="AR93" s="15">
        <v>0</v>
      </c>
      <c r="AS93" s="15">
        <v>0</v>
      </c>
      <c r="AT93" s="15">
        <v>0</v>
      </c>
      <c r="AU93" s="15">
        <v>4</v>
      </c>
      <c r="AV93" s="15">
        <v>1</v>
      </c>
      <c r="AW93" s="15">
        <v>3</v>
      </c>
      <c r="AX93" s="15">
        <v>2</v>
      </c>
      <c r="AY93" s="15">
        <v>0</v>
      </c>
      <c r="AZ93" s="15">
        <v>0</v>
      </c>
      <c r="BA93" s="15">
        <v>3</v>
      </c>
      <c r="BB93" s="15">
        <v>0</v>
      </c>
      <c r="BC93" s="15">
        <v>0</v>
      </c>
      <c r="BD93" s="15">
        <v>0</v>
      </c>
    </row>
    <row r="94" spans="1:56" x14ac:dyDescent="0.35">
      <c r="A94" s="14" t="s">
        <v>186</v>
      </c>
      <c r="B94" s="15">
        <v>468</v>
      </c>
      <c r="C94" s="16">
        <v>1357.0330849305535</v>
      </c>
      <c r="D94" s="15">
        <v>0</v>
      </c>
      <c r="E94" s="15">
        <v>0</v>
      </c>
      <c r="F94" s="15">
        <v>0</v>
      </c>
      <c r="G94" s="15">
        <v>0</v>
      </c>
      <c r="H94" s="15">
        <v>0</v>
      </c>
      <c r="I94" s="15">
        <v>0</v>
      </c>
      <c r="J94" s="15">
        <v>1</v>
      </c>
      <c r="K94" s="15">
        <v>1</v>
      </c>
      <c r="L94" s="15">
        <v>0</v>
      </c>
      <c r="M94" s="15">
        <v>1</v>
      </c>
      <c r="N94" s="15">
        <v>2</v>
      </c>
      <c r="O94" s="15">
        <v>4</v>
      </c>
      <c r="P94" s="15">
        <v>3</v>
      </c>
      <c r="Q94" s="15">
        <v>2</v>
      </c>
      <c r="R94" s="15">
        <v>2</v>
      </c>
      <c r="S94" s="15">
        <v>2</v>
      </c>
      <c r="T94" s="15">
        <v>5</v>
      </c>
      <c r="U94" s="15">
        <v>11</v>
      </c>
      <c r="V94" s="15">
        <v>5</v>
      </c>
      <c r="W94" s="15">
        <v>8</v>
      </c>
      <c r="X94" s="15">
        <v>19</v>
      </c>
      <c r="Y94" s="15">
        <v>30</v>
      </c>
      <c r="Z94" s="15">
        <v>15</v>
      </c>
      <c r="AA94" s="15">
        <v>21</v>
      </c>
      <c r="AB94" s="15">
        <v>27</v>
      </c>
      <c r="AC94" s="15">
        <v>40</v>
      </c>
      <c r="AD94" s="15">
        <v>52</v>
      </c>
      <c r="AE94" s="15">
        <v>31</v>
      </c>
      <c r="AF94" s="15">
        <v>29</v>
      </c>
      <c r="AG94" s="15">
        <v>14</v>
      </c>
      <c r="AH94" s="15">
        <v>20</v>
      </c>
      <c r="AI94" s="15">
        <v>15</v>
      </c>
      <c r="AJ94" s="15">
        <v>12</v>
      </c>
      <c r="AK94" s="15">
        <v>8</v>
      </c>
      <c r="AL94" s="15">
        <v>5</v>
      </c>
      <c r="AM94" s="15">
        <v>10</v>
      </c>
      <c r="AN94" s="15">
        <v>7</v>
      </c>
      <c r="AO94" s="15">
        <v>9</v>
      </c>
      <c r="AP94" s="15">
        <v>2</v>
      </c>
      <c r="AQ94" s="15">
        <v>11</v>
      </c>
      <c r="AR94" s="15">
        <v>4</v>
      </c>
      <c r="AS94" s="15">
        <v>6</v>
      </c>
      <c r="AT94" s="15">
        <v>7</v>
      </c>
      <c r="AU94" s="15">
        <v>6</v>
      </c>
      <c r="AV94" s="15">
        <v>3</v>
      </c>
      <c r="AW94" s="15">
        <v>1</v>
      </c>
      <c r="AX94" s="15">
        <v>5</v>
      </c>
      <c r="AY94" s="15">
        <v>4</v>
      </c>
      <c r="AZ94" s="15">
        <v>4</v>
      </c>
      <c r="BA94" s="15">
        <v>1</v>
      </c>
      <c r="BB94" s="15">
        <v>2</v>
      </c>
      <c r="BC94" s="15">
        <v>1</v>
      </c>
      <c r="BD94" s="15">
        <v>0</v>
      </c>
    </row>
    <row r="95" spans="1:56" x14ac:dyDescent="0.35">
      <c r="A95" s="14" t="s">
        <v>187</v>
      </c>
      <c r="B95" s="15">
        <v>14</v>
      </c>
      <c r="C95" s="16">
        <v>29.794841236060272</v>
      </c>
      <c r="D95" s="15">
        <v>0</v>
      </c>
      <c r="E95" s="15">
        <v>0</v>
      </c>
      <c r="F95" s="15">
        <v>0</v>
      </c>
      <c r="G95" s="15">
        <v>0</v>
      </c>
      <c r="H95" s="15">
        <v>1</v>
      </c>
      <c r="I95" s="15">
        <v>0</v>
      </c>
      <c r="J95" s="15">
        <v>0</v>
      </c>
      <c r="K95" s="15">
        <v>0</v>
      </c>
      <c r="L95" s="15">
        <v>0</v>
      </c>
      <c r="M95" s="15">
        <v>0</v>
      </c>
      <c r="N95" s="15">
        <v>0</v>
      </c>
      <c r="O95" s="15">
        <v>0</v>
      </c>
      <c r="P95" s="15">
        <v>0</v>
      </c>
      <c r="Q95" s="15">
        <v>0</v>
      </c>
      <c r="R95" s="15">
        <v>0</v>
      </c>
      <c r="S95" s="15">
        <v>0</v>
      </c>
      <c r="T95" s="15">
        <v>0</v>
      </c>
      <c r="U95" s="15">
        <v>0</v>
      </c>
      <c r="V95" s="15">
        <v>0</v>
      </c>
      <c r="W95" s="15">
        <v>0</v>
      </c>
      <c r="X95" s="15">
        <v>0</v>
      </c>
      <c r="Y95" s="15">
        <v>0</v>
      </c>
      <c r="Z95" s="15">
        <v>0</v>
      </c>
      <c r="AA95" s="15">
        <v>0</v>
      </c>
      <c r="AB95" s="15">
        <v>0</v>
      </c>
      <c r="AC95" s="15">
        <v>0</v>
      </c>
      <c r="AD95" s="15">
        <v>0</v>
      </c>
      <c r="AE95" s="15">
        <v>0</v>
      </c>
      <c r="AF95" s="15">
        <v>1</v>
      </c>
      <c r="AG95" s="15">
        <v>0</v>
      </c>
      <c r="AH95" s="15">
        <v>0</v>
      </c>
      <c r="AI95" s="15">
        <v>1</v>
      </c>
      <c r="AJ95" s="15">
        <v>1</v>
      </c>
      <c r="AK95" s="15">
        <v>0</v>
      </c>
      <c r="AL95" s="15">
        <v>0</v>
      </c>
      <c r="AM95" s="15">
        <v>0</v>
      </c>
      <c r="AN95" s="15">
        <v>1</v>
      </c>
      <c r="AO95" s="15">
        <v>0</v>
      </c>
      <c r="AP95" s="15">
        <v>1</v>
      </c>
      <c r="AQ95" s="15">
        <v>1</v>
      </c>
      <c r="AR95" s="15">
        <v>0</v>
      </c>
      <c r="AS95" s="15">
        <v>1</v>
      </c>
      <c r="AT95" s="15">
        <v>1</v>
      </c>
      <c r="AU95" s="15">
        <v>1</v>
      </c>
      <c r="AV95" s="15">
        <v>1</v>
      </c>
      <c r="AW95" s="15">
        <v>1</v>
      </c>
      <c r="AX95" s="15">
        <v>0</v>
      </c>
      <c r="AY95" s="15">
        <v>0</v>
      </c>
      <c r="AZ95" s="15">
        <v>0</v>
      </c>
      <c r="BA95" s="15">
        <v>0</v>
      </c>
      <c r="BB95" s="15">
        <v>2</v>
      </c>
      <c r="BC95" s="15">
        <v>0</v>
      </c>
      <c r="BD95" s="15">
        <v>0</v>
      </c>
    </row>
    <row r="96" spans="1:56" x14ac:dyDescent="0.35">
      <c r="A96" s="14" t="s">
        <v>188</v>
      </c>
      <c r="B96" s="15">
        <v>10</v>
      </c>
      <c r="C96" s="16">
        <v>22.582539180705478</v>
      </c>
      <c r="D96" s="15">
        <v>1</v>
      </c>
      <c r="E96" s="15">
        <v>0</v>
      </c>
      <c r="F96" s="15">
        <v>0</v>
      </c>
      <c r="G96" s="15">
        <v>0</v>
      </c>
      <c r="H96" s="15">
        <v>0</v>
      </c>
      <c r="I96" s="15">
        <v>0</v>
      </c>
      <c r="J96" s="15">
        <v>0</v>
      </c>
      <c r="K96" s="15">
        <v>0</v>
      </c>
      <c r="L96" s="15">
        <v>0</v>
      </c>
      <c r="M96" s="15">
        <v>0</v>
      </c>
      <c r="N96" s="15">
        <v>0</v>
      </c>
      <c r="O96" s="15">
        <v>0</v>
      </c>
      <c r="P96" s="15">
        <v>0</v>
      </c>
      <c r="Q96" s="15">
        <v>0</v>
      </c>
      <c r="R96" s="15">
        <v>0</v>
      </c>
      <c r="S96" s="15">
        <v>0</v>
      </c>
      <c r="T96" s="15">
        <v>0</v>
      </c>
      <c r="U96" s="15">
        <v>0</v>
      </c>
      <c r="V96" s="15">
        <v>0</v>
      </c>
      <c r="W96" s="15">
        <v>0</v>
      </c>
      <c r="X96" s="15">
        <v>0</v>
      </c>
      <c r="Y96" s="15">
        <v>0</v>
      </c>
      <c r="Z96" s="15">
        <v>0</v>
      </c>
      <c r="AA96" s="15">
        <v>0</v>
      </c>
      <c r="AB96" s="15">
        <v>0</v>
      </c>
      <c r="AC96" s="15">
        <v>0</v>
      </c>
      <c r="AD96" s="15">
        <v>0</v>
      </c>
      <c r="AE96" s="15">
        <v>0</v>
      </c>
      <c r="AF96" s="15">
        <v>0</v>
      </c>
      <c r="AG96" s="15">
        <v>0</v>
      </c>
      <c r="AH96" s="15">
        <v>0</v>
      </c>
      <c r="AI96" s="15">
        <v>1</v>
      </c>
      <c r="AJ96" s="15">
        <v>0</v>
      </c>
      <c r="AK96" s="15">
        <v>0</v>
      </c>
      <c r="AL96" s="15">
        <v>1</v>
      </c>
      <c r="AM96" s="15">
        <v>0</v>
      </c>
      <c r="AN96" s="15">
        <v>1</v>
      </c>
      <c r="AO96" s="15">
        <v>0</v>
      </c>
      <c r="AP96" s="15">
        <v>1</v>
      </c>
      <c r="AQ96" s="15">
        <v>0</v>
      </c>
      <c r="AR96" s="15">
        <v>2</v>
      </c>
      <c r="AS96" s="15">
        <v>0</v>
      </c>
      <c r="AT96" s="15">
        <v>0</v>
      </c>
      <c r="AU96" s="15">
        <v>0</v>
      </c>
      <c r="AV96" s="15">
        <v>0</v>
      </c>
      <c r="AW96" s="15">
        <v>0</v>
      </c>
      <c r="AX96" s="15">
        <v>0</v>
      </c>
      <c r="AY96" s="15">
        <v>0</v>
      </c>
      <c r="AZ96" s="15">
        <v>1</v>
      </c>
      <c r="BA96" s="15">
        <v>0</v>
      </c>
      <c r="BB96" s="15">
        <v>2</v>
      </c>
      <c r="BC96" s="15">
        <v>0</v>
      </c>
      <c r="BD96" s="15">
        <v>0</v>
      </c>
    </row>
    <row r="97" spans="1:56" x14ac:dyDescent="0.35">
      <c r="A97" s="14" t="s">
        <v>189</v>
      </c>
      <c r="B97" s="15">
        <v>328</v>
      </c>
      <c r="C97" s="16">
        <v>1535.1493026303472</v>
      </c>
      <c r="D97" s="15">
        <v>0</v>
      </c>
      <c r="E97" s="15">
        <v>0</v>
      </c>
      <c r="F97" s="15">
        <v>0</v>
      </c>
      <c r="G97" s="15">
        <v>0</v>
      </c>
      <c r="H97" s="15">
        <v>2</v>
      </c>
      <c r="I97" s="15">
        <v>0</v>
      </c>
      <c r="J97" s="15">
        <v>0</v>
      </c>
      <c r="K97" s="15">
        <v>3</v>
      </c>
      <c r="L97" s="15">
        <v>1</v>
      </c>
      <c r="M97" s="15">
        <v>1</v>
      </c>
      <c r="N97" s="15">
        <v>1</v>
      </c>
      <c r="O97" s="15">
        <v>0</v>
      </c>
      <c r="P97" s="15">
        <v>5</v>
      </c>
      <c r="Q97" s="15">
        <v>1</v>
      </c>
      <c r="R97" s="15">
        <v>2</v>
      </c>
      <c r="S97" s="15">
        <v>3</v>
      </c>
      <c r="T97" s="15">
        <v>0</v>
      </c>
      <c r="U97" s="15">
        <v>0</v>
      </c>
      <c r="V97" s="15">
        <v>10</v>
      </c>
      <c r="W97" s="15">
        <v>10</v>
      </c>
      <c r="X97" s="15">
        <v>3</v>
      </c>
      <c r="Y97" s="15">
        <v>5</v>
      </c>
      <c r="Z97" s="15">
        <v>6</v>
      </c>
      <c r="AA97" s="15">
        <v>5</v>
      </c>
      <c r="AB97" s="15">
        <v>6</v>
      </c>
      <c r="AC97" s="15">
        <v>7</v>
      </c>
      <c r="AD97" s="15">
        <v>3</v>
      </c>
      <c r="AE97" s="15">
        <v>7</v>
      </c>
      <c r="AF97" s="15">
        <v>26</v>
      </c>
      <c r="AG97" s="15">
        <v>26</v>
      </c>
      <c r="AH97" s="15">
        <v>13</v>
      </c>
      <c r="AI97" s="15">
        <v>25</v>
      </c>
      <c r="AJ97" s="15">
        <v>21</v>
      </c>
      <c r="AK97" s="15">
        <v>21</v>
      </c>
      <c r="AL97" s="15">
        <v>21</v>
      </c>
      <c r="AM97" s="15">
        <v>12</v>
      </c>
      <c r="AN97" s="15">
        <v>10</v>
      </c>
      <c r="AO97" s="15">
        <v>4</v>
      </c>
      <c r="AP97" s="15">
        <v>11</v>
      </c>
      <c r="AQ97" s="15">
        <v>5</v>
      </c>
      <c r="AR97" s="15">
        <v>5</v>
      </c>
      <c r="AS97" s="15">
        <v>3</v>
      </c>
      <c r="AT97" s="15">
        <v>4</v>
      </c>
      <c r="AU97" s="15">
        <v>12</v>
      </c>
      <c r="AV97" s="15">
        <v>8</v>
      </c>
      <c r="AW97" s="15">
        <v>4</v>
      </c>
      <c r="AX97" s="15">
        <v>3</v>
      </c>
      <c r="AY97" s="15">
        <v>4</v>
      </c>
      <c r="AZ97" s="15">
        <v>2</v>
      </c>
      <c r="BA97" s="15">
        <v>2</v>
      </c>
      <c r="BB97" s="15">
        <v>1</v>
      </c>
      <c r="BC97" s="15">
        <v>4</v>
      </c>
      <c r="BD97" s="15">
        <v>0</v>
      </c>
    </row>
    <row r="98" spans="1:56" x14ac:dyDescent="0.35">
      <c r="A98" s="14" t="s">
        <v>190</v>
      </c>
      <c r="B98" s="15">
        <v>41</v>
      </c>
      <c r="C98" s="16">
        <v>75.91608495195068</v>
      </c>
      <c r="D98" s="15">
        <v>0</v>
      </c>
      <c r="E98" s="15">
        <v>1</v>
      </c>
      <c r="F98" s="15">
        <v>0</v>
      </c>
      <c r="G98" s="15">
        <v>1</v>
      </c>
      <c r="H98" s="15">
        <v>0</v>
      </c>
      <c r="I98" s="15">
        <v>0</v>
      </c>
      <c r="J98" s="15">
        <v>0</v>
      </c>
      <c r="K98" s="15">
        <v>0</v>
      </c>
      <c r="L98" s="15">
        <v>0</v>
      </c>
      <c r="M98" s="15">
        <v>0</v>
      </c>
      <c r="N98" s="15">
        <v>0</v>
      </c>
      <c r="O98" s="15">
        <v>0</v>
      </c>
      <c r="P98" s="15">
        <v>0</v>
      </c>
      <c r="Q98" s="15">
        <v>0</v>
      </c>
      <c r="R98" s="15">
        <v>0</v>
      </c>
      <c r="S98" s="15">
        <v>1</v>
      </c>
      <c r="T98" s="15">
        <v>1</v>
      </c>
      <c r="U98" s="15">
        <v>1</v>
      </c>
      <c r="V98" s="15">
        <v>0</v>
      </c>
      <c r="W98" s="15">
        <v>1</v>
      </c>
      <c r="X98" s="15">
        <v>0</v>
      </c>
      <c r="Y98" s="15">
        <v>0</v>
      </c>
      <c r="Z98" s="15">
        <v>0</v>
      </c>
      <c r="AA98" s="15">
        <v>0</v>
      </c>
      <c r="AB98" s="15">
        <v>0</v>
      </c>
      <c r="AC98" s="15">
        <v>0</v>
      </c>
      <c r="AD98" s="15">
        <v>0</v>
      </c>
      <c r="AE98" s="15">
        <v>0</v>
      </c>
      <c r="AF98" s="15">
        <v>0</v>
      </c>
      <c r="AG98" s="15">
        <v>0</v>
      </c>
      <c r="AH98" s="15">
        <v>0</v>
      </c>
      <c r="AI98" s="15">
        <v>1</v>
      </c>
      <c r="AJ98" s="15">
        <v>0</v>
      </c>
      <c r="AK98" s="15">
        <v>1</v>
      </c>
      <c r="AL98" s="15">
        <v>1</v>
      </c>
      <c r="AM98" s="15">
        <v>0</v>
      </c>
      <c r="AN98" s="15">
        <v>1</v>
      </c>
      <c r="AO98" s="15">
        <v>0</v>
      </c>
      <c r="AP98" s="15">
        <v>1</v>
      </c>
      <c r="AQ98" s="15">
        <v>3</v>
      </c>
      <c r="AR98" s="15">
        <v>0</v>
      </c>
      <c r="AS98" s="15">
        <v>2</v>
      </c>
      <c r="AT98" s="15">
        <v>2</v>
      </c>
      <c r="AU98" s="15">
        <v>2</v>
      </c>
      <c r="AV98" s="15">
        <v>1</v>
      </c>
      <c r="AW98" s="15">
        <v>8</v>
      </c>
      <c r="AX98" s="15">
        <v>2</v>
      </c>
      <c r="AY98" s="15">
        <v>0</v>
      </c>
      <c r="AZ98" s="15">
        <v>5</v>
      </c>
      <c r="BA98" s="15">
        <v>1</v>
      </c>
      <c r="BB98" s="15">
        <v>4</v>
      </c>
      <c r="BC98" s="15">
        <v>0</v>
      </c>
      <c r="BD98" s="15">
        <v>0</v>
      </c>
    </row>
    <row r="99" spans="1:56" x14ac:dyDescent="0.35">
      <c r="A99" s="14" t="s">
        <v>191</v>
      </c>
      <c r="B99" s="15">
        <v>182</v>
      </c>
      <c r="C99" s="16">
        <v>648.19431583446112</v>
      </c>
      <c r="D99" s="15">
        <v>0</v>
      </c>
      <c r="E99" s="15">
        <v>0</v>
      </c>
      <c r="F99" s="15">
        <v>0</v>
      </c>
      <c r="G99" s="15">
        <v>0</v>
      </c>
      <c r="H99" s="15">
        <v>0</v>
      </c>
      <c r="I99" s="15">
        <v>0</v>
      </c>
      <c r="J99" s="15">
        <v>0</v>
      </c>
      <c r="K99" s="15">
        <v>0</v>
      </c>
      <c r="L99" s="15">
        <v>0</v>
      </c>
      <c r="M99" s="15">
        <v>0</v>
      </c>
      <c r="N99" s="15">
        <v>0</v>
      </c>
      <c r="O99" s="15">
        <v>1</v>
      </c>
      <c r="P99" s="15">
        <v>0</v>
      </c>
      <c r="Q99" s="15">
        <v>2</v>
      </c>
      <c r="R99" s="15">
        <v>0</v>
      </c>
      <c r="S99" s="15">
        <v>0</v>
      </c>
      <c r="T99" s="15">
        <v>0</v>
      </c>
      <c r="U99" s="15">
        <v>0</v>
      </c>
      <c r="V99" s="15">
        <v>0</v>
      </c>
      <c r="W99" s="15">
        <v>0</v>
      </c>
      <c r="X99" s="15">
        <v>0</v>
      </c>
      <c r="Y99" s="15">
        <v>0</v>
      </c>
      <c r="Z99" s="15">
        <v>0</v>
      </c>
      <c r="AA99" s="15">
        <v>1</v>
      </c>
      <c r="AB99" s="15">
        <v>0</v>
      </c>
      <c r="AC99" s="15">
        <v>0</v>
      </c>
      <c r="AD99" s="15">
        <v>0</v>
      </c>
      <c r="AE99" s="15">
        <v>1</v>
      </c>
      <c r="AF99" s="15">
        <v>0</v>
      </c>
      <c r="AG99" s="15">
        <v>1</v>
      </c>
      <c r="AH99" s="15">
        <v>0</v>
      </c>
      <c r="AI99" s="15">
        <v>2</v>
      </c>
      <c r="AJ99" s="15">
        <v>0</v>
      </c>
      <c r="AK99" s="15">
        <v>2</v>
      </c>
      <c r="AL99" s="15">
        <v>4</v>
      </c>
      <c r="AM99" s="15">
        <v>2</v>
      </c>
      <c r="AN99" s="15">
        <v>3</v>
      </c>
      <c r="AO99" s="15">
        <v>4</v>
      </c>
      <c r="AP99" s="15">
        <v>3</v>
      </c>
      <c r="AQ99" s="15">
        <v>5</v>
      </c>
      <c r="AR99" s="15">
        <v>9</v>
      </c>
      <c r="AS99" s="15">
        <v>7</v>
      </c>
      <c r="AT99" s="15">
        <v>14</v>
      </c>
      <c r="AU99" s="15">
        <v>18</v>
      </c>
      <c r="AV99" s="15">
        <v>12</v>
      </c>
      <c r="AW99" s="15">
        <v>19</v>
      </c>
      <c r="AX99" s="15">
        <v>13</v>
      </c>
      <c r="AY99" s="15">
        <v>14</v>
      </c>
      <c r="AZ99" s="15">
        <v>16</v>
      </c>
      <c r="BA99" s="15">
        <v>8</v>
      </c>
      <c r="BB99" s="15">
        <v>18</v>
      </c>
      <c r="BC99" s="15">
        <v>3</v>
      </c>
      <c r="BD99" s="15">
        <v>0</v>
      </c>
    </row>
    <row r="100" spans="1:56" x14ac:dyDescent="0.35">
      <c r="A100" s="14" t="s">
        <v>192</v>
      </c>
      <c r="B100" s="15">
        <v>0</v>
      </c>
      <c r="C100" s="16" t="s">
        <v>106</v>
      </c>
      <c r="D100" s="15">
        <v>0</v>
      </c>
      <c r="E100" s="15">
        <v>0</v>
      </c>
      <c r="F100" s="15">
        <v>0</v>
      </c>
      <c r="G100" s="15">
        <v>0</v>
      </c>
      <c r="H100" s="15">
        <v>0</v>
      </c>
      <c r="I100" s="15">
        <v>0</v>
      </c>
      <c r="J100" s="15">
        <v>0</v>
      </c>
      <c r="K100" s="15">
        <v>0</v>
      </c>
      <c r="L100" s="15">
        <v>0</v>
      </c>
      <c r="M100" s="15">
        <v>0</v>
      </c>
      <c r="N100" s="15">
        <v>0</v>
      </c>
      <c r="O100" s="15">
        <v>0</v>
      </c>
      <c r="P100" s="15">
        <v>0</v>
      </c>
      <c r="Q100" s="15">
        <v>0</v>
      </c>
      <c r="R100" s="15">
        <v>0</v>
      </c>
      <c r="S100" s="15">
        <v>0</v>
      </c>
      <c r="T100" s="15">
        <v>0</v>
      </c>
      <c r="U100" s="15">
        <v>0</v>
      </c>
      <c r="V100" s="15">
        <v>0</v>
      </c>
      <c r="W100" s="15">
        <v>0</v>
      </c>
      <c r="X100" s="15">
        <v>0</v>
      </c>
      <c r="Y100" s="15">
        <v>0</v>
      </c>
      <c r="Z100" s="15">
        <v>0</v>
      </c>
      <c r="AA100" s="15">
        <v>0</v>
      </c>
      <c r="AB100" s="15">
        <v>0</v>
      </c>
      <c r="AC100" s="15">
        <v>0</v>
      </c>
      <c r="AD100" s="15">
        <v>0</v>
      </c>
      <c r="AE100" s="15">
        <v>0</v>
      </c>
      <c r="AF100" s="15">
        <v>0</v>
      </c>
      <c r="AG100" s="15">
        <v>0</v>
      </c>
      <c r="AH100" s="15">
        <v>0</v>
      </c>
      <c r="AI100" s="15">
        <v>0</v>
      </c>
      <c r="AJ100" s="15">
        <v>0</v>
      </c>
      <c r="AK100" s="15">
        <v>0</v>
      </c>
      <c r="AL100" s="15">
        <v>0</v>
      </c>
      <c r="AM100" s="15">
        <v>0</v>
      </c>
      <c r="AN100" s="15">
        <v>0</v>
      </c>
      <c r="AO100" s="15">
        <v>0</v>
      </c>
      <c r="AP100" s="15">
        <v>0</v>
      </c>
      <c r="AQ100" s="15">
        <v>0</v>
      </c>
      <c r="AR100" s="15">
        <v>0</v>
      </c>
      <c r="AS100" s="15">
        <v>0</v>
      </c>
      <c r="AT100" s="15">
        <v>0</v>
      </c>
      <c r="AU100" s="15">
        <v>0</v>
      </c>
      <c r="AV100" s="15">
        <v>0</v>
      </c>
      <c r="AW100" s="15">
        <v>0</v>
      </c>
      <c r="AX100" s="15">
        <v>0</v>
      </c>
      <c r="AY100" s="15">
        <v>0</v>
      </c>
      <c r="AZ100" s="15">
        <v>0</v>
      </c>
      <c r="BA100" s="15">
        <v>0</v>
      </c>
      <c r="BB100" s="15">
        <v>0</v>
      </c>
      <c r="BC100" s="15">
        <v>0</v>
      </c>
      <c r="BD100" s="15">
        <v>0</v>
      </c>
    </row>
    <row r="101" spans="1:56" x14ac:dyDescent="0.35">
      <c r="A101" s="14"/>
      <c r="B101" s="12"/>
      <c r="C101" s="13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</row>
    <row r="102" spans="1:56" x14ac:dyDescent="0.35">
      <c r="A102" s="1" t="s">
        <v>193</v>
      </c>
      <c r="B102" s="10">
        <v>6217</v>
      </c>
      <c r="C102" s="11">
        <v>1310.1467355914417</v>
      </c>
      <c r="D102" s="10">
        <v>20</v>
      </c>
      <c r="E102" s="10">
        <v>20</v>
      </c>
      <c r="F102" s="10">
        <v>20</v>
      </c>
      <c r="G102" s="10">
        <v>19</v>
      </c>
      <c r="H102" s="10">
        <v>21</v>
      </c>
      <c r="I102" s="10">
        <v>27</v>
      </c>
      <c r="J102" s="10">
        <v>18</v>
      </c>
      <c r="K102" s="10">
        <v>21</v>
      </c>
      <c r="L102" s="10">
        <v>27</v>
      </c>
      <c r="M102" s="10">
        <v>22</v>
      </c>
      <c r="N102" s="10">
        <v>20</v>
      </c>
      <c r="O102" s="10">
        <v>31</v>
      </c>
      <c r="P102" s="10">
        <v>29</v>
      </c>
      <c r="Q102" s="10">
        <v>20</v>
      </c>
      <c r="R102" s="10">
        <v>32</v>
      </c>
      <c r="S102" s="10">
        <v>39</v>
      </c>
      <c r="T102" s="10">
        <v>34</v>
      </c>
      <c r="U102" s="10">
        <v>41</v>
      </c>
      <c r="V102" s="10">
        <v>57</v>
      </c>
      <c r="W102" s="10">
        <v>37</v>
      </c>
      <c r="X102" s="10">
        <v>49</v>
      </c>
      <c r="Y102" s="10">
        <v>42</v>
      </c>
      <c r="Z102" s="10">
        <v>61</v>
      </c>
      <c r="AA102" s="10">
        <v>82</v>
      </c>
      <c r="AB102" s="10">
        <v>104</v>
      </c>
      <c r="AC102" s="10">
        <v>131</v>
      </c>
      <c r="AD102" s="10">
        <v>130</v>
      </c>
      <c r="AE102" s="10">
        <v>184</v>
      </c>
      <c r="AF102" s="10">
        <v>178</v>
      </c>
      <c r="AG102" s="10">
        <v>219</v>
      </c>
      <c r="AH102" s="10">
        <v>324</v>
      </c>
      <c r="AI102" s="10">
        <v>280</v>
      </c>
      <c r="AJ102" s="10">
        <v>341</v>
      </c>
      <c r="AK102" s="10">
        <v>323</v>
      </c>
      <c r="AL102" s="10">
        <v>371</v>
      </c>
      <c r="AM102" s="10">
        <v>388</v>
      </c>
      <c r="AN102" s="10">
        <v>244</v>
      </c>
      <c r="AO102" s="10">
        <v>270</v>
      </c>
      <c r="AP102" s="10">
        <v>225</v>
      </c>
      <c r="AQ102" s="10">
        <v>275</v>
      </c>
      <c r="AR102" s="10">
        <v>198</v>
      </c>
      <c r="AS102" s="10">
        <v>219</v>
      </c>
      <c r="AT102" s="10">
        <v>142</v>
      </c>
      <c r="AU102" s="10">
        <v>136</v>
      </c>
      <c r="AV102" s="10">
        <v>140</v>
      </c>
      <c r="AW102" s="10">
        <v>120</v>
      </c>
      <c r="AX102" s="10">
        <v>106</v>
      </c>
      <c r="AY102" s="10">
        <v>112</v>
      </c>
      <c r="AZ102" s="10">
        <v>111</v>
      </c>
      <c r="BA102" s="10">
        <v>82</v>
      </c>
      <c r="BB102" s="10">
        <v>38</v>
      </c>
      <c r="BC102" s="10">
        <v>37</v>
      </c>
      <c r="BD102" s="10">
        <v>0</v>
      </c>
    </row>
    <row r="103" spans="1:56" x14ac:dyDescent="0.35">
      <c r="A103" s="14" t="s">
        <v>194</v>
      </c>
      <c r="B103" s="15">
        <v>938</v>
      </c>
      <c r="C103" s="16">
        <v>934.25364289200297</v>
      </c>
      <c r="D103" s="15">
        <v>0</v>
      </c>
      <c r="E103" s="15">
        <v>2</v>
      </c>
      <c r="F103" s="15">
        <v>2</v>
      </c>
      <c r="G103" s="15">
        <v>3</v>
      </c>
      <c r="H103" s="15">
        <v>1</v>
      </c>
      <c r="I103" s="15">
        <v>4</v>
      </c>
      <c r="J103" s="15">
        <v>5</v>
      </c>
      <c r="K103" s="15">
        <v>1</v>
      </c>
      <c r="L103" s="15">
        <v>6</v>
      </c>
      <c r="M103" s="15">
        <v>4</v>
      </c>
      <c r="N103" s="15">
        <v>1</v>
      </c>
      <c r="O103" s="15">
        <v>2</v>
      </c>
      <c r="P103" s="15">
        <v>3</v>
      </c>
      <c r="Q103" s="15">
        <v>8</v>
      </c>
      <c r="R103" s="15">
        <v>6</v>
      </c>
      <c r="S103" s="15">
        <v>4</v>
      </c>
      <c r="T103" s="15">
        <v>2</v>
      </c>
      <c r="U103" s="15">
        <v>1</v>
      </c>
      <c r="V103" s="15">
        <v>6</v>
      </c>
      <c r="W103" s="15">
        <v>4</v>
      </c>
      <c r="X103" s="15">
        <v>10</v>
      </c>
      <c r="Y103" s="15">
        <v>14</v>
      </c>
      <c r="Z103" s="15">
        <v>10</v>
      </c>
      <c r="AA103" s="15">
        <v>15</v>
      </c>
      <c r="AB103" s="15">
        <v>26</v>
      </c>
      <c r="AC103" s="15">
        <v>44</v>
      </c>
      <c r="AD103" s="15">
        <v>45</v>
      </c>
      <c r="AE103" s="15">
        <v>50</v>
      </c>
      <c r="AF103" s="15">
        <v>38</v>
      </c>
      <c r="AG103" s="15">
        <v>42</v>
      </c>
      <c r="AH103" s="15">
        <v>60</v>
      </c>
      <c r="AI103" s="15">
        <v>39</v>
      </c>
      <c r="AJ103" s="15">
        <v>39</v>
      </c>
      <c r="AK103" s="15">
        <v>41</v>
      </c>
      <c r="AL103" s="15">
        <v>49</v>
      </c>
      <c r="AM103" s="15">
        <v>47</v>
      </c>
      <c r="AN103" s="15">
        <v>24</v>
      </c>
      <c r="AO103" s="15">
        <v>32</v>
      </c>
      <c r="AP103" s="15">
        <v>22</v>
      </c>
      <c r="AQ103" s="15">
        <v>25</v>
      </c>
      <c r="AR103" s="15">
        <v>29</v>
      </c>
      <c r="AS103" s="15">
        <v>27</v>
      </c>
      <c r="AT103" s="15">
        <v>24</v>
      </c>
      <c r="AU103" s="15">
        <v>18</v>
      </c>
      <c r="AV103" s="15">
        <v>29</v>
      </c>
      <c r="AW103" s="15">
        <v>15</v>
      </c>
      <c r="AX103" s="15">
        <v>14</v>
      </c>
      <c r="AY103" s="15">
        <v>10</v>
      </c>
      <c r="AZ103" s="15">
        <v>9</v>
      </c>
      <c r="BA103" s="15">
        <v>7</v>
      </c>
      <c r="BB103" s="15">
        <v>9</v>
      </c>
      <c r="BC103" s="15">
        <v>10</v>
      </c>
      <c r="BD103" s="15">
        <v>0</v>
      </c>
    </row>
    <row r="104" spans="1:56" x14ac:dyDescent="0.35">
      <c r="A104" s="14" t="s">
        <v>195</v>
      </c>
      <c r="B104" s="15">
        <v>1633</v>
      </c>
      <c r="C104" s="16">
        <v>1042.6110607434271</v>
      </c>
      <c r="D104" s="15">
        <v>4</v>
      </c>
      <c r="E104" s="15">
        <v>5</v>
      </c>
      <c r="F104" s="15">
        <v>7</v>
      </c>
      <c r="G104" s="15">
        <v>5</v>
      </c>
      <c r="H104" s="15">
        <v>6</v>
      </c>
      <c r="I104" s="15">
        <v>8</v>
      </c>
      <c r="J104" s="15">
        <v>2</v>
      </c>
      <c r="K104" s="15">
        <v>9</v>
      </c>
      <c r="L104" s="15">
        <v>9</v>
      </c>
      <c r="M104" s="15">
        <v>6</v>
      </c>
      <c r="N104" s="15">
        <v>6</v>
      </c>
      <c r="O104" s="15">
        <v>13</v>
      </c>
      <c r="P104" s="15">
        <v>12</v>
      </c>
      <c r="Q104" s="15">
        <v>3</v>
      </c>
      <c r="R104" s="15">
        <v>12</v>
      </c>
      <c r="S104" s="15">
        <v>11</v>
      </c>
      <c r="T104" s="15">
        <v>15</v>
      </c>
      <c r="U104" s="15">
        <v>11</v>
      </c>
      <c r="V104" s="15">
        <v>13</v>
      </c>
      <c r="W104" s="15">
        <v>16</v>
      </c>
      <c r="X104" s="15">
        <v>10</v>
      </c>
      <c r="Y104" s="15">
        <v>6</v>
      </c>
      <c r="Z104" s="15">
        <v>8</v>
      </c>
      <c r="AA104" s="15">
        <v>21</v>
      </c>
      <c r="AB104" s="15">
        <v>17</v>
      </c>
      <c r="AC104" s="15">
        <v>27</v>
      </c>
      <c r="AD104" s="15">
        <v>24</v>
      </c>
      <c r="AE104" s="15">
        <v>37</v>
      </c>
      <c r="AF104" s="15">
        <v>38</v>
      </c>
      <c r="AG104" s="15">
        <v>44</v>
      </c>
      <c r="AH104" s="15">
        <v>83</v>
      </c>
      <c r="AI104" s="15">
        <v>86</v>
      </c>
      <c r="AJ104" s="15">
        <v>87</v>
      </c>
      <c r="AK104" s="15">
        <v>86</v>
      </c>
      <c r="AL104" s="15">
        <v>83</v>
      </c>
      <c r="AM104" s="15">
        <v>124</v>
      </c>
      <c r="AN104" s="15">
        <v>62</v>
      </c>
      <c r="AO104" s="15">
        <v>93</v>
      </c>
      <c r="AP104" s="15">
        <v>65</v>
      </c>
      <c r="AQ104" s="15">
        <v>86</v>
      </c>
      <c r="AR104" s="15">
        <v>66</v>
      </c>
      <c r="AS104" s="15">
        <v>67</v>
      </c>
      <c r="AT104" s="15">
        <v>40</v>
      </c>
      <c r="AU104" s="15">
        <v>32</v>
      </c>
      <c r="AV104" s="15">
        <v>36</v>
      </c>
      <c r="AW104" s="15">
        <v>25</v>
      </c>
      <c r="AX104" s="15">
        <v>25</v>
      </c>
      <c r="AY104" s="15">
        <v>21</v>
      </c>
      <c r="AZ104" s="15">
        <v>30</v>
      </c>
      <c r="BA104" s="15">
        <v>12</v>
      </c>
      <c r="BB104" s="15">
        <v>12</v>
      </c>
      <c r="BC104" s="15">
        <v>7</v>
      </c>
      <c r="BD104" s="15">
        <v>0</v>
      </c>
    </row>
    <row r="105" spans="1:56" x14ac:dyDescent="0.35">
      <c r="A105" s="14" t="s">
        <v>196</v>
      </c>
      <c r="B105" s="15">
        <v>1690</v>
      </c>
      <c r="C105" s="16">
        <v>2559.2101278090736</v>
      </c>
      <c r="D105" s="15">
        <v>3</v>
      </c>
      <c r="E105" s="15">
        <v>4</v>
      </c>
      <c r="F105" s="15">
        <v>5</v>
      </c>
      <c r="G105" s="15">
        <v>4</v>
      </c>
      <c r="H105" s="15">
        <v>4</v>
      </c>
      <c r="I105" s="15">
        <v>7</v>
      </c>
      <c r="J105" s="15">
        <v>3</v>
      </c>
      <c r="K105" s="15">
        <v>4</v>
      </c>
      <c r="L105" s="15">
        <v>2</v>
      </c>
      <c r="M105" s="15">
        <v>6</v>
      </c>
      <c r="N105" s="15">
        <v>6</v>
      </c>
      <c r="O105" s="15">
        <v>7</v>
      </c>
      <c r="P105" s="15">
        <v>8</v>
      </c>
      <c r="Q105" s="15">
        <v>4</v>
      </c>
      <c r="R105" s="15">
        <v>8</v>
      </c>
      <c r="S105" s="15">
        <v>14</v>
      </c>
      <c r="T105" s="15">
        <v>11</v>
      </c>
      <c r="U105" s="15">
        <v>17</v>
      </c>
      <c r="V105" s="15">
        <v>16</v>
      </c>
      <c r="W105" s="15">
        <v>7</v>
      </c>
      <c r="X105" s="15">
        <v>10</v>
      </c>
      <c r="Y105" s="15">
        <v>13</v>
      </c>
      <c r="Z105" s="15">
        <v>21</v>
      </c>
      <c r="AA105" s="15">
        <v>19</v>
      </c>
      <c r="AB105" s="15">
        <v>28</v>
      </c>
      <c r="AC105" s="15">
        <v>28</v>
      </c>
      <c r="AD105" s="15">
        <v>24</v>
      </c>
      <c r="AE105" s="15">
        <v>37</v>
      </c>
      <c r="AF105" s="15">
        <v>39</v>
      </c>
      <c r="AG105" s="15">
        <v>55</v>
      </c>
      <c r="AH105" s="15">
        <v>79</v>
      </c>
      <c r="AI105" s="15">
        <v>85</v>
      </c>
      <c r="AJ105" s="15">
        <v>125</v>
      </c>
      <c r="AK105" s="15">
        <v>104</v>
      </c>
      <c r="AL105" s="15">
        <v>123</v>
      </c>
      <c r="AM105" s="15">
        <v>111</v>
      </c>
      <c r="AN105" s="15">
        <v>86</v>
      </c>
      <c r="AO105" s="15">
        <v>82</v>
      </c>
      <c r="AP105" s="15">
        <v>51</v>
      </c>
      <c r="AQ105" s="15">
        <v>66</v>
      </c>
      <c r="AR105" s="15">
        <v>51</v>
      </c>
      <c r="AS105" s="15">
        <v>70</v>
      </c>
      <c r="AT105" s="15">
        <v>46</v>
      </c>
      <c r="AU105" s="15">
        <v>35</v>
      </c>
      <c r="AV105" s="15">
        <v>23</v>
      </c>
      <c r="AW105" s="15">
        <v>33</v>
      </c>
      <c r="AX105" s="15">
        <v>24</v>
      </c>
      <c r="AY105" s="15">
        <v>28</v>
      </c>
      <c r="AZ105" s="15">
        <v>35</v>
      </c>
      <c r="BA105" s="15">
        <v>19</v>
      </c>
      <c r="BB105" s="15">
        <v>0</v>
      </c>
      <c r="BC105" s="15">
        <v>0</v>
      </c>
      <c r="BD105" s="15">
        <v>0</v>
      </c>
    </row>
    <row r="106" spans="1:56" x14ac:dyDescent="0.35">
      <c r="A106" s="14" t="s">
        <v>197</v>
      </c>
      <c r="B106" s="15">
        <v>723</v>
      </c>
      <c r="C106" s="16">
        <v>1584.9006970932528</v>
      </c>
      <c r="D106" s="15">
        <v>1</v>
      </c>
      <c r="E106" s="15">
        <v>1</v>
      </c>
      <c r="F106" s="15">
        <v>1</v>
      </c>
      <c r="G106" s="15">
        <v>1</v>
      </c>
      <c r="H106" s="15">
        <v>2</v>
      </c>
      <c r="I106" s="15">
        <v>0</v>
      </c>
      <c r="J106" s="15">
        <v>1</v>
      </c>
      <c r="K106" s="15">
        <v>3</v>
      </c>
      <c r="L106" s="15">
        <v>3</v>
      </c>
      <c r="M106" s="15">
        <v>1</v>
      </c>
      <c r="N106" s="15">
        <v>0</v>
      </c>
      <c r="O106" s="15">
        <v>1</v>
      </c>
      <c r="P106" s="15">
        <v>1</v>
      </c>
      <c r="Q106" s="15">
        <v>2</v>
      </c>
      <c r="R106" s="15">
        <v>4</v>
      </c>
      <c r="S106" s="15">
        <v>3</v>
      </c>
      <c r="T106" s="15">
        <v>2</v>
      </c>
      <c r="U106" s="15">
        <v>4</v>
      </c>
      <c r="V106" s="15">
        <v>5</v>
      </c>
      <c r="W106" s="15">
        <v>1</v>
      </c>
      <c r="X106" s="15">
        <v>7</v>
      </c>
      <c r="Y106" s="15">
        <v>4</v>
      </c>
      <c r="Z106" s="15">
        <v>10</v>
      </c>
      <c r="AA106" s="15">
        <v>17</v>
      </c>
      <c r="AB106" s="15">
        <v>16</v>
      </c>
      <c r="AC106" s="15">
        <v>13</v>
      </c>
      <c r="AD106" s="15">
        <v>23</v>
      </c>
      <c r="AE106" s="15">
        <v>40</v>
      </c>
      <c r="AF106" s="15">
        <v>48</v>
      </c>
      <c r="AG106" s="15">
        <v>59</v>
      </c>
      <c r="AH106" s="15">
        <v>61</v>
      </c>
      <c r="AI106" s="15">
        <v>48</v>
      </c>
      <c r="AJ106" s="15">
        <v>53</v>
      </c>
      <c r="AK106" s="15">
        <v>36</v>
      </c>
      <c r="AL106" s="15">
        <v>51</v>
      </c>
      <c r="AM106" s="15">
        <v>34</v>
      </c>
      <c r="AN106" s="15">
        <v>38</v>
      </c>
      <c r="AO106" s="15">
        <v>18</v>
      </c>
      <c r="AP106" s="15">
        <v>20</v>
      </c>
      <c r="AQ106" s="15">
        <v>12</v>
      </c>
      <c r="AR106" s="15">
        <v>8</v>
      </c>
      <c r="AS106" s="15">
        <v>13</v>
      </c>
      <c r="AT106" s="15">
        <v>4</v>
      </c>
      <c r="AU106" s="15">
        <v>3</v>
      </c>
      <c r="AV106" s="15">
        <v>9</v>
      </c>
      <c r="AW106" s="15">
        <v>8</v>
      </c>
      <c r="AX106" s="15">
        <v>6</v>
      </c>
      <c r="AY106" s="15">
        <v>12</v>
      </c>
      <c r="AZ106" s="15">
        <v>1</v>
      </c>
      <c r="BA106" s="15">
        <v>6</v>
      </c>
      <c r="BB106" s="15">
        <v>4</v>
      </c>
      <c r="BC106" s="15">
        <v>4</v>
      </c>
      <c r="BD106" s="15">
        <v>0</v>
      </c>
    </row>
    <row r="107" spans="1:56" x14ac:dyDescent="0.35">
      <c r="A107" s="14" t="s">
        <v>198</v>
      </c>
      <c r="B107" s="15">
        <v>420</v>
      </c>
      <c r="C107" s="16">
        <v>876.93656825489632</v>
      </c>
      <c r="D107" s="15">
        <v>0</v>
      </c>
      <c r="E107" s="15">
        <v>3</v>
      </c>
      <c r="F107" s="15">
        <v>1</v>
      </c>
      <c r="G107" s="15">
        <v>4</v>
      </c>
      <c r="H107" s="15">
        <v>6</v>
      </c>
      <c r="I107" s="15">
        <v>5</v>
      </c>
      <c r="J107" s="15">
        <v>2</v>
      </c>
      <c r="K107" s="15">
        <v>2</v>
      </c>
      <c r="L107" s="15">
        <v>4</v>
      </c>
      <c r="M107" s="15">
        <v>3</v>
      </c>
      <c r="N107" s="15">
        <v>4</v>
      </c>
      <c r="O107" s="15">
        <v>6</v>
      </c>
      <c r="P107" s="15">
        <v>3</v>
      </c>
      <c r="Q107" s="15">
        <v>0</v>
      </c>
      <c r="R107" s="15">
        <v>0</v>
      </c>
      <c r="S107" s="15">
        <v>4</v>
      </c>
      <c r="T107" s="15">
        <v>1</v>
      </c>
      <c r="U107" s="15">
        <v>4</v>
      </c>
      <c r="V107" s="15">
        <v>11</v>
      </c>
      <c r="W107" s="15">
        <v>4</v>
      </c>
      <c r="X107" s="15">
        <v>6</v>
      </c>
      <c r="Y107" s="15">
        <v>3</v>
      </c>
      <c r="Z107" s="15">
        <v>10</v>
      </c>
      <c r="AA107" s="15">
        <v>6</v>
      </c>
      <c r="AB107" s="15">
        <v>15</v>
      </c>
      <c r="AC107" s="15">
        <v>14</v>
      </c>
      <c r="AD107" s="15">
        <v>10</v>
      </c>
      <c r="AE107" s="15">
        <v>14</v>
      </c>
      <c r="AF107" s="15">
        <v>2</v>
      </c>
      <c r="AG107" s="15">
        <v>13</v>
      </c>
      <c r="AH107" s="15">
        <v>29</v>
      </c>
      <c r="AI107" s="15">
        <v>17</v>
      </c>
      <c r="AJ107" s="15">
        <v>21</v>
      </c>
      <c r="AK107" s="15">
        <v>18</v>
      </c>
      <c r="AL107" s="15">
        <v>26</v>
      </c>
      <c r="AM107" s="15">
        <v>22</v>
      </c>
      <c r="AN107" s="15">
        <v>6</v>
      </c>
      <c r="AO107" s="15">
        <v>0</v>
      </c>
      <c r="AP107" s="15">
        <v>20</v>
      </c>
      <c r="AQ107" s="15">
        <v>26</v>
      </c>
      <c r="AR107" s="15">
        <v>11</v>
      </c>
      <c r="AS107" s="15">
        <v>9</v>
      </c>
      <c r="AT107" s="15">
        <v>4</v>
      </c>
      <c r="AU107" s="15">
        <v>10</v>
      </c>
      <c r="AV107" s="15">
        <v>9</v>
      </c>
      <c r="AW107" s="15">
        <v>5</v>
      </c>
      <c r="AX107" s="15">
        <v>7</v>
      </c>
      <c r="AY107" s="15">
        <v>5</v>
      </c>
      <c r="AZ107" s="15">
        <v>10</v>
      </c>
      <c r="BA107" s="15">
        <v>5</v>
      </c>
      <c r="BB107" s="15">
        <v>0</v>
      </c>
      <c r="BC107" s="15">
        <v>0</v>
      </c>
      <c r="BD107" s="15">
        <v>0</v>
      </c>
    </row>
    <row r="108" spans="1:56" x14ac:dyDescent="0.35">
      <c r="A108" s="14" t="s">
        <v>199</v>
      </c>
      <c r="B108" s="15">
        <v>813</v>
      </c>
      <c r="C108" s="16">
        <v>1402.8851463279957</v>
      </c>
      <c r="D108" s="15">
        <v>12</v>
      </c>
      <c r="E108" s="15">
        <v>5</v>
      </c>
      <c r="F108" s="15">
        <v>4</v>
      </c>
      <c r="G108" s="15">
        <v>2</v>
      </c>
      <c r="H108" s="15">
        <v>2</v>
      </c>
      <c r="I108" s="15">
        <v>3</v>
      </c>
      <c r="J108" s="15">
        <v>5</v>
      </c>
      <c r="K108" s="15">
        <v>2</v>
      </c>
      <c r="L108" s="15">
        <v>3</v>
      </c>
      <c r="M108" s="15">
        <v>2</v>
      </c>
      <c r="N108" s="15">
        <v>3</v>
      </c>
      <c r="O108" s="15">
        <v>2</v>
      </c>
      <c r="P108" s="15">
        <v>2</v>
      </c>
      <c r="Q108" s="15">
        <v>3</v>
      </c>
      <c r="R108" s="15">
        <v>2</v>
      </c>
      <c r="S108" s="15">
        <v>3</v>
      </c>
      <c r="T108" s="15">
        <v>3</v>
      </c>
      <c r="U108" s="15">
        <v>4</v>
      </c>
      <c r="V108" s="15">
        <v>6</v>
      </c>
      <c r="W108" s="15">
        <v>5</v>
      </c>
      <c r="X108" s="15">
        <v>6</v>
      </c>
      <c r="Y108" s="15">
        <v>2</v>
      </c>
      <c r="Z108" s="15">
        <v>2</v>
      </c>
      <c r="AA108" s="15">
        <v>4</v>
      </c>
      <c r="AB108" s="15">
        <v>2</v>
      </c>
      <c r="AC108" s="15">
        <v>5</v>
      </c>
      <c r="AD108" s="15">
        <v>4</v>
      </c>
      <c r="AE108" s="15">
        <v>6</v>
      </c>
      <c r="AF108" s="15">
        <v>13</v>
      </c>
      <c r="AG108" s="15">
        <v>6</v>
      </c>
      <c r="AH108" s="15">
        <v>12</v>
      </c>
      <c r="AI108" s="15">
        <v>5</v>
      </c>
      <c r="AJ108" s="15">
        <v>16</v>
      </c>
      <c r="AK108" s="15">
        <v>38</v>
      </c>
      <c r="AL108" s="15">
        <v>39</v>
      </c>
      <c r="AM108" s="15">
        <v>50</v>
      </c>
      <c r="AN108" s="15">
        <v>28</v>
      </c>
      <c r="AO108" s="15">
        <v>45</v>
      </c>
      <c r="AP108" s="15">
        <v>47</v>
      </c>
      <c r="AQ108" s="15">
        <v>60</v>
      </c>
      <c r="AR108" s="15">
        <v>33</v>
      </c>
      <c r="AS108" s="15">
        <v>33</v>
      </c>
      <c r="AT108" s="15">
        <v>24</v>
      </c>
      <c r="AU108" s="15">
        <v>38</v>
      </c>
      <c r="AV108" s="15">
        <v>34</v>
      </c>
      <c r="AW108" s="15">
        <v>34</v>
      </c>
      <c r="AX108" s="15">
        <v>30</v>
      </c>
      <c r="AY108" s="15">
        <v>36</v>
      </c>
      <c r="AZ108" s="15">
        <v>26</v>
      </c>
      <c r="BA108" s="15">
        <v>33</v>
      </c>
      <c r="BB108" s="15">
        <v>13</v>
      </c>
      <c r="BC108" s="15">
        <v>16</v>
      </c>
      <c r="BD108" s="15">
        <v>0</v>
      </c>
    </row>
    <row r="109" spans="1:56" x14ac:dyDescent="0.35">
      <c r="A109" s="14"/>
      <c r="B109" s="12"/>
      <c r="C109" s="13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  <c r="BC109" s="2"/>
      <c r="BD109" s="2"/>
    </row>
    <row r="110" spans="1:56" x14ac:dyDescent="0.35">
      <c r="A110" s="14" t="s">
        <v>98</v>
      </c>
      <c r="B110" s="10">
        <v>0</v>
      </c>
      <c r="C110" s="13"/>
      <c r="D110" s="15">
        <v>0</v>
      </c>
      <c r="E110" s="15">
        <v>0</v>
      </c>
      <c r="F110" s="15">
        <v>0</v>
      </c>
      <c r="G110" s="15">
        <v>0</v>
      </c>
      <c r="H110" s="15">
        <v>0</v>
      </c>
      <c r="I110" s="15">
        <v>0</v>
      </c>
      <c r="J110" s="15">
        <v>0</v>
      </c>
      <c r="K110" s="15">
        <v>0</v>
      </c>
      <c r="L110" s="15">
        <v>0</v>
      </c>
      <c r="M110" s="15">
        <v>0</v>
      </c>
      <c r="N110" s="15">
        <v>0</v>
      </c>
      <c r="O110" s="15">
        <v>0</v>
      </c>
      <c r="P110" s="15">
        <v>0</v>
      </c>
      <c r="Q110" s="15">
        <v>0</v>
      </c>
      <c r="R110" s="15">
        <v>0</v>
      </c>
      <c r="S110" s="15">
        <v>0</v>
      </c>
      <c r="T110" s="15">
        <v>0</v>
      </c>
      <c r="U110" s="15">
        <v>0</v>
      </c>
      <c r="V110" s="15">
        <v>0</v>
      </c>
      <c r="W110" s="15">
        <v>0</v>
      </c>
      <c r="X110" s="15">
        <v>0</v>
      </c>
      <c r="Y110" s="15">
        <v>0</v>
      </c>
      <c r="Z110" s="15">
        <v>0</v>
      </c>
      <c r="AA110" s="15">
        <v>0</v>
      </c>
      <c r="AB110" s="15">
        <v>0</v>
      </c>
      <c r="AC110" s="15">
        <v>0</v>
      </c>
      <c r="AD110" s="15">
        <v>0</v>
      </c>
      <c r="AE110" s="15">
        <v>0</v>
      </c>
      <c r="AF110" s="15">
        <v>0</v>
      </c>
      <c r="AG110" s="15">
        <v>0</v>
      </c>
      <c r="AH110" s="15">
        <v>0</v>
      </c>
      <c r="AI110" s="15">
        <v>0</v>
      </c>
      <c r="AJ110" s="15">
        <v>0</v>
      </c>
      <c r="AK110" s="15">
        <v>0</v>
      </c>
      <c r="AL110" s="15">
        <v>0</v>
      </c>
      <c r="AM110" s="15">
        <v>0</v>
      </c>
      <c r="AN110" s="15">
        <v>0</v>
      </c>
      <c r="AO110" s="15">
        <v>0</v>
      </c>
      <c r="AP110" s="15">
        <v>0</v>
      </c>
      <c r="AQ110" s="15">
        <v>0</v>
      </c>
      <c r="AR110" s="15">
        <v>0</v>
      </c>
      <c r="AS110" s="15">
        <v>0</v>
      </c>
      <c r="AT110" s="15">
        <v>0</v>
      </c>
      <c r="AU110" s="15">
        <v>0</v>
      </c>
      <c r="AV110" s="15">
        <v>0</v>
      </c>
      <c r="AW110" s="15">
        <v>0</v>
      </c>
      <c r="AX110" s="15">
        <v>0</v>
      </c>
      <c r="AY110" s="15">
        <v>0</v>
      </c>
      <c r="AZ110" s="15">
        <v>0</v>
      </c>
      <c r="BA110" s="15">
        <v>0</v>
      </c>
      <c r="BB110" s="15">
        <v>0</v>
      </c>
      <c r="BC110" s="15">
        <v>0</v>
      </c>
      <c r="BD110" s="15">
        <v>0</v>
      </c>
    </row>
    <row r="111" spans="1:56" x14ac:dyDescent="0.35">
      <c r="A111" s="14" t="s">
        <v>99</v>
      </c>
      <c r="B111" s="10">
        <v>0</v>
      </c>
      <c r="C111" s="13"/>
      <c r="D111" s="15">
        <v>0</v>
      </c>
      <c r="E111" s="15">
        <v>0</v>
      </c>
      <c r="F111" s="15">
        <v>0</v>
      </c>
      <c r="G111" s="15">
        <v>0</v>
      </c>
      <c r="H111" s="15">
        <v>0</v>
      </c>
      <c r="I111" s="15">
        <v>0</v>
      </c>
      <c r="J111" s="15">
        <v>0</v>
      </c>
      <c r="K111" s="15">
        <v>0</v>
      </c>
      <c r="L111" s="15">
        <v>0</v>
      </c>
      <c r="M111" s="15">
        <v>0</v>
      </c>
      <c r="N111" s="15">
        <v>0</v>
      </c>
      <c r="O111" s="15">
        <v>0</v>
      </c>
      <c r="P111" s="15">
        <v>0</v>
      </c>
      <c r="Q111" s="15">
        <v>0</v>
      </c>
      <c r="R111" s="15">
        <v>0</v>
      </c>
      <c r="S111" s="15">
        <v>0</v>
      </c>
      <c r="T111" s="15">
        <v>0</v>
      </c>
      <c r="U111" s="15">
        <v>0</v>
      </c>
      <c r="V111" s="15">
        <v>0</v>
      </c>
      <c r="W111" s="15">
        <v>0</v>
      </c>
      <c r="X111" s="15">
        <v>0</v>
      </c>
      <c r="Y111" s="15">
        <v>0</v>
      </c>
      <c r="Z111" s="15">
        <v>0</v>
      </c>
      <c r="AA111" s="15">
        <v>0</v>
      </c>
      <c r="AB111" s="15">
        <v>0</v>
      </c>
      <c r="AC111" s="15">
        <v>0</v>
      </c>
      <c r="AD111" s="15">
        <v>0</v>
      </c>
      <c r="AE111" s="15">
        <v>0</v>
      </c>
      <c r="AF111" s="15">
        <v>0</v>
      </c>
      <c r="AG111" s="15">
        <v>0</v>
      </c>
      <c r="AH111" s="15">
        <v>0</v>
      </c>
      <c r="AI111" s="15">
        <v>0</v>
      </c>
      <c r="AJ111" s="15">
        <v>0</v>
      </c>
      <c r="AK111" s="15">
        <v>0</v>
      </c>
      <c r="AL111" s="15">
        <v>0</v>
      </c>
      <c r="AM111" s="15">
        <v>0</v>
      </c>
      <c r="AN111" s="15">
        <v>0</v>
      </c>
      <c r="AO111" s="15">
        <v>0</v>
      </c>
      <c r="AP111" s="15">
        <v>0</v>
      </c>
      <c r="AQ111" s="15">
        <v>0</v>
      </c>
      <c r="AR111" s="15">
        <v>0</v>
      </c>
      <c r="AS111" s="15">
        <v>0</v>
      </c>
      <c r="AT111" s="15">
        <v>0</v>
      </c>
      <c r="AU111" s="15">
        <v>0</v>
      </c>
      <c r="AV111" s="15">
        <v>0</v>
      </c>
      <c r="AW111" s="15">
        <v>0</v>
      </c>
      <c r="AX111" s="15">
        <v>0</v>
      </c>
      <c r="AY111" s="15">
        <v>0</v>
      </c>
      <c r="AZ111" s="15">
        <v>0</v>
      </c>
      <c r="BA111" s="15">
        <v>0</v>
      </c>
      <c r="BB111" s="15">
        <v>0</v>
      </c>
      <c r="BC111" s="15">
        <v>0</v>
      </c>
      <c r="BD111" s="15">
        <v>0</v>
      </c>
    </row>
    <row r="112" spans="1:56" x14ac:dyDescent="0.35">
      <c r="A112" s="17" t="s">
        <v>100</v>
      </c>
      <c r="B112" s="18"/>
      <c r="C112" s="18"/>
      <c r="D112" s="18"/>
      <c r="E112" s="18"/>
      <c r="F112" s="18"/>
      <c r="G112" s="18"/>
      <c r="H112" s="18"/>
      <c r="I112" s="18"/>
      <c r="J112" s="18"/>
      <c r="K112" s="18"/>
      <c r="L112" s="18"/>
      <c r="M112" s="18"/>
      <c r="N112" s="18"/>
      <c r="O112" s="18"/>
      <c r="P112" s="18"/>
      <c r="Q112" s="18"/>
      <c r="R112" s="18"/>
      <c r="S112" s="18"/>
      <c r="T112" s="18"/>
      <c r="U112" s="18"/>
      <c r="V112" s="18"/>
      <c r="W112" s="18"/>
      <c r="X112" s="18"/>
      <c r="Y112" s="18"/>
      <c r="Z112" s="18"/>
      <c r="AA112" s="18"/>
      <c r="AB112" s="18"/>
      <c r="AC112" s="18"/>
      <c r="AD112" s="18"/>
      <c r="AE112" s="18"/>
      <c r="AF112" s="18"/>
      <c r="AG112" s="18"/>
      <c r="AH112" s="18"/>
      <c r="AI112" s="18"/>
      <c r="AJ112" s="18"/>
      <c r="AK112" s="18"/>
      <c r="AL112" s="18"/>
      <c r="AM112" s="18"/>
      <c r="AN112" s="18"/>
      <c r="AO112" s="18"/>
      <c r="AP112" s="18"/>
      <c r="AQ112" s="18"/>
      <c r="AR112" s="18"/>
      <c r="AS112" s="18"/>
      <c r="AT112" s="18"/>
      <c r="AU112" s="18"/>
      <c r="AV112" s="18"/>
      <c r="AW112" s="18"/>
      <c r="AX112" s="18"/>
      <c r="AY112" s="18"/>
      <c r="AZ112" s="18"/>
      <c r="BA112" s="18"/>
      <c r="BB112" s="18"/>
      <c r="BC112" s="18"/>
      <c r="BD112" s="18"/>
    </row>
    <row r="113" spans="1:56" x14ac:dyDescent="0.35">
      <c r="A113" s="14" t="s">
        <v>103</v>
      </c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/>
      <c r="BB113" s="2"/>
      <c r="BC113" s="2"/>
      <c r="BD113" s="2"/>
    </row>
    <row r="114" spans="1:56" x14ac:dyDescent="0.35">
      <c r="A114" s="14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2"/>
      <c r="BC114" s="2"/>
      <c r="BD114" s="2"/>
    </row>
    <row r="115" spans="1:56" x14ac:dyDescent="0.35">
      <c r="A115" s="14" t="s">
        <v>308</v>
      </c>
      <c r="B115">
        <f>B89+B100</f>
        <v>2709</v>
      </c>
      <c r="C115" t="s">
        <v>106</v>
      </c>
      <c r="D115">
        <f t="shared" ref="C115:BD115" si="0">D89+D100</f>
        <v>2</v>
      </c>
      <c r="E115">
        <f t="shared" si="0"/>
        <v>1</v>
      </c>
      <c r="F115">
        <f t="shared" si="0"/>
        <v>2</v>
      </c>
      <c r="G115">
        <f t="shared" si="0"/>
        <v>3</v>
      </c>
      <c r="H115">
        <f t="shared" si="0"/>
        <v>1</v>
      </c>
      <c r="I115">
        <f t="shared" si="0"/>
        <v>1</v>
      </c>
      <c r="J115">
        <f t="shared" si="0"/>
        <v>1</v>
      </c>
      <c r="K115">
        <f t="shared" si="0"/>
        <v>6</v>
      </c>
      <c r="L115">
        <f t="shared" si="0"/>
        <v>3</v>
      </c>
      <c r="M115">
        <f t="shared" si="0"/>
        <v>2</v>
      </c>
      <c r="N115">
        <f t="shared" si="0"/>
        <v>1</v>
      </c>
      <c r="O115">
        <f t="shared" si="0"/>
        <v>1</v>
      </c>
      <c r="P115">
        <f t="shared" si="0"/>
        <v>2</v>
      </c>
      <c r="Q115">
        <f t="shared" si="0"/>
        <v>0</v>
      </c>
      <c r="R115">
        <f t="shared" si="0"/>
        <v>3</v>
      </c>
      <c r="S115">
        <f t="shared" si="0"/>
        <v>0</v>
      </c>
      <c r="T115">
        <f t="shared" si="0"/>
        <v>3</v>
      </c>
      <c r="U115">
        <f t="shared" si="0"/>
        <v>4</v>
      </c>
      <c r="V115">
        <f t="shared" si="0"/>
        <v>5</v>
      </c>
      <c r="W115">
        <f t="shared" si="0"/>
        <v>5</v>
      </c>
      <c r="X115">
        <f t="shared" si="0"/>
        <v>7</v>
      </c>
      <c r="Y115">
        <f t="shared" si="0"/>
        <v>8</v>
      </c>
      <c r="Z115">
        <f t="shared" si="0"/>
        <v>8</v>
      </c>
      <c r="AA115">
        <f t="shared" si="0"/>
        <v>20</v>
      </c>
      <c r="AB115">
        <f t="shared" si="0"/>
        <v>8</v>
      </c>
      <c r="AC115">
        <f t="shared" si="0"/>
        <v>25</v>
      </c>
      <c r="AD115">
        <f t="shared" si="0"/>
        <v>32</v>
      </c>
      <c r="AE115">
        <f t="shared" si="0"/>
        <v>38</v>
      </c>
      <c r="AF115">
        <f t="shared" si="0"/>
        <v>37</v>
      </c>
      <c r="AG115">
        <f t="shared" si="0"/>
        <v>43</v>
      </c>
      <c r="AH115">
        <f t="shared" si="0"/>
        <v>72</v>
      </c>
      <c r="AI115">
        <f t="shared" si="0"/>
        <v>65</v>
      </c>
      <c r="AJ115">
        <f t="shared" si="0"/>
        <v>73</v>
      </c>
      <c r="AK115">
        <f t="shared" si="0"/>
        <v>70</v>
      </c>
      <c r="AL115">
        <f t="shared" si="0"/>
        <v>58</v>
      </c>
      <c r="AM115">
        <f t="shared" si="0"/>
        <v>74</v>
      </c>
      <c r="AN115">
        <f t="shared" si="0"/>
        <v>66</v>
      </c>
      <c r="AO115">
        <f t="shared" si="0"/>
        <v>105</v>
      </c>
      <c r="AP115">
        <f t="shared" si="0"/>
        <v>119</v>
      </c>
      <c r="AQ115">
        <f t="shared" si="0"/>
        <v>141</v>
      </c>
      <c r="AR115">
        <f t="shared" si="0"/>
        <v>157</v>
      </c>
      <c r="AS115">
        <f t="shared" si="0"/>
        <v>142</v>
      </c>
      <c r="AT115">
        <f t="shared" si="0"/>
        <v>152</v>
      </c>
      <c r="AU115">
        <f t="shared" si="0"/>
        <v>156</v>
      </c>
      <c r="AV115">
        <f t="shared" si="0"/>
        <v>178</v>
      </c>
      <c r="AW115">
        <f t="shared" si="0"/>
        <v>168</v>
      </c>
      <c r="AX115">
        <f t="shared" si="0"/>
        <v>140</v>
      </c>
      <c r="AY115">
        <f t="shared" si="0"/>
        <v>106</v>
      </c>
      <c r="AZ115">
        <f t="shared" si="0"/>
        <v>143</v>
      </c>
      <c r="BA115">
        <f t="shared" si="0"/>
        <v>117</v>
      </c>
      <c r="BB115">
        <f t="shared" si="0"/>
        <v>76</v>
      </c>
      <c r="BC115">
        <f t="shared" si="0"/>
        <v>59</v>
      </c>
      <c r="BD115">
        <f t="shared" si="0"/>
        <v>0</v>
      </c>
    </row>
    <row r="116" spans="1:56" x14ac:dyDescent="0.35">
      <c r="A116" s="14"/>
      <c r="B116" s="99"/>
    </row>
  </sheetData>
  <mergeCells count="58">
    <mergeCell ref="BD8:BD9"/>
    <mergeCell ref="AS8:AS9"/>
    <mergeCell ref="AT8:AT9"/>
    <mergeCell ref="AU8:AU9"/>
    <mergeCell ref="AV8:AV9"/>
    <mergeCell ref="AW8:AW9"/>
    <mergeCell ref="AX8:AX9"/>
    <mergeCell ref="AY8:AY9"/>
    <mergeCell ref="AZ8:AZ9"/>
    <mergeCell ref="BA8:BA9"/>
    <mergeCell ref="BB8:BB9"/>
    <mergeCell ref="BC8:BC9"/>
    <mergeCell ref="AR8:AR9"/>
    <mergeCell ref="AG8:AG9"/>
    <mergeCell ref="AH8:AH9"/>
    <mergeCell ref="AI8:AI9"/>
    <mergeCell ref="AJ8:AJ9"/>
    <mergeCell ref="AK8:AK9"/>
    <mergeCell ref="AL8:AL9"/>
    <mergeCell ref="AM8:AM9"/>
    <mergeCell ref="AN8:AN9"/>
    <mergeCell ref="AO8:AO9"/>
    <mergeCell ref="AP8:AP9"/>
    <mergeCell ref="AQ8:AQ9"/>
    <mergeCell ref="S8:S9"/>
    <mergeCell ref="AF8:AF9"/>
    <mergeCell ref="U8:U9"/>
    <mergeCell ref="V8:V9"/>
    <mergeCell ref="W8:W9"/>
    <mergeCell ref="X8:X9"/>
    <mergeCell ref="Y8:Y9"/>
    <mergeCell ref="Z8:Z9"/>
    <mergeCell ref="AA8:AA9"/>
    <mergeCell ref="AB8:AB9"/>
    <mergeCell ref="AC8:AC9"/>
    <mergeCell ref="AD8:AD9"/>
    <mergeCell ref="AE8:AE9"/>
    <mergeCell ref="N8:N9"/>
    <mergeCell ref="O8:O9"/>
    <mergeCell ref="P8:P9"/>
    <mergeCell ref="Q8:Q9"/>
    <mergeCell ref="R8:R9"/>
    <mergeCell ref="A7:A9"/>
    <mergeCell ref="B7:C7"/>
    <mergeCell ref="D7:BD7"/>
    <mergeCell ref="B8:B9"/>
    <mergeCell ref="C8:C9"/>
    <mergeCell ref="D8:D9"/>
    <mergeCell ref="E8:E9"/>
    <mergeCell ref="F8:F9"/>
    <mergeCell ref="G8:G9"/>
    <mergeCell ref="H8:H9"/>
    <mergeCell ref="T8:T9"/>
    <mergeCell ref="I8:I9"/>
    <mergeCell ref="J8:J9"/>
    <mergeCell ref="K8:K9"/>
    <mergeCell ref="L8:L9"/>
    <mergeCell ref="M8:M9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F82F3B-1FFD-41AE-BCC1-062F15C5C18B}">
  <dimension ref="A1:BD117"/>
  <sheetViews>
    <sheetView topLeftCell="A112" workbookViewId="0">
      <selection activeCell="B117" sqref="B117:BD117"/>
    </sheetView>
  </sheetViews>
  <sheetFormatPr baseColWidth="10" defaultColWidth="11.453125" defaultRowHeight="14.5" x14ac:dyDescent="0.35"/>
  <cols>
    <col min="1" max="1" width="21.1796875" customWidth="1"/>
  </cols>
  <sheetData>
    <row r="1" spans="1:56" x14ac:dyDescent="0.35">
      <c r="A1" s="1"/>
      <c r="B1" s="2"/>
      <c r="C1" s="3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</row>
    <row r="2" spans="1:56" x14ac:dyDescent="0.35">
      <c r="A2" s="1" t="s">
        <v>0</v>
      </c>
      <c r="B2" s="2"/>
      <c r="C2" s="3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</row>
    <row r="3" spans="1:56" x14ac:dyDescent="0.35">
      <c r="A3" s="1" t="s">
        <v>1</v>
      </c>
      <c r="B3" s="2"/>
      <c r="C3" s="3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</row>
    <row r="4" spans="1:56" x14ac:dyDescent="0.35">
      <c r="A4" s="4" t="s">
        <v>2</v>
      </c>
      <c r="B4" s="2"/>
      <c r="C4" s="3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  <c r="AU4" s="2"/>
      <c r="AV4" s="2"/>
      <c r="AW4" s="2"/>
      <c r="AX4" s="2"/>
      <c r="AY4" s="2"/>
      <c r="AZ4" s="2"/>
      <c r="BA4" s="2"/>
      <c r="BB4" s="2"/>
      <c r="BC4" s="2"/>
      <c r="BD4" s="2"/>
    </row>
    <row r="5" spans="1:56" x14ac:dyDescent="0.35">
      <c r="A5" s="1" t="s">
        <v>200</v>
      </c>
      <c r="B5" s="2"/>
      <c r="C5" s="3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  <c r="AN5" s="2"/>
      <c r="AO5" s="2"/>
      <c r="AP5" s="2"/>
      <c r="AQ5" s="2"/>
      <c r="AR5" s="2"/>
      <c r="AS5" s="2"/>
      <c r="AT5" s="2"/>
      <c r="AU5" s="2"/>
      <c r="AV5" s="2"/>
      <c r="AW5" s="2"/>
      <c r="AX5" s="2"/>
      <c r="AY5" s="2"/>
      <c r="AZ5" s="2"/>
      <c r="BA5" s="2"/>
      <c r="BB5" s="2"/>
      <c r="BC5" s="2"/>
      <c r="BD5" s="2"/>
    </row>
    <row r="6" spans="1:56" x14ac:dyDescent="0.35">
      <c r="A6" s="5"/>
      <c r="B6" s="6"/>
      <c r="C6" s="7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  <c r="AM6" s="2"/>
      <c r="AN6" s="2"/>
      <c r="AO6" s="2"/>
      <c r="AP6" s="2"/>
      <c r="AQ6" s="2"/>
      <c r="AR6" s="2"/>
      <c r="AS6" s="2"/>
      <c r="AT6" s="2"/>
      <c r="AU6" s="2"/>
      <c r="AV6" s="2"/>
      <c r="AW6" s="2"/>
      <c r="AX6" s="2"/>
      <c r="AY6" s="2"/>
      <c r="AZ6" s="2"/>
      <c r="BA6" s="2"/>
      <c r="BB6" s="2"/>
      <c r="BC6" s="2"/>
      <c r="BD6" s="2"/>
    </row>
    <row r="7" spans="1:56" x14ac:dyDescent="0.35">
      <c r="A7" s="77" t="s">
        <v>4</v>
      </c>
      <c r="B7" s="80" t="s">
        <v>5</v>
      </c>
      <c r="C7" s="80"/>
      <c r="D7" s="81" t="s">
        <v>6</v>
      </c>
      <c r="E7" s="81"/>
      <c r="F7" s="81"/>
      <c r="G7" s="81"/>
      <c r="H7" s="81"/>
      <c r="I7" s="81"/>
      <c r="J7" s="81"/>
      <c r="K7" s="81"/>
      <c r="L7" s="81"/>
      <c r="M7" s="81"/>
      <c r="N7" s="81"/>
      <c r="O7" s="81"/>
      <c r="P7" s="81"/>
      <c r="Q7" s="81"/>
      <c r="R7" s="81"/>
      <c r="S7" s="81"/>
      <c r="T7" s="81"/>
      <c r="U7" s="81"/>
      <c r="V7" s="81"/>
      <c r="W7" s="81"/>
      <c r="X7" s="81"/>
      <c r="Y7" s="81"/>
      <c r="Z7" s="81"/>
      <c r="AA7" s="81"/>
      <c r="AB7" s="81"/>
      <c r="AC7" s="81"/>
      <c r="AD7" s="81"/>
      <c r="AE7" s="81"/>
      <c r="AF7" s="81"/>
      <c r="AG7" s="81"/>
      <c r="AH7" s="81"/>
      <c r="AI7" s="81"/>
      <c r="AJ7" s="81"/>
      <c r="AK7" s="81"/>
      <c r="AL7" s="81"/>
      <c r="AM7" s="81"/>
      <c r="AN7" s="81"/>
      <c r="AO7" s="81"/>
      <c r="AP7" s="81"/>
      <c r="AQ7" s="81"/>
      <c r="AR7" s="81"/>
      <c r="AS7" s="81"/>
      <c r="AT7" s="81"/>
      <c r="AU7" s="81"/>
      <c r="AV7" s="81"/>
      <c r="AW7" s="81"/>
      <c r="AX7" s="81"/>
      <c r="AY7" s="81"/>
      <c r="AZ7" s="81"/>
      <c r="BA7" s="81"/>
      <c r="BB7" s="81"/>
      <c r="BC7" s="81"/>
      <c r="BD7" s="81"/>
    </row>
    <row r="8" spans="1:56" x14ac:dyDescent="0.35">
      <c r="A8" s="78"/>
      <c r="B8" s="82" t="s">
        <v>7</v>
      </c>
      <c r="C8" s="84" t="s">
        <v>8</v>
      </c>
      <c r="D8" s="75">
        <v>1</v>
      </c>
      <c r="E8" s="75">
        <v>2</v>
      </c>
      <c r="F8" s="75">
        <v>3</v>
      </c>
      <c r="G8" s="75">
        <v>4</v>
      </c>
      <c r="H8" s="75">
        <v>5</v>
      </c>
      <c r="I8" s="75">
        <v>6</v>
      </c>
      <c r="J8" s="75">
        <v>7</v>
      </c>
      <c r="K8" s="75">
        <v>8</v>
      </c>
      <c r="L8" s="75">
        <v>9</v>
      </c>
      <c r="M8" s="75">
        <v>10</v>
      </c>
      <c r="N8" s="75">
        <v>11</v>
      </c>
      <c r="O8" s="75">
        <v>12</v>
      </c>
      <c r="P8" s="75">
        <v>13</v>
      </c>
      <c r="Q8" s="75">
        <v>14</v>
      </c>
      <c r="R8" s="75">
        <v>15</v>
      </c>
      <c r="S8" s="75">
        <v>16</v>
      </c>
      <c r="T8" s="75">
        <v>17</v>
      </c>
      <c r="U8" s="75">
        <v>18</v>
      </c>
      <c r="V8" s="75">
        <v>19</v>
      </c>
      <c r="W8" s="75">
        <v>20</v>
      </c>
      <c r="X8" s="75">
        <v>21</v>
      </c>
      <c r="Y8" s="75">
        <v>22</v>
      </c>
      <c r="Z8" s="75">
        <v>23</v>
      </c>
      <c r="AA8" s="75">
        <v>24</v>
      </c>
      <c r="AB8" s="75">
        <v>25</v>
      </c>
      <c r="AC8" s="75">
        <v>26</v>
      </c>
      <c r="AD8" s="75">
        <v>27</v>
      </c>
      <c r="AE8" s="75">
        <v>28</v>
      </c>
      <c r="AF8" s="75">
        <v>29</v>
      </c>
      <c r="AG8" s="75">
        <v>30</v>
      </c>
      <c r="AH8" s="75">
        <v>31</v>
      </c>
      <c r="AI8" s="75">
        <v>32</v>
      </c>
      <c r="AJ8" s="75">
        <v>33</v>
      </c>
      <c r="AK8" s="75">
        <v>34</v>
      </c>
      <c r="AL8" s="75">
        <v>35</v>
      </c>
      <c r="AM8" s="75">
        <v>36</v>
      </c>
      <c r="AN8" s="75">
        <v>37</v>
      </c>
      <c r="AO8" s="75">
        <v>38</v>
      </c>
      <c r="AP8" s="75">
        <v>39</v>
      </c>
      <c r="AQ8" s="75">
        <v>40</v>
      </c>
      <c r="AR8" s="75">
        <v>41</v>
      </c>
      <c r="AS8" s="75">
        <v>42</v>
      </c>
      <c r="AT8" s="75">
        <v>43</v>
      </c>
      <c r="AU8" s="75">
        <v>44</v>
      </c>
      <c r="AV8" s="75">
        <v>45</v>
      </c>
      <c r="AW8" s="75">
        <v>46</v>
      </c>
      <c r="AX8" s="75">
        <v>47</v>
      </c>
      <c r="AY8" s="75">
        <v>48</v>
      </c>
      <c r="AZ8" s="75">
        <v>49</v>
      </c>
      <c r="BA8" s="75">
        <v>50</v>
      </c>
      <c r="BB8" s="75">
        <v>51</v>
      </c>
      <c r="BC8" s="75">
        <v>52</v>
      </c>
      <c r="BD8" s="75">
        <v>53</v>
      </c>
    </row>
    <row r="9" spans="1:56" x14ac:dyDescent="0.35">
      <c r="A9" s="79"/>
      <c r="B9" s="83"/>
      <c r="C9" s="85"/>
      <c r="D9" s="76"/>
      <c r="E9" s="76"/>
      <c r="F9" s="76"/>
      <c r="G9" s="76"/>
      <c r="H9" s="76"/>
      <c r="I9" s="76"/>
      <c r="J9" s="76"/>
      <c r="K9" s="76"/>
      <c r="L9" s="76"/>
      <c r="M9" s="76"/>
      <c r="N9" s="76"/>
      <c r="O9" s="76"/>
      <c r="P9" s="76"/>
      <c r="Q9" s="76"/>
      <c r="R9" s="76"/>
      <c r="S9" s="76"/>
      <c r="T9" s="76"/>
      <c r="U9" s="76"/>
      <c r="V9" s="76"/>
      <c r="W9" s="76"/>
      <c r="X9" s="76"/>
      <c r="Y9" s="76"/>
      <c r="Z9" s="76"/>
      <c r="AA9" s="76"/>
      <c r="AB9" s="76"/>
      <c r="AC9" s="76"/>
      <c r="AD9" s="76"/>
      <c r="AE9" s="76"/>
      <c r="AF9" s="76"/>
      <c r="AG9" s="76"/>
      <c r="AH9" s="76"/>
      <c r="AI9" s="76"/>
      <c r="AJ9" s="76"/>
      <c r="AK9" s="76"/>
      <c r="AL9" s="76"/>
      <c r="AM9" s="76"/>
      <c r="AN9" s="76"/>
      <c r="AO9" s="76"/>
      <c r="AP9" s="76"/>
      <c r="AQ9" s="76"/>
      <c r="AR9" s="76"/>
      <c r="AS9" s="76"/>
      <c r="AT9" s="76"/>
      <c r="AU9" s="76"/>
      <c r="AV9" s="76"/>
      <c r="AW9" s="76"/>
      <c r="AX9" s="76"/>
      <c r="AY9" s="76"/>
      <c r="AZ9" s="76"/>
      <c r="BA9" s="76"/>
      <c r="BB9" s="76"/>
      <c r="BC9" s="76"/>
      <c r="BD9" s="76"/>
    </row>
    <row r="10" spans="1:56" x14ac:dyDescent="0.35">
      <c r="A10" s="8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2"/>
      <c r="AL10" s="2"/>
      <c r="AM10" s="2"/>
      <c r="AN10" s="2"/>
      <c r="AO10" s="2"/>
      <c r="AP10" s="2"/>
      <c r="AQ10" s="2"/>
      <c r="AR10" s="2"/>
      <c r="AS10" s="2"/>
      <c r="AT10" s="2"/>
      <c r="AU10" s="2"/>
      <c r="AV10" s="2"/>
      <c r="AW10" s="2"/>
      <c r="AX10" s="2"/>
      <c r="AY10" s="2"/>
      <c r="AZ10" s="2"/>
      <c r="BA10" s="2"/>
      <c r="BB10" s="2"/>
      <c r="BC10" s="2"/>
      <c r="BD10" s="2"/>
    </row>
    <row r="11" spans="1:56" x14ac:dyDescent="0.35">
      <c r="A11" s="9" t="s">
        <v>9</v>
      </c>
      <c r="B11" s="10">
        <v>30806</v>
      </c>
      <c r="C11" s="11">
        <v>580.19163311909972</v>
      </c>
      <c r="D11" s="10">
        <v>846</v>
      </c>
      <c r="E11" s="10">
        <v>732</v>
      </c>
      <c r="F11" s="10">
        <v>641</v>
      </c>
      <c r="G11" s="10">
        <v>629</v>
      </c>
      <c r="H11" s="10">
        <v>567</v>
      </c>
      <c r="I11" s="10">
        <v>473</v>
      </c>
      <c r="J11" s="10">
        <v>421</v>
      </c>
      <c r="K11" s="10">
        <v>400</v>
      </c>
      <c r="L11" s="10">
        <v>340</v>
      </c>
      <c r="M11" s="10">
        <v>288</v>
      </c>
      <c r="N11" s="10">
        <v>256</v>
      </c>
      <c r="O11" s="10">
        <v>238</v>
      </c>
      <c r="P11" s="10">
        <v>177</v>
      </c>
      <c r="Q11" s="10">
        <v>247</v>
      </c>
      <c r="R11" s="10">
        <v>215</v>
      </c>
      <c r="S11" s="10">
        <v>214</v>
      </c>
      <c r="T11" s="10">
        <v>215</v>
      </c>
      <c r="U11" s="10">
        <v>222</v>
      </c>
      <c r="V11" s="10">
        <v>285</v>
      </c>
      <c r="W11" s="10">
        <v>279</v>
      </c>
      <c r="X11" s="10">
        <v>363</v>
      </c>
      <c r="Y11" s="10">
        <v>488</v>
      </c>
      <c r="Z11" s="10">
        <v>636</v>
      </c>
      <c r="AA11" s="10">
        <v>645</v>
      </c>
      <c r="AB11" s="10">
        <v>789</v>
      </c>
      <c r="AC11" s="10">
        <v>729</v>
      </c>
      <c r="AD11" s="10">
        <v>735</v>
      </c>
      <c r="AE11" s="10">
        <v>764</v>
      </c>
      <c r="AF11" s="10">
        <v>1060</v>
      </c>
      <c r="AG11" s="10">
        <v>996</v>
      </c>
      <c r="AH11" s="10">
        <v>1044</v>
      </c>
      <c r="AI11" s="10">
        <v>1090</v>
      </c>
      <c r="AJ11" s="10">
        <v>1067</v>
      </c>
      <c r="AK11" s="10">
        <v>1147</v>
      </c>
      <c r="AL11" s="10">
        <v>1144</v>
      </c>
      <c r="AM11" s="10">
        <v>1010</v>
      </c>
      <c r="AN11" s="10">
        <v>1082</v>
      </c>
      <c r="AO11" s="10">
        <v>1137</v>
      </c>
      <c r="AP11" s="10">
        <v>1012</v>
      </c>
      <c r="AQ11" s="10">
        <v>894</v>
      </c>
      <c r="AR11" s="10">
        <v>834</v>
      </c>
      <c r="AS11" s="10">
        <v>695</v>
      </c>
      <c r="AT11" s="10">
        <v>585</v>
      </c>
      <c r="AU11" s="10">
        <v>582</v>
      </c>
      <c r="AV11" s="10">
        <v>485</v>
      </c>
      <c r="AW11" s="10">
        <v>374</v>
      </c>
      <c r="AX11" s="10">
        <v>407</v>
      </c>
      <c r="AY11" s="10">
        <v>383</v>
      </c>
      <c r="AZ11" s="10">
        <v>320</v>
      </c>
      <c r="BA11" s="10">
        <v>290</v>
      </c>
      <c r="BB11" s="10">
        <v>205</v>
      </c>
      <c r="BC11" s="10">
        <v>129</v>
      </c>
      <c r="BD11" s="10">
        <v>0</v>
      </c>
    </row>
    <row r="12" spans="1:56" x14ac:dyDescent="0.35">
      <c r="A12" s="1"/>
      <c r="B12" s="12"/>
      <c r="C12" s="13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/>
      <c r="AK12" s="2"/>
      <c r="AL12" s="2"/>
      <c r="AM12" s="2"/>
      <c r="AN12" s="2"/>
      <c r="AO12" s="2"/>
      <c r="AP12" s="2"/>
      <c r="AQ12" s="2"/>
      <c r="AR12" s="2"/>
      <c r="AS12" s="2"/>
      <c r="AT12" s="2"/>
      <c r="AU12" s="2"/>
      <c r="AV12" s="2"/>
      <c r="AW12" s="2"/>
      <c r="AX12" s="2"/>
      <c r="AY12" s="2"/>
      <c r="AZ12" s="2"/>
      <c r="BA12" s="2"/>
      <c r="BB12" s="2"/>
      <c r="BC12" s="2"/>
      <c r="BD12" s="2"/>
    </row>
    <row r="13" spans="1:56" x14ac:dyDescent="0.35">
      <c r="A13" s="1" t="s">
        <v>110</v>
      </c>
      <c r="B13" s="10">
        <v>10468</v>
      </c>
      <c r="C13" s="11">
        <v>613.2952904335192</v>
      </c>
      <c r="D13" s="10">
        <v>163</v>
      </c>
      <c r="E13" s="10">
        <v>135</v>
      </c>
      <c r="F13" s="10">
        <v>135</v>
      </c>
      <c r="G13" s="10">
        <v>99</v>
      </c>
      <c r="H13" s="10">
        <v>83</v>
      </c>
      <c r="I13" s="10">
        <v>83</v>
      </c>
      <c r="J13" s="10">
        <v>76</v>
      </c>
      <c r="K13" s="10">
        <v>63</v>
      </c>
      <c r="L13" s="10">
        <v>60</v>
      </c>
      <c r="M13" s="10">
        <v>46</v>
      </c>
      <c r="N13" s="10">
        <v>48</v>
      </c>
      <c r="O13" s="10">
        <v>31</v>
      </c>
      <c r="P13" s="10">
        <v>27</v>
      </c>
      <c r="Q13" s="10">
        <v>43</v>
      </c>
      <c r="R13" s="10">
        <v>31</v>
      </c>
      <c r="S13" s="10">
        <v>30</v>
      </c>
      <c r="T13" s="10">
        <v>37</v>
      </c>
      <c r="U13" s="10">
        <v>28</v>
      </c>
      <c r="V13" s="10">
        <v>46</v>
      </c>
      <c r="W13" s="10">
        <v>33</v>
      </c>
      <c r="X13" s="10">
        <v>52</v>
      </c>
      <c r="Y13" s="10">
        <v>72</v>
      </c>
      <c r="Z13" s="10">
        <v>93</v>
      </c>
      <c r="AA13" s="10">
        <v>102</v>
      </c>
      <c r="AB13" s="10">
        <v>149</v>
      </c>
      <c r="AC13" s="10">
        <v>152</v>
      </c>
      <c r="AD13" s="10">
        <v>176</v>
      </c>
      <c r="AE13" s="10">
        <v>171</v>
      </c>
      <c r="AF13" s="10">
        <v>255</v>
      </c>
      <c r="AG13" s="10">
        <v>276</v>
      </c>
      <c r="AH13" s="10">
        <v>269</v>
      </c>
      <c r="AI13" s="10">
        <v>306</v>
      </c>
      <c r="AJ13" s="10">
        <v>381</v>
      </c>
      <c r="AK13" s="10">
        <v>419</v>
      </c>
      <c r="AL13" s="10">
        <v>516</v>
      </c>
      <c r="AM13" s="10">
        <v>465</v>
      </c>
      <c r="AN13" s="10">
        <v>572</v>
      </c>
      <c r="AO13" s="10">
        <v>659</v>
      </c>
      <c r="AP13" s="10">
        <v>601</v>
      </c>
      <c r="AQ13" s="10">
        <v>526</v>
      </c>
      <c r="AR13" s="10">
        <v>493</v>
      </c>
      <c r="AS13" s="10">
        <v>415</v>
      </c>
      <c r="AT13" s="10">
        <v>325</v>
      </c>
      <c r="AU13" s="10">
        <v>351</v>
      </c>
      <c r="AV13" s="10">
        <v>293</v>
      </c>
      <c r="AW13" s="10">
        <v>207</v>
      </c>
      <c r="AX13" s="10">
        <v>209</v>
      </c>
      <c r="AY13" s="10">
        <v>227</v>
      </c>
      <c r="AZ13" s="10">
        <v>164</v>
      </c>
      <c r="BA13" s="10">
        <v>125</v>
      </c>
      <c r="BB13" s="10">
        <v>91</v>
      </c>
      <c r="BC13" s="10">
        <v>59</v>
      </c>
      <c r="BD13" s="10">
        <v>0</v>
      </c>
    </row>
    <row r="14" spans="1:56" x14ac:dyDescent="0.35">
      <c r="A14" s="14" t="s">
        <v>111</v>
      </c>
      <c r="B14" s="15">
        <v>4391</v>
      </c>
      <c r="C14" s="16">
        <v>1233.2329745882669</v>
      </c>
      <c r="D14" s="15">
        <v>67</v>
      </c>
      <c r="E14" s="15">
        <v>68</v>
      </c>
      <c r="F14" s="15">
        <v>61</v>
      </c>
      <c r="G14" s="15">
        <v>52</v>
      </c>
      <c r="H14" s="15">
        <v>48</v>
      </c>
      <c r="I14" s="15">
        <v>41</v>
      </c>
      <c r="J14" s="15">
        <v>50</v>
      </c>
      <c r="K14" s="15">
        <v>26</v>
      </c>
      <c r="L14" s="15">
        <v>32</v>
      </c>
      <c r="M14" s="15">
        <v>18</v>
      </c>
      <c r="N14" s="15">
        <v>20</v>
      </c>
      <c r="O14" s="15">
        <v>13</v>
      </c>
      <c r="P14" s="15">
        <v>12</v>
      </c>
      <c r="Q14" s="15">
        <v>21</v>
      </c>
      <c r="R14" s="15">
        <v>15</v>
      </c>
      <c r="S14" s="15">
        <v>13</v>
      </c>
      <c r="T14" s="15">
        <v>13</v>
      </c>
      <c r="U14" s="15">
        <v>11</v>
      </c>
      <c r="V14" s="15">
        <v>16</v>
      </c>
      <c r="W14" s="15">
        <v>7</v>
      </c>
      <c r="X14" s="15">
        <v>18</v>
      </c>
      <c r="Y14" s="15">
        <v>23</v>
      </c>
      <c r="Z14" s="15">
        <v>27</v>
      </c>
      <c r="AA14" s="15">
        <v>27</v>
      </c>
      <c r="AB14" s="15">
        <v>36</v>
      </c>
      <c r="AC14" s="15">
        <v>20</v>
      </c>
      <c r="AD14" s="15">
        <v>46</v>
      </c>
      <c r="AE14" s="15">
        <v>42</v>
      </c>
      <c r="AF14" s="15">
        <v>61</v>
      </c>
      <c r="AG14" s="15">
        <v>89</v>
      </c>
      <c r="AH14" s="15">
        <v>68</v>
      </c>
      <c r="AI14" s="15">
        <v>72</v>
      </c>
      <c r="AJ14" s="15">
        <v>175</v>
      </c>
      <c r="AK14" s="15">
        <v>165</v>
      </c>
      <c r="AL14" s="15">
        <v>226</v>
      </c>
      <c r="AM14" s="15">
        <v>197</v>
      </c>
      <c r="AN14" s="15">
        <v>255</v>
      </c>
      <c r="AO14" s="15">
        <v>288</v>
      </c>
      <c r="AP14" s="15">
        <v>276</v>
      </c>
      <c r="AQ14" s="15">
        <v>211</v>
      </c>
      <c r="AR14" s="15">
        <v>212</v>
      </c>
      <c r="AS14" s="15">
        <v>193</v>
      </c>
      <c r="AT14" s="15">
        <v>138</v>
      </c>
      <c r="AU14" s="15">
        <v>176</v>
      </c>
      <c r="AV14" s="15">
        <v>156</v>
      </c>
      <c r="AW14" s="15">
        <v>125</v>
      </c>
      <c r="AX14" s="15">
        <v>107</v>
      </c>
      <c r="AY14" s="15">
        <v>132</v>
      </c>
      <c r="AZ14" s="15">
        <v>85</v>
      </c>
      <c r="BA14" s="15">
        <v>62</v>
      </c>
      <c r="BB14" s="15">
        <v>50</v>
      </c>
      <c r="BC14" s="15">
        <v>29</v>
      </c>
      <c r="BD14" s="15">
        <v>0</v>
      </c>
    </row>
    <row r="15" spans="1:56" x14ac:dyDescent="0.35">
      <c r="A15" s="14" t="s">
        <v>112</v>
      </c>
      <c r="B15" s="15">
        <v>147</v>
      </c>
      <c r="C15" s="16">
        <v>203.38420244337755</v>
      </c>
      <c r="D15" s="15">
        <v>5</v>
      </c>
      <c r="E15" s="15">
        <v>3</v>
      </c>
      <c r="F15" s="15">
        <v>2</v>
      </c>
      <c r="G15" s="15">
        <v>2</v>
      </c>
      <c r="H15" s="15">
        <v>0</v>
      </c>
      <c r="I15" s="15">
        <v>2</v>
      </c>
      <c r="J15" s="15">
        <v>1</v>
      </c>
      <c r="K15" s="15">
        <v>0</v>
      </c>
      <c r="L15" s="15">
        <v>0</v>
      </c>
      <c r="M15" s="15">
        <v>0</v>
      </c>
      <c r="N15" s="15">
        <v>2</v>
      </c>
      <c r="O15" s="15">
        <v>1</v>
      </c>
      <c r="P15" s="15">
        <v>0</v>
      </c>
      <c r="Q15" s="15">
        <v>1</v>
      </c>
      <c r="R15" s="15">
        <v>1</v>
      </c>
      <c r="S15" s="15">
        <v>0</v>
      </c>
      <c r="T15" s="15">
        <v>0</v>
      </c>
      <c r="U15" s="15">
        <v>0</v>
      </c>
      <c r="V15" s="15">
        <v>0</v>
      </c>
      <c r="W15" s="15">
        <v>1</v>
      </c>
      <c r="X15" s="15">
        <v>0</v>
      </c>
      <c r="Y15" s="15">
        <v>2</v>
      </c>
      <c r="Z15" s="15">
        <v>2</v>
      </c>
      <c r="AA15" s="15">
        <v>2</v>
      </c>
      <c r="AB15" s="15">
        <v>0</v>
      </c>
      <c r="AC15" s="15">
        <v>3</v>
      </c>
      <c r="AD15" s="15">
        <v>2</v>
      </c>
      <c r="AE15" s="15">
        <v>2</v>
      </c>
      <c r="AF15" s="15">
        <v>1</v>
      </c>
      <c r="AG15" s="15">
        <v>0</v>
      </c>
      <c r="AH15" s="15">
        <v>5</v>
      </c>
      <c r="AI15" s="15">
        <v>3</v>
      </c>
      <c r="AJ15" s="15">
        <v>4</v>
      </c>
      <c r="AK15" s="15">
        <v>5</v>
      </c>
      <c r="AL15" s="15">
        <v>5</v>
      </c>
      <c r="AM15" s="15">
        <v>4</v>
      </c>
      <c r="AN15" s="15">
        <v>7</v>
      </c>
      <c r="AO15" s="15">
        <v>12</v>
      </c>
      <c r="AP15" s="15">
        <v>9</v>
      </c>
      <c r="AQ15" s="15">
        <v>13</v>
      </c>
      <c r="AR15" s="15">
        <v>10</v>
      </c>
      <c r="AS15" s="15">
        <v>8</v>
      </c>
      <c r="AT15" s="15">
        <v>7</v>
      </c>
      <c r="AU15" s="15">
        <v>7</v>
      </c>
      <c r="AV15" s="15">
        <v>3</v>
      </c>
      <c r="AW15" s="15">
        <v>5</v>
      </c>
      <c r="AX15" s="15">
        <v>3</v>
      </c>
      <c r="AY15" s="15">
        <v>1</v>
      </c>
      <c r="AZ15" s="15">
        <v>1</v>
      </c>
      <c r="BA15" s="15">
        <v>0</v>
      </c>
      <c r="BB15" s="15">
        <v>0</v>
      </c>
      <c r="BC15" s="15">
        <v>0</v>
      </c>
      <c r="BD15" s="15">
        <v>0</v>
      </c>
    </row>
    <row r="16" spans="1:56" x14ac:dyDescent="0.35">
      <c r="A16" s="14" t="s">
        <v>113</v>
      </c>
      <c r="B16" s="15">
        <v>1407</v>
      </c>
      <c r="C16" s="16">
        <v>555.68939845733985</v>
      </c>
      <c r="D16" s="15">
        <v>20</v>
      </c>
      <c r="E16" s="15">
        <v>13</v>
      </c>
      <c r="F16" s="15">
        <v>29</v>
      </c>
      <c r="G16" s="15">
        <v>10</v>
      </c>
      <c r="H16" s="15">
        <v>8</v>
      </c>
      <c r="I16" s="15">
        <v>7</v>
      </c>
      <c r="J16" s="15">
        <v>6</v>
      </c>
      <c r="K16" s="15">
        <v>12</v>
      </c>
      <c r="L16" s="15">
        <v>10</v>
      </c>
      <c r="M16" s="15">
        <v>7</v>
      </c>
      <c r="N16" s="15">
        <v>9</v>
      </c>
      <c r="O16" s="15">
        <v>5</v>
      </c>
      <c r="P16" s="15">
        <v>2</v>
      </c>
      <c r="Q16" s="15">
        <v>1</v>
      </c>
      <c r="R16" s="15">
        <v>1</v>
      </c>
      <c r="S16" s="15">
        <v>4</v>
      </c>
      <c r="T16" s="15">
        <v>6</v>
      </c>
      <c r="U16" s="15">
        <v>3</v>
      </c>
      <c r="V16" s="15">
        <v>3</v>
      </c>
      <c r="W16" s="15">
        <v>2</v>
      </c>
      <c r="X16" s="15">
        <v>4</v>
      </c>
      <c r="Y16" s="15">
        <v>9</v>
      </c>
      <c r="Z16" s="15">
        <v>11</v>
      </c>
      <c r="AA16" s="15">
        <v>9</v>
      </c>
      <c r="AB16" s="15">
        <v>11</v>
      </c>
      <c r="AC16" s="15">
        <v>20</v>
      </c>
      <c r="AD16" s="15">
        <v>10</v>
      </c>
      <c r="AE16" s="15">
        <v>14</v>
      </c>
      <c r="AF16" s="15">
        <v>17</v>
      </c>
      <c r="AG16" s="15">
        <v>33</v>
      </c>
      <c r="AH16" s="15">
        <v>38</v>
      </c>
      <c r="AI16" s="15">
        <v>38</v>
      </c>
      <c r="AJ16" s="15">
        <v>38</v>
      </c>
      <c r="AK16" s="15">
        <v>52</v>
      </c>
      <c r="AL16" s="15">
        <v>78</v>
      </c>
      <c r="AM16" s="15">
        <v>80</v>
      </c>
      <c r="AN16" s="15">
        <v>94</v>
      </c>
      <c r="AO16" s="15">
        <v>110</v>
      </c>
      <c r="AP16" s="15">
        <v>114</v>
      </c>
      <c r="AQ16" s="15">
        <v>97</v>
      </c>
      <c r="AR16" s="15">
        <v>105</v>
      </c>
      <c r="AS16" s="15">
        <v>70</v>
      </c>
      <c r="AT16" s="15">
        <v>54</v>
      </c>
      <c r="AU16" s="15">
        <v>49</v>
      </c>
      <c r="AV16" s="15">
        <v>31</v>
      </c>
      <c r="AW16" s="15">
        <v>16</v>
      </c>
      <c r="AX16" s="15">
        <v>17</v>
      </c>
      <c r="AY16" s="15">
        <v>9</v>
      </c>
      <c r="AZ16" s="15">
        <v>10</v>
      </c>
      <c r="BA16" s="15">
        <v>9</v>
      </c>
      <c r="BB16" s="15">
        <v>1</v>
      </c>
      <c r="BC16" s="15">
        <v>1</v>
      </c>
      <c r="BD16" s="15">
        <v>0</v>
      </c>
    </row>
    <row r="17" spans="1:56" x14ac:dyDescent="0.35">
      <c r="A17" s="14" t="s">
        <v>114</v>
      </c>
      <c r="B17" s="15">
        <v>141</v>
      </c>
      <c r="C17" s="16">
        <v>360.19005773259084</v>
      </c>
      <c r="D17" s="15">
        <v>1</v>
      </c>
      <c r="E17" s="15">
        <v>1</v>
      </c>
      <c r="F17" s="15">
        <v>0</v>
      </c>
      <c r="G17" s="15">
        <v>0</v>
      </c>
      <c r="H17" s="15">
        <v>1</v>
      </c>
      <c r="I17" s="15">
        <v>0</v>
      </c>
      <c r="J17" s="15">
        <v>0</v>
      </c>
      <c r="K17" s="15">
        <v>1</v>
      </c>
      <c r="L17" s="15">
        <v>0</v>
      </c>
      <c r="M17" s="15">
        <v>4</v>
      </c>
      <c r="N17" s="15">
        <v>0</v>
      </c>
      <c r="O17" s="15">
        <v>0</v>
      </c>
      <c r="P17" s="15">
        <v>1</v>
      </c>
      <c r="Q17" s="15">
        <v>0</v>
      </c>
      <c r="R17" s="15">
        <v>0</v>
      </c>
      <c r="S17" s="15">
        <v>1</v>
      </c>
      <c r="T17" s="15">
        <v>2</v>
      </c>
      <c r="U17" s="15">
        <v>2</v>
      </c>
      <c r="V17" s="15">
        <v>3</v>
      </c>
      <c r="W17" s="15">
        <v>1</v>
      </c>
      <c r="X17" s="15">
        <v>2</v>
      </c>
      <c r="Y17" s="15">
        <v>2</v>
      </c>
      <c r="Z17" s="15">
        <v>3</v>
      </c>
      <c r="AA17" s="15">
        <v>6</v>
      </c>
      <c r="AB17" s="15">
        <v>4</v>
      </c>
      <c r="AC17" s="15">
        <v>11</v>
      </c>
      <c r="AD17" s="15">
        <v>8</v>
      </c>
      <c r="AE17" s="15">
        <v>7</v>
      </c>
      <c r="AF17" s="15">
        <v>5</v>
      </c>
      <c r="AG17" s="15">
        <v>4</v>
      </c>
      <c r="AH17" s="15">
        <v>6</v>
      </c>
      <c r="AI17" s="15">
        <v>3</v>
      </c>
      <c r="AJ17" s="15">
        <v>2</v>
      </c>
      <c r="AK17" s="15">
        <v>2</v>
      </c>
      <c r="AL17" s="15">
        <v>4</v>
      </c>
      <c r="AM17" s="15">
        <v>4</v>
      </c>
      <c r="AN17" s="15">
        <v>0</v>
      </c>
      <c r="AO17" s="15">
        <v>6</v>
      </c>
      <c r="AP17" s="15">
        <v>5</v>
      </c>
      <c r="AQ17" s="15">
        <v>3</v>
      </c>
      <c r="AR17" s="15">
        <v>5</v>
      </c>
      <c r="AS17" s="15">
        <v>4</v>
      </c>
      <c r="AT17" s="15">
        <v>5</v>
      </c>
      <c r="AU17" s="15">
        <v>1</v>
      </c>
      <c r="AV17" s="15">
        <v>3</v>
      </c>
      <c r="AW17" s="15">
        <v>1</v>
      </c>
      <c r="AX17" s="15">
        <v>3</v>
      </c>
      <c r="AY17" s="15">
        <v>6</v>
      </c>
      <c r="AZ17" s="15">
        <v>4</v>
      </c>
      <c r="BA17" s="15">
        <v>0</v>
      </c>
      <c r="BB17" s="15">
        <v>3</v>
      </c>
      <c r="BC17" s="15">
        <v>1</v>
      </c>
      <c r="BD17" s="15">
        <v>0</v>
      </c>
    </row>
    <row r="18" spans="1:56" x14ac:dyDescent="0.35">
      <c r="A18" s="14" t="s">
        <v>115</v>
      </c>
      <c r="B18" s="15">
        <v>1</v>
      </c>
      <c r="C18" s="16">
        <v>5.2587294909549858</v>
      </c>
      <c r="D18" s="15">
        <v>0</v>
      </c>
      <c r="E18" s="15">
        <v>0</v>
      </c>
      <c r="F18" s="15">
        <v>0</v>
      </c>
      <c r="G18" s="15">
        <v>0</v>
      </c>
      <c r="H18" s="15">
        <v>0</v>
      </c>
      <c r="I18" s="15">
        <v>0</v>
      </c>
      <c r="J18" s="15">
        <v>0</v>
      </c>
      <c r="K18" s="15">
        <v>0</v>
      </c>
      <c r="L18" s="15">
        <v>0</v>
      </c>
      <c r="M18" s="15">
        <v>0</v>
      </c>
      <c r="N18" s="15">
        <v>0</v>
      </c>
      <c r="O18" s="15">
        <v>0</v>
      </c>
      <c r="P18" s="15">
        <v>0</v>
      </c>
      <c r="Q18" s="15">
        <v>0</v>
      </c>
      <c r="R18" s="15">
        <v>0</v>
      </c>
      <c r="S18" s="15">
        <v>0</v>
      </c>
      <c r="T18" s="15">
        <v>0</v>
      </c>
      <c r="U18" s="15">
        <v>0</v>
      </c>
      <c r="V18" s="15">
        <v>0</v>
      </c>
      <c r="W18" s="15">
        <v>0</v>
      </c>
      <c r="X18" s="15">
        <v>1</v>
      </c>
      <c r="Y18" s="15">
        <v>0</v>
      </c>
      <c r="Z18" s="15">
        <v>0</v>
      </c>
      <c r="AA18" s="15">
        <v>0</v>
      </c>
      <c r="AB18" s="15">
        <v>0</v>
      </c>
      <c r="AC18" s="15">
        <v>0</v>
      </c>
      <c r="AD18" s="15">
        <v>0</v>
      </c>
      <c r="AE18" s="15">
        <v>0</v>
      </c>
      <c r="AF18" s="15">
        <v>0</v>
      </c>
      <c r="AG18" s="15">
        <v>0</v>
      </c>
      <c r="AH18" s="15">
        <v>0</v>
      </c>
      <c r="AI18" s="15">
        <v>0</v>
      </c>
      <c r="AJ18" s="15">
        <v>0</v>
      </c>
      <c r="AK18" s="15">
        <v>0</v>
      </c>
      <c r="AL18" s="15">
        <v>0</v>
      </c>
      <c r="AM18" s="15">
        <v>0</v>
      </c>
      <c r="AN18" s="15">
        <v>0</v>
      </c>
      <c r="AO18" s="15">
        <v>0</v>
      </c>
      <c r="AP18" s="15">
        <v>0</v>
      </c>
      <c r="AQ18" s="15">
        <v>0</v>
      </c>
      <c r="AR18" s="15">
        <v>0</v>
      </c>
      <c r="AS18" s="15">
        <v>0</v>
      </c>
      <c r="AT18" s="15">
        <v>0</v>
      </c>
      <c r="AU18" s="15">
        <v>0</v>
      </c>
      <c r="AV18" s="15">
        <v>0</v>
      </c>
      <c r="AW18" s="15">
        <v>0</v>
      </c>
      <c r="AX18" s="15">
        <v>0</v>
      </c>
      <c r="AY18" s="15">
        <v>0</v>
      </c>
      <c r="AZ18" s="15">
        <v>0</v>
      </c>
      <c r="BA18" s="15">
        <v>0</v>
      </c>
      <c r="BB18" s="15">
        <v>0</v>
      </c>
      <c r="BC18" s="15">
        <v>0</v>
      </c>
      <c r="BD18" s="15">
        <v>0</v>
      </c>
    </row>
    <row r="19" spans="1:56" x14ac:dyDescent="0.35">
      <c r="A19" s="14" t="s">
        <v>116</v>
      </c>
      <c r="B19" s="15">
        <v>234</v>
      </c>
      <c r="C19" s="16">
        <v>358.0554832983949</v>
      </c>
      <c r="D19" s="15">
        <v>2</v>
      </c>
      <c r="E19" s="15">
        <v>2</v>
      </c>
      <c r="F19" s="15">
        <v>0</v>
      </c>
      <c r="G19" s="15">
        <v>1</v>
      </c>
      <c r="H19" s="15">
        <v>1</v>
      </c>
      <c r="I19" s="15">
        <v>3</v>
      </c>
      <c r="J19" s="15">
        <v>2</v>
      </c>
      <c r="K19" s="15">
        <v>1</v>
      </c>
      <c r="L19" s="15">
        <v>0</v>
      </c>
      <c r="M19" s="15">
        <v>1</v>
      </c>
      <c r="N19" s="15">
        <v>2</v>
      </c>
      <c r="O19" s="15">
        <v>1</v>
      </c>
      <c r="P19" s="15">
        <v>1</v>
      </c>
      <c r="Q19" s="15">
        <v>1</v>
      </c>
      <c r="R19" s="15">
        <v>1</v>
      </c>
      <c r="S19" s="15">
        <v>2</v>
      </c>
      <c r="T19" s="15">
        <v>1</v>
      </c>
      <c r="U19" s="15">
        <v>0</v>
      </c>
      <c r="V19" s="15">
        <v>2</v>
      </c>
      <c r="W19" s="15">
        <v>2</v>
      </c>
      <c r="X19" s="15">
        <v>0</v>
      </c>
      <c r="Y19" s="15">
        <v>5</v>
      </c>
      <c r="Z19" s="15">
        <v>3</v>
      </c>
      <c r="AA19" s="15">
        <v>4</v>
      </c>
      <c r="AB19" s="15">
        <v>7</v>
      </c>
      <c r="AC19" s="15">
        <v>9</v>
      </c>
      <c r="AD19" s="15">
        <v>9</v>
      </c>
      <c r="AE19" s="15">
        <v>6</v>
      </c>
      <c r="AF19" s="15">
        <v>18</v>
      </c>
      <c r="AG19" s="15">
        <v>9</v>
      </c>
      <c r="AH19" s="15">
        <v>18</v>
      </c>
      <c r="AI19" s="15">
        <v>17</v>
      </c>
      <c r="AJ19" s="15">
        <v>12</v>
      </c>
      <c r="AK19" s="15">
        <v>11</v>
      </c>
      <c r="AL19" s="15">
        <v>9</v>
      </c>
      <c r="AM19" s="15">
        <v>7</v>
      </c>
      <c r="AN19" s="15">
        <v>7</v>
      </c>
      <c r="AO19" s="15">
        <v>16</v>
      </c>
      <c r="AP19" s="15">
        <v>9</v>
      </c>
      <c r="AQ19" s="15">
        <v>9</v>
      </c>
      <c r="AR19" s="15">
        <v>5</v>
      </c>
      <c r="AS19" s="15">
        <v>8</v>
      </c>
      <c r="AT19" s="15">
        <v>4</v>
      </c>
      <c r="AU19" s="15">
        <v>2</v>
      </c>
      <c r="AV19" s="15">
        <v>2</v>
      </c>
      <c r="AW19" s="15">
        <v>0</v>
      </c>
      <c r="AX19" s="15">
        <v>1</v>
      </c>
      <c r="AY19" s="15">
        <v>0</v>
      </c>
      <c r="AZ19" s="15">
        <v>0</v>
      </c>
      <c r="BA19" s="15">
        <v>0</v>
      </c>
      <c r="BB19" s="15">
        <v>0</v>
      </c>
      <c r="BC19" s="15">
        <v>1</v>
      </c>
      <c r="BD19" s="15">
        <v>0</v>
      </c>
    </row>
    <row r="20" spans="1:56" x14ac:dyDescent="0.35">
      <c r="A20" s="14" t="s">
        <v>117</v>
      </c>
      <c r="B20" s="15">
        <v>371</v>
      </c>
      <c r="C20" s="16">
        <v>1190.6672229532398</v>
      </c>
      <c r="D20" s="15">
        <v>1</v>
      </c>
      <c r="E20" s="15">
        <v>3</v>
      </c>
      <c r="F20" s="15">
        <v>3</v>
      </c>
      <c r="G20" s="15">
        <v>2</v>
      </c>
      <c r="H20" s="15">
        <v>2</v>
      </c>
      <c r="I20" s="15">
        <v>3</v>
      </c>
      <c r="J20" s="15">
        <v>5</v>
      </c>
      <c r="K20" s="15">
        <v>1</v>
      </c>
      <c r="L20" s="15">
        <v>1</v>
      </c>
      <c r="M20" s="15">
        <v>2</v>
      </c>
      <c r="N20" s="15">
        <v>4</v>
      </c>
      <c r="O20" s="15">
        <v>3</v>
      </c>
      <c r="P20" s="15">
        <v>0</v>
      </c>
      <c r="Q20" s="15">
        <v>0</v>
      </c>
      <c r="R20" s="15">
        <v>1</v>
      </c>
      <c r="S20" s="15">
        <v>2</v>
      </c>
      <c r="T20" s="15">
        <v>0</v>
      </c>
      <c r="U20" s="15">
        <v>2</v>
      </c>
      <c r="V20" s="15">
        <v>7</v>
      </c>
      <c r="W20" s="15">
        <v>3</v>
      </c>
      <c r="X20" s="15">
        <v>6</v>
      </c>
      <c r="Y20" s="15">
        <v>10</v>
      </c>
      <c r="Z20" s="15">
        <v>13</v>
      </c>
      <c r="AA20" s="15">
        <v>7</v>
      </c>
      <c r="AB20" s="15">
        <v>19</v>
      </c>
      <c r="AC20" s="15">
        <v>11</v>
      </c>
      <c r="AD20" s="15">
        <v>9</v>
      </c>
      <c r="AE20" s="15">
        <v>10</v>
      </c>
      <c r="AF20" s="15">
        <v>10</v>
      </c>
      <c r="AG20" s="15">
        <v>8</v>
      </c>
      <c r="AH20" s="15">
        <v>10</v>
      </c>
      <c r="AI20" s="15">
        <v>11</v>
      </c>
      <c r="AJ20" s="15">
        <v>18</v>
      </c>
      <c r="AK20" s="15">
        <v>11</v>
      </c>
      <c r="AL20" s="15">
        <v>18</v>
      </c>
      <c r="AM20" s="15">
        <v>18</v>
      </c>
      <c r="AN20" s="15">
        <v>23</v>
      </c>
      <c r="AO20" s="15">
        <v>21</v>
      </c>
      <c r="AP20" s="15">
        <v>24</v>
      </c>
      <c r="AQ20" s="15">
        <v>14</v>
      </c>
      <c r="AR20" s="15">
        <v>9</v>
      </c>
      <c r="AS20" s="15">
        <v>3</v>
      </c>
      <c r="AT20" s="15">
        <v>5</v>
      </c>
      <c r="AU20" s="15">
        <v>9</v>
      </c>
      <c r="AV20" s="15">
        <v>11</v>
      </c>
      <c r="AW20" s="15">
        <v>4</v>
      </c>
      <c r="AX20" s="15">
        <v>1</v>
      </c>
      <c r="AY20" s="15">
        <v>4</v>
      </c>
      <c r="AZ20" s="15">
        <v>4</v>
      </c>
      <c r="BA20" s="15">
        <v>3</v>
      </c>
      <c r="BB20" s="15">
        <v>2</v>
      </c>
      <c r="BC20" s="15">
        <v>0</v>
      </c>
      <c r="BD20" s="15">
        <v>0</v>
      </c>
    </row>
    <row r="21" spans="1:56" x14ac:dyDescent="0.35">
      <c r="A21" s="14" t="s">
        <v>118</v>
      </c>
      <c r="B21" s="15">
        <v>70</v>
      </c>
      <c r="C21" s="16">
        <v>49.020980979859374</v>
      </c>
      <c r="D21" s="15">
        <v>4</v>
      </c>
      <c r="E21" s="15">
        <v>4</v>
      </c>
      <c r="F21" s="15">
        <v>1</v>
      </c>
      <c r="G21" s="15">
        <v>1</v>
      </c>
      <c r="H21" s="15">
        <v>1</v>
      </c>
      <c r="I21" s="15">
        <v>0</v>
      </c>
      <c r="J21" s="15">
        <v>0</v>
      </c>
      <c r="K21" s="15">
        <v>0</v>
      </c>
      <c r="L21" s="15">
        <v>1</v>
      </c>
      <c r="M21" s="15">
        <v>1</v>
      </c>
      <c r="N21" s="15">
        <v>0</v>
      </c>
      <c r="O21" s="15">
        <v>0</v>
      </c>
      <c r="P21" s="15">
        <v>0</v>
      </c>
      <c r="Q21" s="15">
        <v>2</v>
      </c>
      <c r="R21" s="15">
        <v>0</v>
      </c>
      <c r="S21" s="15">
        <v>0</v>
      </c>
      <c r="T21" s="15">
        <v>0</v>
      </c>
      <c r="U21" s="15">
        <v>1</v>
      </c>
      <c r="V21" s="15">
        <v>0</v>
      </c>
      <c r="W21" s="15">
        <v>0</v>
      </c>
      <c r="X21" s="15">
        <v>0</v>
      </c>
      <c r="Y21" s="15">
        <v>1</v>
      </c>
      <c r="Z21" s="15">
        <v>0</v>
      </c>
      <c r="AA21" s="15">
        <v>1</v>
      </c>
      <c r="AB21" s="15">
        <v>0</v>
      </c>
      <c r="AC21" s="15">
        <v>2</v>
      </c>
      <c r="AD21" s="15">
        <v>0</v>
      </c>
      <c r="AE21" s="15">
        <v>1</v>
      </c>
      <c r="AF21" s="15">
        <v>1</v>
      </c>
      <c r="AG21" s="15">
        <v>1</v>
      </c>
      <c r="AH21" s="15">
        <v>1</v>
      </c>
      <c r="AI21" s="15">
        <v>5</v>
      </c>
      <c r="AJ21" s="15">
        <v>3</v>
      </c>
      <c r="AK21" s="15">
        <v>5</v>
      </c>
      <c r="AL21" s="15">
        <v>1</v>
      </c>
      <c r="AM21" s="15">
        <v>2</v>
      </c>
      <c r="AN21" s="15">
        <v>2</v>
      </c>
      <c r="AO21" s="15">
        <v>6</v>
      </c>
      <c r="AP21" s="15">
        <v>2</v>
      </c>
      <c r="AQ21" s="15">
        <v>1</v>
      </c>
      <c r="AR21" s="15">
        <v>1</v>
      </c>
      <c r="AS21" s="15">
        <v>3</v>
      </c>
      <c r="AT21" s="15">
        <v>4</v>
      </c>
      <c r="AU21" s="15">
        <v>2</v>
      </c>
      <c r="AV21" s="15">
        <v>2</v>
      </c>
      <c r="AW21" s="15">
        <v>1</v>
      </c>
      <c r="AX21" s="15">
        <v>2</v>
      </c>
      <c r="AY21" s="15">
        <v>2</v>
      </c>
      <c r="AZ21" s="15">
        <v>1</v>
      </c>
      <c r="BA21" s="15">
        <v>1</v>
      </c>
      <c r="BB21" s="15">
        <v>0</v>
      </c>
      <c r="BC21" s="15">
        <v>0</v>
      </c>
      <c r="BD21" s="15">
        <v>0</v>
      </c>
    </row>
    <row r="22" spans="1:56" x14ac:dyDescent="0.35">
      <c r="A22" s="14" t="s">
        <v>119</v>
      </c>
      <c r="B22" s="15">
        <v>1410</v>
      </c>
      <c r="C22" s="16">
        <v>2231.8602000759779</v>
      </c>
      <c r="D22" s="15">
        <v>34</v>
      </c>
      <c r="E22" s="15">
        <v>18</v>
      </c>
      <c r="F22" s="15">
        <v>19</v>
      </c>
      <c r="G22" s="15">
        <v>15</v>
      </c>
      <c r="H22" s="15">
        <v>5</v>
      </c>
      <c r="I22" s="15">
        <v>9</v>
      </c>
      <c r="J22" s="15">
        <v>7</v>
      </c>
      <c r="K22" s="15">
        <v>8</v>
      </c>
      <c r="L22" s="15">
        <v>8</v>
      </c>
      <c r="M22" s="15">
        <v>5</v>
      </c>
      <c r="N22" s="15">
        <v>6</v>
      </c>
      <c r="O22" s="15">
        <v>5</v>
      </c>
      <c r="P22" s="15">
        <v>5</v>
      </c>
      <c r="Q22" s="15">
        <v>3</v>
      </c>
      <c r="R22" s="15">
        <v>3</v>
      </c>
      <c r="S22" s="15">
        <v>3</v>
      </c>
      <c r="T22" s="15">
        <v>10</v>
      </c>
      <c r="U22" s="15">
        <v>3</v>
      </c>
      <c r="V22" s="15">
        <v>7</v>
      </c>
      <c r="W22" s="15">
        <v>10</v>
      </c>
      <c r="X22" s="15">
        <v>13</v>
      </c>
      <c r="Y22" s="15">
        <v>8</v>
      </c>
      <c r="Z22" s="15">
        <v>22</v>
      </c>
      <c r="AA22" s="15">
        <v>33</v>
      </c>
      <c r="AB22" s="15">
        <v>55</v>
      </c>
      <c r="AC22" s="15">
        <v>61</v>
      </c>
      <c r="AD22" s="15">
        <v>68</v>
      </c>
      <c r="AE22" s="15">
        <v>59</v>
      </c>
      <c r="AF22" s="15">
        <v>96</v>
      </c>
      <c r="AG22" s="15">
        <v>87</v>
      </c>
      <c r="AH22" s="15">
        <v>76</v>
      </c>
      <c r="AI22" s="15">
        <v>78</v>
      </c>
      <c r="AJ22" s="15">
        <v>51</v>
      </c>
      <c r="AK22" s="15">
        <v>76</v>
      </c>
      <c r="AL22" s="15">
        <v>83</v>
      </c>
      <c r="AM22" s="15">
        <v>46</v>
      </c>
      <c r="AN22" s="15">
        <v>68</v>
      </c>
      <c r="AO22" s="15">
        <v>61</v>
      </c>
      <c r="AP22" s="15">
        <v>28</v>
      </c>
      <c r="AQ22" s="15">
        <v>36</v>
      </c>
      <c r="AR22" s="15">
        <v>25</v>
      </c>
      <c r="AS22" s="15">
        <v>21</v>
      </c>
      <c r="AT22" s="15">
        <v>14</v>
      </c>
      <c r="AU22" s="15">
        <v>16</v>
      </c>
      <c r="AV22" s="15">
        <v>13</v>
      </c>
      <c r="AW22" s="15">
        <v>3</v>
      </c>
      <c r="AX22" s="15">
        <v>7</v>
      </c>
      <c r="AY22" s="15">
        <v>7</v>
      </c>
      <c r="AZ22" s="15">
        <v>5</v>
      </c>
      <c r="BA22" s="15">
        <v>4</v>
      </c>
      <c r="BB22" s="15">
        <v>5</v>
      </c>
      <c r="BC22" s="15">
        <v>2</v>
      </c>
      <c r="BD22" s="15">
        <v>0</v>
      </c>
    </row>
    <row r="23" spans="1:56" x14ac:dyDescent="0.35">
      <c r="A23" s="14" t="s">
        <v>120</v>
      </c>
      <c r="B23" s="15">
        <v>1463</v>
      </c>
      <c r="C23" s="16">
        <v>1468.4479418643166</v>
      </c>
      <c r="D23" s="15">
        <v>5</v>
      </c>
      <c r="E23" s="15">
        <v>6</v>
      </c>
      <c r="F23" s="15">
        <v>6</v>
      </c>
      <c r="G23" s="15">
        <v>9</v>
      </c>
      <c r="H23" s="15">
        <v>8</v>
      </c>
      <c r="I23" s="15">
        <v>11</v>
      </c>
      <c r="J23" s="15">
        <v>2</v>
      </c>
      <c r="K23" s="15">
        <v>6</v>
      </c>
      <c r="L23" s="15">
        <v>5</v>
      </c>
      <c r="M23" s="15">
        <v>3</v>
      </c>
      <c r="N23" s="15">
        <v>3</v>
      </c>
      <c r="O23" s="15">
        <v>1</v>
      </c>
      <c r="P23" s="15">
        <v>1</v>
      </c>
      <c r="Q23" s="15">
        <v>4</v>
      </c>
      <c r="R23" s="15">
        <v>4</v>
      </c>
      <c r="S23" s="15">
        <v>2</v>
      </c>
      <c r="T23" s="15">
        <v>2</v>
      </c>
      <c r="U23" s="15">
        <v>3</v>
      </c>
      <c r="V23" s="15">
        <v>1</v>
      </c>
      <c r="W23" s="15">
        <v>2</v>
      </c>
      <c r="X23" s="15">
        <v>3</v>
      </c>
      <c r="Y23" s="15">
        <v>6</v>
      </c>
      <c r="Z23" s="15">
        <v>5</v>
      </c>
      <c r="AA23" s="15">
        <v>3</v>
      </c>
      <c r="AB23" s="15">
        <v>7</v>
      </c>
      <c r="AC23" s="15">
        <v>6</v>
      </c>
      <c r="AD23" s="15">
        <v>12</v>
      </c>
      <c r="AE23" s="15">
        <v>22</v>
      </c>
      <c r="AF23" s="15">
        <v>27</v>
      </c>
      <c r="AG23" s="15">
        <v>23</v>
      </c>
      <c r="AH23" s="15">
        <v>31</v>
      </c>
      <c r="AI23" s="15">
        <v>52</v>
      </c>
      <c r="AJ23" s="15">
        <v>57</v>
      </c>
      <c r="AK23" s="15">
        <v>56</v>
      </c>
      <c r="AL23" s="15">
        <v>67</v>
      </c>
      <c r="AM23" s="15">
        <v>72</v>
      </c>
      <c r="AN23" s="15">
        <v>77</v>
      </c>
      <c r="AO23" s="15">
        <v>93</v>
      </c>
      <c r="AP23" s="15">
        <v>96</v>
      </c>
      <c r="AQ23" s="15">
        <v>107</v>
      </c>
      <c r="AR23" s="15">
        <v>71</v>
      </c>
      <c r="AS23" s="15">
        <v>84</v>
      </c>
      <c r="AT23" s="15">
        <v>65</v>
      </c>
      <c r="AU23" s="15">
        <v>64</v>
      </c>
      <c r="AV23" s="15">
        <v>50</v>
      </c>
      <c r="AW23" s="15">
        <v>36</v>
      </c>
      <c r="AX23" s="15">
        <v>50</v>
      </c>
      <c r="AY23" s="15">
        <v>44</v>
      </c>
      <c r="AZ23" s="15">
        <v>29</v>
      </c>
      <c r="BA23" s="15">
        <v>26</v>
      </c>
      <c r="BB23" s="15">
        <v>20</v>
      </c>
      <c r="BC23" s="15">
        <v>18</v>
      </c>
      <c r="BD23" s="15">
        <v>0</v>
      </c>
    </row>
    <row r="24" spans="1:56" x14ac:dyDescent="0.35">
      <c r="A24" s="14" t="s">
        <v>121</v>
      </c>
      <c r="B24" s="15">
        <v>25</v>
      </c>
      <c r="C24" s="16">
        <v>33.737281045046018</v>
      </c>
      <c r="D24" s="15">
        <v>1</v>
      </c>
      <c r="E24" s="15">
        <v>0</v>
      </c>
      <c r="F24" s="15">
        <v>0</v>
      </c>
      <c r="G24" s="15">
        <v>0</v>
      </c>
      <c r="H24" s="15">
        <v>0</v>
      </c>
      <c r="I24" s="15">
        <v>2</v>
      </c>
      <c r="J24" s="15">
        <v>0</v>
      </c>
      <c r="K24" s="15">
        <v>0</v>
      </c>
      <c r="L24" s="15">
        <v>0</v>
      </c>
      <c r="M24" s="15">
        <v>0</v>
      </c>
      <c r="N24" s="15">
        <v>1</v>
      </c>
      <c r="O24" s="15">
        <v>0</v>
      </c>
      <c r="P24" s="15">
        <v>1</v>
      </c>
      <c r="Q24" s="15">
        <v>0</v>
      </c>
      <c r="R24" s="15">
        <v>0</v>
      </c>
      <c r="S24" s="15">
        <v>0</v>
      </c>
      <c r="T24" s="15">
        <v>1</v>
      </c>
      <c r="U24" s="15">
        <v>0</v>
      </c>
      <c r="V24" s="15">
        <v>0</v>
      </c>
      <c r="W24" s="15">
        <v>0</v>
      </c>
      <c r="X24" s="15">
        <v>0</v>
      </c>
      <c r="Y24" s="15">
        <v>0</v>
      </c>
      <c r="Z24" s="15">
        <v>0</v>
      </c>
      <c r="AA24" s="15">
        <v>0</v>
      </c>
      <c r="AB24" s="15">
        <v>0</v>
      </c>
      <c r="AC24" s="15">
        <v>0</v>
      </c>
      <c r="AD24" s="15">
        <v>1</v>
      </c>
      <c r="AE24" s="15">
        <v>0</v>
      </c>
      <c r="AF24" s="15">
        <v>0</v>
      </c>
      <c r="AG24" s="15">
        <v>2</v>
      </c>
      <c r="AH24" s="15">
        <v>1</v>
      </c>
      <c r="AI24" s="15">
        <v>0</v>
      </c>
      <c r="AJ24" s="15">
        <v>0</v>
      </c>
      <c r="AK24" s="15">
        <v>0</v>
      </c>
      <c r="AL24" s="15">
        <v>0</v>
      </c>
      <c r="AM24" s="15">
        <v>0</v>
      </c>
      <c r="AN24" s="15">
        <v>3</v>
      </c>
      <c r="AO24" s="15">
        <v>2</v>
      </c>
      <c r="AP24" s="15">
        <v>2</v>
      </c>
      <c r="AQ24" s="15">
        <v>1</v>
      </c>
      <c r="AR24" s="15">
        <v>1</v>
      </c>
      <c r="AS24" s="15">
        <v>0</v>
      </c>
      <c r="AT24" s="15">
        <v>0</v>
      </c>
      <c r="AU24" s="15">
        <v>1</v>
      </c>
      <c r="AV24" s="15">
        <v>1</v>
      </c>
      <c r="AW24" s="15">
        <v>0</v>
      </c>
      <c r="AX24" s="15">
        <v>0</v>
      </c>
      <c r="AY24" s="15">
        <v>2</v>
      </c>
      <c r="AZ24" s="15">
        <v>0</v>
      </c>
      <c r="BA24" s="15">
        <v>0</v>
      </c>
      <c r="BB24" s="15">
        <v>0</v>
      </c>
      <c r="BC24" s="15">
        <v>2</v>
      </c>
      <c r="BD24" s="15">
        <v>0</v>
      </c>
    </row>
    <row r="25" spans="1:56" x14ac:dyDescent="0.35">
      <c r="A25" s="14" t="s">
        <v>122</v>
      </c>
      <c r="B25" s="15">
        <v>31</v>
      </c>
      <c r="C25" s="16">
        <v>137.79002578006933</v>
      </c>
      <c r="D25" s="15">
        <v>0</v>
      </c>
      <c r="E25" s="15">
        <v>0</v>
      </c>
      <c r="F25" s="15">
        <v>1</v>
      </c>
      <c r="G25" s="15">
        <v>1</v>
      </c>
      <c r="H25" s="15">
        <v>0</v>
      </c>
      <c r="I25" s="15">
        <v>1</v>
      </c>
      <c r="J25" s="15">
        <v>0</v>
      </c>
      <c r="K25" s="15">
        <v>1</v>
      </c>
      <c r="L25" s="15">
        <v>0</v>
      </c>
      <c r="M25" s="15">
        <v>1</v>
      </c>
      <c r="N25" s="15">
        <v>0</v>
      </c>
      <c r="O25" s="15">
        <v>0</v>
      </c>
      <c r="P25" s="15">
        <v>0</v>
      </c>
      <c r="Q25" s="15">
        <v>0</v>
      </c>
      <c r="R25" s="15">
        <v>0</v>
      </c>
      <c r="S25" s="15">
        <v>1</v>
      </c>
      <c r="T25" s="15">
        <v>1</v>
      </c>
      <c r="U25" s="15">
        <v>1</v>
      </c>
      <c r="V25" s="15">
        <v>0</v>
      </c>
      <c r="W25" s="15">
        <v>0</v>
      </c>
      <c r="X25" s="15">
        <v>0</v>
      </c>
      <c r="Y25" s="15">
        <v>0</v>
      </c>
      <c r="Z25" s="15">
        <v>0</v>
      </c>
      <c r="AA25" s="15">
        <v>0</v>
      </c>
      <c r="AB25" s="15">
        <v>1</v>
      </c>
      <c r="AC25" s="15">
        <v>0</v>
      </c>
      <c r="AD25" s="15">
        <v>0</v>
      </c>
      <c r="AE25" s="15">
        <v>0</v>
      </c>
      <c r="AF25" s="15">
        <v>0</v>
      </c>
      <c r="AG25" s="15">
        <v>0</v>
      </c>
      <c r="AH25" s="15">
        <v>0</v>
      </c>
      <c r="AI25" s="15">
        <v>0</v>
      </c>
      <c r="AJ25" s="15">
        <v>1</v>
      </c>
      <c r="AK25" s="15">
        <v>1</v>
      </c>
      <c r="AL25" s="15">
        <v>1</v>
      </c>
      <c r="AM25" s="15">
        <v>0</v>
      </c>
      <c r="AN25" s="15">
        <v>0</v>
      </c>
      <c r="AO25" s="15">
        <v>2</v>
      </c>
      <c r="AP25" s="15">
        <v>0</v>
      </c>
      <c r="AQ25" s="15">
        <v>2</v>
      </c>
      <c r="AR25" s="15">
        <v>2</v>
      </c>
      <c r="AS25" s="15">
        <v>1</v>
      </c>
      <c r="AT25" s="15">
        <v>2</v>
      </c>
      <c r="AU25" s="15">
        <v>1</v>
      </c>
      <c r="AV25" s="15">
        <v>2</v>
      </c>
      <c r="AW25" s="15">
        <v>0</v>
      </c>
      <c r="AX25" s="15">
        <v>0</v>
      </c>
      <c r="AY25" s="15">
        <v>2</v>
      </c>
      <c r="AZ25" s="15">
        <v>0</v>
      </c>
      <c r="BA25" s="15">
        <v>3</v>
      </c>
      <c r="BB25" s="15">
        <v>2</v>
      </c>
      <c r="BC25" s="15">
        <v>0</v>
      </c>
      <c r="BD25" s="15">
        <v>0</v>
      </c>
    </row>
    <row r="26" spans="1:56" x14ac:dyDescent="0.35">
      <c r="A26" s="14" t="s">
        <v>123</v>
      </c>
      <c r="B26" s="15">
        <v>340</v>
      </c>
      <c r="C26" s="16">
        <v>390.04692035012448</v>
      </c>
      <c r="D26" s="15">
        <v>13</v>
      </c>
      <c r="E26" s="15">
        <v>5</v>
      </c>
      <c r="F26" s="15">
        <v>9</v>
      </c>
      <c r="G26" s="15">
        <v>2</v>
      </c>
      <c r="H26" s="15">
        <v>4</v>
      </c>
      <c r="I26" s="15">
        <v>2</v>
      </c>
      <c r="J26" s="15">
        <v>0</v>
      </c>
      <c r="K26" s="15">
        <v>2</v>
      </c>
      <c r="L26" s="15">
        <v>1</v>
      </c>
      <c r="M26" s="15">
        <v>2</v>
      </c>
      <c r="N26" s="15">
        <v>0</v>
      </c>
      <c r="O26" s="15">
        <v>0</v>
      </c>
      <c r="P26" s="15">
        <v>1</v>
      </c>
      <c r="Q26" s="15">
        <v>3</v>
      </c>
      <c r="R26" s="15">
        <v>0</v>
      </c>
      <c r="S26" s="15">
        <v>0</v>
      </c>
      <c r="T26" s="15">
        <v>0</v>
      </c>
      <c r="U26" s="15">
        <v>1</v>
      </c>
      <c r="V26" s="15">
        <v>1</v>
      </c>
      <c r="W26" s="15">
        <v>0</v>
      </c>
      <c r="X26" s="15">
        <v>1</v>
      </c>
      <c r="Y26" s="15">
        <v>1</v>
      </c>
      <c r="Z26" s="15">
        <v>1</v>
      </c>
      <c r="AA26" s="15">
        <v>2</v>
      </c>
      <c r="AB26" s="15">
        <v>1</v>
      </c>
      <c r="AC26" s="15">
        <v>5</v>
      </c>
      <c r="AD26" s="15">
        <v>3</v>
      </c>
      <c r="AE26" s="15">
        <v>4</v>
      </c>
      <c r="AF26" s="15">
        <v>8</v>
      </c>
      <c r="AG26" s="15">
        <v>5</v>
      </c>
      <c r="AH26" s="15">
        <v>3</v>
      </c>
      <c r="AI26" s="15">
        <v>8</v>
      </c>
      <c r="AJ26" s="15">
        <v>10</v>
      </c>
      <c r="AK26" s="15">
        <v>15</v>
      </c>
      <c r="AL26" s="15">
        <v>14</v>
      </c>
      <c r="AM26" s="15">
        <v>17</v>
      </c>
      <c r="AN26" s="15">
        <v>23</v>
      </c>
      <c r="AO26" s="15">
        <v>26</v>
      </c>
      <c r="AP26" s="15">
        <v>21</v>
      </c>
      <c r="AQ26" s="15">
        <v>13</v>
      </c>
      <c r="AR26" s="15">
        <v>18</v>
      </c>
      <c r="AS26" s="15">
        <v>12</v>
      </c>
      <c r="AT26" s="15">
        <v>18</v>
      </c>
      <c r="AU26" s="15">
        <v>16</v>
      </c>
      <c r="AV26" s="15">
        <v>10</v>
      </c>
      <c r="AW26" s="15">
        <v>7</v>
      </c>
      <c r="AX26" s="15">
        <v>9</v>
      </c>
      <c r="AY26" s="15">
        <v>4</v>
      </c>
      <c r="AZ26" s="15">
        <v>8</v>
      </c>
      <c r="BA26" s="15">
        <v>7</v>
      </c>
      <c r="BB26" s="15">
        <v>2</v>
      </c>
      <c r="BC26" s="15">
        <v>2</v>
      </c>
      <c r="BD26" s="15">
        <v>0</v>
      </c>
    </row>
    <row r="27" spans="1:56" x14ac:dyDescent="0.35">
      <c r="A27" s="14" t="s">
        <v>124</v>
      </c>
      <c r="B27" s="15">
        <v>30</v>
      </c>
      <c r="C27" s="16">
        <v>47.046277855317008</v>
      </c>
      <c r="D27" s="15">
        <v>1</v>
      </c>
      <c r="E27" s="15">
        <v>0</v>
      </c>
      <c r="F27" s="15">
        <v>0</v>
      </c>
      <c r="G27" s="15">
        <v>0</v>
      </c>
      <c r="H27" s="15">
        <v>0</v>
      </c>
      <c r="I27" s="15">
        <v>0</v>
      </c>
      <c r="J27" s="15">
        <v>0</v>
      </c>
      <c r="K27" s="15">
        <v>0</v>
      </c>
      <c r="L27" s="15">
        <v>0</v>
      </c>
      <c r="M27" s="15">
        <v>0</v>
      </c>
      <c r="N27" s="15">
        <v>1</v>
      </c>
      <c r="O27" s="15">
        <v>0</v>
      </c>
      <c r="P27" s="15">
        <v>0</v>
      </c>
      <c r="Q27" s="15">
        <v>2</v>
      </c>
      <c r="R27" s="15">
        <v>0</v>
      </c>
      <c r="S27" s="15">
        <v>1</v>
      </c>
      <c r="T27" s="15">
        <v>0</v>
      </c>
      <c r="U27" s="15">
        <v>0</v>
      </c>
      <c r="V27" s="15">
        <v>1</v>
      </c>
      <c r="W27" s="15">
        <v>0</v>
      </c>
      <c r="X27" s="15">
        <v>3</v>
      </c>
      <c r="Y27" s="15">
        <v>0</v>
      </c>
      <c r="Z27" s="15">
        <v>0</v>
      </c>
      <c r="AA27" s="15">
        <v>1</v>
      </c>
      <c r="AB27" s="15">
        <v>0</v>
      </c>
      <c r="AC27" s="15">
        <v>0</v>
      </c>
      <c r="AD27" s="15">
        <v>0</v>
      </c>
      <c r="AE27" s="15">
        <v>0</v>
      </c>
      <c r="AF27" s="15">
        <v>0</v>
      </c>
      <c r="AG27" s="15">
        <v>0</v>
      </c>
      <c r="AH27" s="15">
        <v>1</v>
      </c>
      <c r="AI27" s="15">
        <v>0</v>
      </c>
      <c r="AJ27" s="15">
        <v>2</v>
      </c>
      <c r="AK27" s="15">
        <v>3</v>
      </c>
      <c r="AL27" s="15">
        <v>0</v>
      </c>
      <c r="AM27" s="15">
        <v>1</v>
      </c>
      <c r="AN27" s="15">
        <v>0</v>
      </c>
      <c r="AO27" s="15">
        <v>2</v>
      </c>
      <c r="AP27" s="15">
        <v>0</v>
      </c>
      <c r="AQ27" s="15">
        <v>2</v>
      </c>
      <c r="AR27" s="15">
        <v>3</v>
      </c>
      <c r="AS27" s="15">
        <v>0</v>
      </c>
      <c r="AT27" s="15">
        <v>1</v>
      </c>
      <c r="AU27" s="15">
        <v>1</v>
      </c>
      <c r="AV27" s="15">
        <v>0</v>
      </c>
      <c r="AW27" s="15">
        <v>1</v>
      </c>
      <c r="AX27" s="15">
        <v>1</v>
      </c>
      <c r="AY27" s="15">
        <v>0</v>
      </c>
      <c r="AZ27" s="15">
        <v>2</v>
      </c>
      <c r="BA27" s="15">
        <v>0</v>
      </c>
      <c r="BB27" s="15">
        <v>0</v>
      </c>
      <c r="BC27" s="15">
        <v>0</v>
      </c>
      <c r="BD27" s="15">
        <v>0</v>
      </c>
    </row>
    <row r="28" spans="1:56" x14ac:dyDescent="0.35">
      <c r="A28" s="14" t="s">
        <v>125</v>
      </c>
      <c r="B28" s="15">
        <v>68</v>
      </c>
      <c r="C28" s="16">
        <v>107.86630922732824</v>
      </c>
      <c r="D28" s="15">
        <v>2</v>
      </c>
      <c r="E28" s="15">
        <v>1</v>
      </c>
      <c r="F28" s="15">
        <v>0</v>
      </c>
      <c r="G28" s="15">
        <v>0</v>
      </c>
      <c r="H28" s="15">
        <v>1</v>
      </c>
      <c r="I28" s="15">
        <v>0</v>
      </c>
      <c r="J28" s="15">
        <v>0</v>
      </c>
      <c r="K28" s="15">
        <v>1</v>
      </c>
      <c r="L28" s="15">
        <v>1</v>
      </c>
      <c r="M28" s="15">
        <v>1</v>
      </c>
      <c r="N28" s="15">
        <v>0</v>
      </c>
      <c r="O28" s="15">
        <v>1</v>
      </c>
      <c r="P28" s="15">
        <v>3</v>
      </c>
      <c r="Q28" s="15">
        <v>1</v>
      </c>
      <c r="R28" s="15">
        <v>3</v>
      </c>
      <c r="S28" s="15">
        <v>0</v>
      </c>
      <c r="T28" s="15">
        <v>0</v>
      </c>
      <c r="U28" s="15">
        <v>1</v>
      </c>
      <c r="V28" s="15">
        <v>0</v>
      </c>
      <c r="W28" s="15">
        <v>4</v>
      </c>
      <c r="X28" s="15">
        <v>1</v>
      </c>
      <c r="Y28" s="15">
        <v>0</v>
      </c>
      <c r="Z28" s="15">
        <v>1</v>
      </c>
      <c r="AA28" s="15">
        <v>3</v>
      </c>
      <c r="AB28" s="15">
        <v>0</v>
      </c>
      <c r="AC28" s="15">
        <v>0</v>
      </c>
      <c r="AD28" s="15">
        <v>0</v>
      </c>
      <c r="AE28" s="15">
        <v>1</v>
      </c>
      <c r="AF28" s="15">
        <v>2</v>
      </c>
      <c r="AG28" s="15">
        <v>2</v>
      </c>
      <c r="AH28" s="15">
        <v>2</v>
      </c>
      <c r="AI28" s="15">
        <v>2</v>
      </c>
      <c r="AJ28" s="15">
        <v>3</v>
      </c>
      <c r="AK28" s="15">
        <v>4</v>
      </c>
      <c r="AL28" s="15">
        <v>4</v>
      </c>
      <c r="AM28" s="15">
        <v>3</v>
      </c>
      <c r="AN28" s="15">
        <v>1</v>
      </c>
      <c r="AO28" s="15">
        <v>3</v>
      </c>
      <c r="AP28" s="15">
        <v>0</v>
      </c>
      <c r="AQ28" s="15">
        <v>4</v>
      </c>
      <c r="AR28" s="15">
        <v>5</v>
      </c>
      <c r="AS28" s="15">
        <v>0</v>
      </c>
      <c r="AT28" s="15">
        <v>0</v>
      </c>
      <c r="AU28" s="15">
        <v>0</v>
      </c>
      <c r="AV28" s="15">
        <v>0</v>
      </c>
      <c r="AW28" s="15">
        <v>2</v>
      </c>
      <c r="AX28" s="15">
        <v>0</v>
      </c>
      <c r="AY28" s="15">
        <v>3</v>
      </c>
      <c r="AZ28" s="15">
        <v>1</v>
      </c>
      <c r="BA28" s="15">
        <v>1</v>
      </c>
      <c r="BB28" s="15">
        <v>0</v>
      </c>
      <c r="BC28" s="15">
        <v>0</v>
      </c>
      <c r="BD28" s="15">
        <v>0</v>
      </c>
    </row>
    <row r="29" spans="1:56" x14ac:dyDescent="0.35">
      <c r="A29" s="14" t="s">
        <v>126</v>
      </c>
      <c r="B29" s="15">
        <v>29</v>
      </c>
      <c r="C29" s="16">
        <v>403.89972144846797</v>
      </c>
      <c r="D29" s="15">
        <v>0</v>
      </c>
      <c r="E29" s="15">
        <v>0</v>
      </c>
      <c r="F29" s="15">
        <v>0</v>
      </c>
      <c r="G29" s="15">
        <v>0</v>
      </c>
      <c r="H29" s="15">
        <v>0</v>
      </c>
      <c r="I29" s="15">
        <v>0</v>
      </c>
      <c r="J29" s="15">
        <v>0</v>
      </c>
      <c r="K29" s="15">
        <v>0</v>
      </c>
      <c r="L29" s="15">
        <v>0</v>
      </c>
      <c r="M29" s="15">
        <v>0</v>
      </c>
      <c r="N29" s="15">
        <v>0</v>
      </c>
      <c r="O29" s="15">
        <v>0</v>
      </c>
      <c r="P29" s="15">
        <v>0</v>
      </c>
      <c r="Q29" s="15">
        <v>0</v>
      </c>
      <c r="R29" s="15">
        <v>0</v>
      </c>
      <c r="S29" s="15">
        <v>0</v>
      </c>
      <c r="T29" s="15">
        <v>0</v>
      </c>
      <c r="U29" s="15">
        <v>0</v>
      </c>
      <c r="V29" s="15">
        <v>0</v>
      </c>
      <c r="W29" s="15">
        <v>0</v>
      </c>
      <c r="X29" s="15">
        <v>0</v>
      </c>
      <c r="Y29" s="15">
        <v>1</v>
      </c>
      <c r="Z29" s="15">
        <v>0</v>
      </c>
      <c r="AA29" s="15">
        <v>0</v>
      </c>
      <c r="AB29" s="15">
        <v>0</v>
      </c>
      <c r="AC29" s="15">
        <v>0</v>
      </c>
      <c r="AD29" s="15">
        <v>1</v>
      </c>
      <c r="AE29" s="15">
        <v>0</v>
      </c>
      <c r="AF29" s="15">
        <v>0</v>
      </c>
      <c r="AG29" s="15">
        <v>1</v>
      </c>
      <c r="AH29" s="15">
        <v>0</v>
      </c>
      <c r="AI29" s="15">
        <v>1</v>
      </c>
      <c r="AJ29" s="15">
        <v>0</v>
      </c>
      <c r="AK29" s="15">
        <v>1</v>
      </c>
      <c r="AL29" s="15">
        <v>3</v>
      </c>
      <c r="AM29" s="15">
        <v>0</v>
      </c>
      <c r="AN29" s="15">
        <v>0</v>
      </c>
      <c r="AO29" s="15">
        <v>3</v>
      </c>
      <c r="AP29" s="15">
        <v>0</v>
      </c>
      <c r="AQ29" s="15">
        <v>2</v>
      </c>
      <c r="AR29" s="15">
        <v>4</v>
      </c>
      <c r="AS29" s="15">
        <v>3</v>
      </c>
      <c r="AT29" s="15">
        <v>2</v>
      </c>
      <c r="AU29" s="15">
        <v>1</v>
      </c>
      <c r="AV29" s="15">
        <v>0</v>
      </c>
      <c r="AW29" s="15">
        <v>2</v>
      </c>
      <c r="AX29" s="15">
        <v>2</v>
      </c>
      <c r="AY29" s="15">
        <v>1</v>
      </c>
      <c r="AZ29" s="15">
        <v>0</v>
      </c>
      <c r="BA29" s="15">
        <v>1</v>
      </c>
      <c r="BB29" s="15">
        <v>0</v>
      </c>
      <c r="BC29" s="15">
        <v>0</v>
      </c>
      <c r="BD29" s="15">
        <v>0</v>
      </c>
    </row>
    <row r="30" spans="1:56" x14ac:dyDescent="0.35">
      <c r="A30" s="14" t="s">
        <v>127</v>
      </c>
      <c r="B30" s="15">
        <v>0</v>
      </c>
      <c r="C30" s="16">
        <v>0</v>
      </c>
      <c r="D30" s="15">
        <v>0</v>
      </c>
      <c r="E30" s="15">
        <v>0</v>
      </c>
      <c r="F30" s="15">
        <v>0</v>
      </c>
      <c r="G30" s="15">
        <v>0</v>
      </c>
      <c r="H30" s="15">
        <v>0</v>
      </c>
      <c r="I30" s="15">
        <v>0</v>
      </c>
      <c r="J30" s="15">
        <v>0</v>
      </c>
      <c r="K30" s="15">
        <v>0</v>
      </c>
      <c r="L30" s="15">
        <v>0</v>
      </c>
      <c r="M30" s="15">
        <v>0</v>
      </c>
      <c r="N30" s="15">
        <v>0</v>
      </c>
      <c r="O30" s="15">
        <v>0</v>
      </c>
      <c r="P30" s="15">
        <v>0</v>
      </c>
      <c r="Q30" s="15">
        <v>0</v>
      </c>
      <c r="R30" s="15">
        <v>0</v>
      </c>
      <c r="S30" s="15">
        <v>0</v>
      </c>
      <c r="T30" s="15">
        <v>0</v>
      </c>
      <c r="U30" s="15">
        <v>0</v>
      </c>
      <c r="V30" s="15">
        <v>0</v>
      </c>
      <c r="W30" s="15">
        <v>0</v>
      </c>
      <c r="X30" s="15">
        <v>0</v>
      </c>
      <c r="Y30" s="15">
        <v>0</v>
      </c>
      <c r="Z30" s="15">
        <v>0</v>
      </c>
      <c r="AA30" s="15">
        <v>0</v>
      </c>
      <c r="AB30" s="15">
        <v>0</v>
      </c>
      <c r="AC30" s="15">
        <v>0</v>
      </c>
      <c r="AD30" s="15">
        <v>0</v>
      </c>
      <c r="AE30" s="15">
        <v>0</v>
      </c>
      <c r="AF30" s="15">
        <v>0</v>
      </c>
      <c r="AG30" s="15">
        <v>0</v>
      </c>
      <c r="AH30" s="15">
        <v>0</v>
      </c>
      <c r="AI30" s="15">
        <v>0</v>
      </c>
      <c r="AJ30" s="15">
        <v>0</v>
      </c>
      <c r="AK30" s="15">
        <v>0</v>
      </c>
      <c r="AL30" s="15">
        <v>0</v>
      </c>
      <c r="AM30" s="15">
        <v>0</v>
      </c>
      <c r="AN30" s="15">
        <v>0</v>
      </c>
      <c r="AO30" s="15">
        <v>0</v>
      </c>
      <c r="AP30" s="15">
        <v>0</v>
      </c>
      <c r="AQ30" s="15">
        <v>0</v>
      </c>
      <c r="AR30" s="15">
        <v>0</v>
      </c>
      <c r="AS30" s="15">
        <v>0</v>
      </c>
      <c r="AT30" s="15">
        <v>0</v>
      </c>
      <c r="AU30" s="15">
        <v>0</v>
      </c>
      <c r="AV30" s="15">
        <v>0</v>
      </c>
      <c r="AW30" s="15">
        <v>0</v>
      </c>
      <c r="AX30" s="15">
        <v>0</v>
      </c>
      <c r="AY30" s="15">
        <v>0</v>
      </c>
      <c r="AZ30" s="15">
        <v>0</v>
      </c>
      <c r="BA30" s="15">
        <v>0</v>
      </c>
      <c r="BB30" s="15">
        <v>0</v>
      </c>
      <c r="BC30" s="15">
        <v>0</v>
      </c>
      <c r="BD30" s="15">
        <v>0</v>
      </c>
    </row>
    <row r="31" spans="1:56" x14ac:dyDescent="0.35">
      <c r="A31" s="14" t="s">
        <v>128</v>
      </c>
      <c r="B31" s="15">
        <v>150</v>
      </c>
      <c r="C31" s="16">
        <v>183.6322458223664</v>
      </c>
      <c r="D31" s="15">
        <v>3</v>
      </c>
      <c r="E31" s="15">
        <v>1</v>
      </c>
      <c r="F31" s="15">
        <v>3</v>
      </c>
      <c r="G31" s="15">
        <v>2</v>
      </c>
      <c r="H31" s="15">
        <v>2</v>
      </c>
      <c r="I31" s="15">
        <v>1</v>
      </c>
      <c r="J31" s="15">
        <v>1</v>
      </c>
      <c r="K31" s="15">
        <v>2</v>
      </c>
      <c r="L31" s="15">
        <v>0</v>
      </c>
      <c r="M31" s="15">
        <v>1</v>
      </c>
      <c r="N31" s="15">
        <v>0</v>
      </c>
      <c r="O31" s="15">
        <v>1</v>
      </c>
      <c r="P31" s="15">
        <v>0</v>
      </c>
      <c r="Q31" s="15">
        <v>1</v>
      </c>
      <c r="R31" s="15">
        <v>0</v>
      </c>
      <c r="S31" s="15">
        <v>0</v>
      </c>
      <c r="T31" s="15">
        <v>0</v>
      </c>
      <c r="U31" s="15">
        <v>0</v>
      </c>
      <c r="V31" s="15">
        <v>2</v>
      </c>
      <c r="W31" s="15">
        <v>0</v>
      </c>
      <c r="X31" s="15">
        <v>0</v>
      </c>
      <c r="Y31" s="15">
        <v>1</v>
      </c>
      <c r="Z31" s="15">
        <v>3</v>
      </c>
      <c r="AA31" s="15">
        <v>0</v>
      </c>
      <c r="AB31" s="15">
        <v>5</v>
      </c>
      <c r="AC31" s="15">
        <v>1</v>
      </c>
      <c r="AD31" s="15">
        <v>0</v>
      </c>
      <c r="AE31" s="15">
        <v>1</v>
      </c>
      <c r="AF31" s="15">
        <v>3</v>
      </c>
      <c r="AG31" s="15">
        <v>5</v>
      </c>
      <c r="AH31" s="15">
        <v>5</v>
      </c>
      <c r="AI31" s="15">
        <v>6</v>
      </c>
      <c r="AJ31" s="15">
        <v>1</v>
      </c>
      <c r="AK31" s="15">
        <v>7</v>
      </c>
      <c r="AL31" s="15">
        <v>1</v>
      </c>
      <c r="AM31" s="15">
        <v>11</v>
      </c>
      <c r="AN31" s="15">
        <v>9</v>
      </c>
      <c r="AO31" s="15">
        <v>5</v>
      </c>
      <c r="AP31" s="15">
        <v>8</v>
      </c>
      <c r="AQ31" s="15">
        <v>8</v>
      </c>
      <c r="AR31" s="15">
        <v>12</v>
      </c>
      <c r="AS31" s="15">
        <v>2</v>
      </c>
      <c r="AT31" s="15">
        <v>2</v>
      </c>
      <c r="AU31" s="15">
        <v>3</v>
      </c>
      <c r="AV31" s="15">
        <v>4</v>
      </c>
      <c r="AW31" s="15">
        <v>3</v>
      </c>
      <c r="AX31" s="15">
        <v>2</v>
      </c>
      <c r="AY31" s="15">
        <v>7</v>
      </c>
      <c r="AZ31" s="15">
        <v>4</v>
      </c>
      <c r="BA31" s="15">
        <v>4</v>
      </c>
      <c r="BB31" s="15">
        <v>6</v>
      </c>
      <c r="BC31" s="15">
        <v>1</v>
      </c>
      <c r="BD31" s="15">
        <v>0</v>
      </c>
    </row>
    <row r="32" spans="1:56" x14ac:dyDescent="0.35">
      <c r="A32" s="14" t="s">
        <v>129</v>
      </c>
      <c r="B32" s="15">
        <v>157</v>
      </c>
      <c r="C32" s="16">
        <v>109.58559891670797</v>
      </c>
      <c r="D32" s="15">
        <v>4</v>
      </c>
      <c r="E32" s="15">
        <v>9</v>
      </c>
      <c r="F32" s="15">
        <v>1</v>
      </c>
      <c r="G32" s="15">
        <v>2</v>
      </c>
      <c r="H32" s="15">
        <v>2</v>
      </c>
      <c r="I32" s="15">
        <v>1</v>
      </c>
      <c r="J32" s="15">
        <v>2</v>
      </c>
      <c r="K32" s="15">
        <v>2</v>
      </c>
      <c r="L32" s="15">
        <v>1</v>
      </c>
      <c r="M32" s="15">
        <v>0</v>
      </c>
      <c r="N32" s="15">
        <v>0</v>
      </c>
      <c r="O32" s="15">
        <v>0</v>
      </c>
      <c r="P32" s="15">
        <v>0</v>
      </c>
      <c r="Q32" s="15">
        <v>3</v>
      </c>
      <c r="R32" s="15">
        <v>2</v>
      </c>
      <c r="S32" s="15">
        <v>1</v>
      </c>
      <c r="T32" s="15">
        <v>1</v>
      </c>
      <c r="U32" s="15">
        <v>0</v>
      </c>
      <c r="V32" s="15">
        <v>3</v>
      </c>
      <c r="W32" s="15">
        <v>1</v>
      </c>
      <c r="X32" s="15">
        <v>0</v>
      </c>
      <c r="Y32" s="15">
        <v>3</v>
      </c>
      <c r="Z32" s="15">
        <v>2</v>
      </c>
      <c r="AA32" s="15">
        <v>4</v>
      </c>
      <c r="AB32" s="15">
        <v>2</v>
      </c>
      <c r="AC32" s="15">
        <v>3</v>
      </c>
      <c r="AD32" s="15">
        <v>7</v>
      </c>
      <c r="AE32" s="15">
        <v>2</v>
      </c>
      <c r="AF32" s="15">
        <v>6</v>
      </c>
      <c r="AG32" s="15">
        <v>7</v>
      </c>
      <c r="AH32" s="15">
        <v>3</v>
      </c>
      <c r="AI32" s="15">
        <v>10</v>
      </c>
      <c r="AJ32" s="15">
        <v>4</v>
      </c>
      <c r="AK32" s="15">
        <v>5</v>
      </c>
      <c r="AL32" s="15">
        <v>2</v>
      </c>
      <c r="AM32" s="15">
        <v>3</v>
      </c>
      <c r="AN32" s="15">
        <v>3</v>
      </c>
      <c r="AO32" s="15">
        <v>3</v>
      </c>
      <c r="AP32" s="15">
        <v>7</v>
      </c>
      <c r="AQ32" s="15">
        <v>3</v>
      </c>
      <c r="AR32" s="15">
        <v>5</v>
      </c>
      <c r="AS32" s="15">
        <v>3</v>
      </c>
      <c r="AT32" s="15">
        <v>4</v>
      </c>
      <c r="AU32" s="15">
        <v>2</v>
      </c>
      <c r="AV32" s="15">
        <v>5</v>
      </c>
      <c r="AW32" s="15">
        <v>1</v>
      </c>
      <c r="AX32" s="15">
        <v>4</v>
      </c>
      <c r="AY32" s="15">
        <v>3</v>
      </c>
      <c r="AZ32" s="15">
        <v>10</v>
      </c>
      <c r="BA32" s="15">
        <v>4</v>
      </c>
      <c r="BB32" s="15">
        <v>0</v>
      </c>
      <c r="BC32" s="15">
        <v>2</v>
      </c>
      <c r="BD32" s="15">
        <v>0</v>
      </c>
    </row>
    <row r="33" spans="1:56" x14ac:dyDescent="0.35">
      <c r="A33" s="14" t="s">
        <v>130</v>
      </c>
      <c r="B33" s="15">
        <v>3</v>
      </c>
      <c r="C33" s="16">
        <v>21.134202183867558</v>
      </c>
      <c r="D33" s="15">
        <v>0</v>
      </c>
      <c r="E33" s="15">
        <v>1</v>
      </c>
      <c r="F33" s="15">
        <v>0</v>
      </c>
      <c r="G33" s="15">
        <v>0</v>
      </c>
      <c r="H33" s="15">
        <v>0</v>
      </c>
      <c r="I33" s="15">
        <v>0</v>
      </c>
      <c r="J33" s="15">
        <v>0</v>
      </c>
      <c r="K33" s="15">
        <v>0</v>
      </c>
      <c r="L33" s="15">
        <v>0</v>
      </c>
      <c r="M33" s="15">
        <v>0</v>
      </c>
      <c r="N33" s="15">
        <v>0</v>
      </c>
      <c r="O33" s="15">
        <v>0</v>
      </c>
      <c r="P33" s="15">
        <v>0</v>
      </c>
      <c r="Q33" s="15">
        <v>0</v>
      </c>
      <c r="R33" s="15">
        <v>0</v>
      </c>
      <c r="S33" s="15">
        <v>0</v>
      </c>
      <c r="T33" s="15">
        <v>0</v>
      </c>
      <c r="U33" s="15">
        <v>0</v>
      </c>
      <c r="V33" s="15">
        <v>0</v>
      </c>
      <c r="W33" s="15">
        <v>0</v>
      </c>
      <c r="X33" s="15">
        <v>0</v>
      </c>
      <c r="Y33" s="15">
        <v>0</v>
      </c>
      <c r="Z33" s="15">
        <v>0</v>
      </c>
      <c r="AA33" s="15">
        <v>0</v>
      </c>
      <c r="AB33" s="15">
        <v>1</v>
      </c>
      <c r="AC33" s="15">
        <v>0</v>
      </c>
      <c r="AD33" s="15">
        <v>0</v>
      </c>
      <c r="AE33" s="15">
        <v>0</v>
      </c>
      <c r="AF33" s="15">
        <v>0</v>
      </c>
      <c r="AG33" s="15">
        <v>0</v>
      </c>
      <c r="AH33" s="15">
        <v>1</v>
      </c>
      <c r="AI33" s="15">
        <v>0</v>
      </c>
      <c r="AJ33" s="15">
        <v>0</v>
      </c>
      <c r="AK33" s="15">
        <v>0</v>
      </c>
      <c r="AL33" s="15">
        <v>0</v>
      </c>
      <c r="AM33" s="15">
        <v>0</v>
      </c>
      <c r="AN33" s="15">
        <v>0</v>
      </c>
      <c r="AO33" s="15">
        <v>0</v>
      </c>
      <c r="AP33" s="15">
        <v>0</v>
      </c>
      <c r="AQ33" s="15">
        <v>0</v>
      </c>
      <c r="AR33" s="15">
        <v>0</v>
      </c>
      <c r="AS33" s="15">
        <v>0</v>
      </c>
      <c r="AT33" s="15">
        <v>0</v>
      </c>
      <c r="AU33" s="15">
        <v>0</v>
      </c>
      <c r="AV33" s="15">
        <v>0</v>
      </c>
      <c r="AW33" s="15">
        <v>0</v>
      </c>
      <c r="AX33" s="15">
        <v>0</v>
      </c>
      <c r="AY33" s="15">
        <v>0</v>
      </c>
      <c r="AZ33" s="15">
        <v>0</v>
      </c>
      <c r="BA33" s="15">
        <v>0</v>
      </c>
      <c r="BB33" s="15">
        <v>0</v>
      </c>
      <c r="BC33" s="15">
        <v>0</v>
      </c>
      <c r="BD33" s="15">
        <v>0</v>
      </c>
    </row>
    <row r="34" spans="1:56" x14ac:dyDescent="0.35">
      <c r="A34" s="14"/>
      <c r="B34" s="12"/>
      <c r="C34" s="13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2"/>
      <c r="BC34" s="2"/>
      <c r="BD34" s="2"/>
    </row>
    <row r="35" spans="1:56" x14ac:dyDescent="0.35">
      <c r="A35" s="1" t="s">
        <v>131</v>
      </c>
      <c r="B35" s="10">
        <v>7977</v>
      </c>
      <c r="C35" s="11">
        <v>738.22491011646684</v>
      </c>
      <c r="D35" s="10">
        <v>279</v>
      </c>
      <c r="E35" s="10">
        <v>267</v>
      </c>
      <c r="F35" s="10">
        <v>226</v>
      </c>
      <c r="G35" s="10">
        <v>223</v>
      </c>
      <c r="H35" s="10">
        <v>208</v>
      </c>
      <c r="I35" s="10">
        <v>142</v>
      </c>
      <c r="J35" s="10">
        <v>154</v>
      </c>
      <c r="K35" s="10">
        <v>124</v>
      </c>
      <c r="L35" s="10">
        <v>104</v>
      </c>
      <c r="M35" s="10">
        <v>89</v>
      </c>
      <c r="N35" s="10">
        <v>69</v>
      </c>
      <c r="O35" s="10">
        <v>71</v>
      </c>
      <c r="P35" s="10">
        <v>29</v>
      </c>
      <c r="Q35" s="10">
        <v>72</v>
      </c>
      <c r="R35" s="10">
        <v>83</v>
      </c>
      <c r="S35" s="10">
        <v>74</v>
      </c>
      <c r="T35" s="10">
        <v>70</v>
      </c>
      <c r="U35" s="10">
        <v>62</v>
      </c>
      <c r="V35" s="10">
        <v>67</v>
      </c>
      <c r="W35" s="10">
        <v>82</v>
      </c>
      <c r="X35" s="10">
        <v>92</v>
      </c>
      <c r="Y35" s="10">
        <v>133</v>
      </c>
      <c r="Z35" s="10">
        <v>166</v>
      </c>
      <c r="AA35" s="10">
        <v>178</v>
      </c>
      <c r="AB35" s="10">
        <v>201</v>
      </c>
      <c r="AC35" s="10">
        <v>205</v>
      </c>
      <c r="AD35" s="10">
        <v>211</v>
      </c>
      <c r="AE35" s="10">
        <v>231</v>
      </c>
      <c r="AF35" s="10">
        <v>304</v>
      </c>
      <c r="AG35" s="10">
        <v>270</v>
      </c>
      <c r="AH35" s="10">
        <v>311</v>
      </c>
      <c r="AI35" s="10">
        <v>314</v>
      </c>
      <c r="AJ35" s="10">
        <v>250</v>
      </c>
      <c r="AK35" s="10">
        <v>321</v>
      </c>
      <c r="AL35" s="10">
        <v>252</v>
      </c>
      <c r="AM35" s="10">
        <v>243</v>
      </c>
      <c r="AN35" s="10">
        <v>292</v>
      </c>
      <c r="AO35" s="10">
        <v>237</v>
      </c>
      <c r="AP35" s="10">
        <v>166</v>
      </c>
      <c r="AQ35" s="10">
        <v>134</v>
      </c>
      <c r="AR35" s="10">
        <v>164</v>
      </c>
      <c r="AS35" s="10">
        <v>128</v>
      </c>
      <c r="AT35" s="10">
        <v>105</v>
      </c>
      <c r="AU35" s="10">
        <v>98</v>
      </c>
      <c r="AV35" s="10">
        <v>92</v>
      </c>
      <c r="AW35" s="10">
        <v>62</v>
      </c>
      <c r="AX35" s="10">
        <v>80</v>
      </c>
      <c r="AY35" s="10">
        <v>61</v>
      </c>
      <c r="AZ35" s="10">
        <v>65</v>
      </c>
      <c r="BA35" s="10">
        <v>59</v>
      </c>
      <c r="BB35" s="10">
        <v>40</v>
      </c>
      <c r="BC35" s="10">
        <v>17</v>
      </c>
      <c r="BD35" s="10">
        <v>0</v>
      </c>
    </row>
    <row r="36" spans="1:56" x14ac:dyDescent="0.35">
      <c r="A36" s="14" t="s">
        <v>132</v>
      </c>
      <c r="B36" s="15">
        <v>3151</v>
      </c>
      <c r="C36" s="16">
        <v>957.28230258141161</v>
      </c>
      <c r="D36" s="15">
        <v>141</v>
      </c>
      <c r="E36" s="15">
        <v>139</v>
      </c>
      <c r="F36" s="15">
        <v>106</v>
      </c>
      <c r="G36" s="15">
        <v>96</v>
      </c>
      <c r="H36" s="15">
        <v>95</v>
      </c>
      <c r="I36" s="15">
        <v>66</v>
      </c>
      <c r="J36" s="15">
        <v>74</v>
      </c>
      <c r="K36" s="15">
        <v>55</v>
      </c>
      <c r="L36" s="15">
        <v>33</v>
      </c>
      <c r="M36" s="15">
        <v>26</v>
      </c>
      <c r="N36" s="15">
        <v>25</v>
      </c>
      <c r="O36" s="15">
        <v>29</v>
      </c>
      <c r="P36" s="15">
        <v>13</v>
      </c>
      <c r="Q36" s="15">
        <v>24</v>
      </c>
      <c r="R36" s="15">
        <v>34</v>
      </c>
      <c r="S36" s="15">
        <v>19</v>
      </c>
      <c r="T36" s="15">
        <v>21</v>
      </c>
      <c r="U36" s="15">
        <v>21</v>
      </c>
      <c r="V36" s="15">
        <v>14</v>
      </c>
      <c r="W36" s="15">
        <v>21</v>
      </c>
      <c r="X36" s="15">
        <v>17</v>
      </c>
      <c r="Y36" s="15">
        <v>29</v>
      </c>
      <c r="Z36" s="15">
        <v>46</v>
      </c>
      <c r="AA36" s="15">
        <v>35</v>
      </c>
      <c r="AB36" s="15">
        <v>50</v>
      </c>
      <c r="AC36" s="15">
        <v>43</v>
      </c>
      <c r="AD36" s="15">
        <v>40</v>
      </c>
      <c r="AE36" s="15">
        <v>51</v>
      </c>
      <c r="AF36" s="15">
        <v>94</v>
      </c>
      <c r="AG36" s="15">
        <v>93</v>
      </c>
      <c r="AH36" s="15">
        <v>111</v>
      </c>
      <c r="AI36" s="15">
        <v>109</v>
      </c>
      <c r="AJ36" s="15">
        <v>90</v>
      </c>
      <c r="AK36" s="15">
        <v>116</v>
      </c>
      <c r="AL36" s="15">
        <v>105</v>
      </c>
      <c r="AM36" s="15">
        <v>141</v>
      </c>
      <c r="AN36" s="15">
        <v>162</v>
      </c>
      <c r="AO36" s="15">
        <v>122</v>
      </c>
      <c r="AP36" s="15">
        <v>93</v>
      </c>
      <c r="AQ36" s="15">
        <v>57</v>
      </c>
      <c r="AR36" s="15">
        <v>72</v>
      </c>
      <c r="AS36" s="15">
        <v>73</v>
      </c>
      <c r="AT36" s="15">
        <v>53</v>
      </c>
      <c r="AU36" s="15">
        <v>57</v>
      </c>
      <c r="AV36" s="15">
        <v>46</v>
      </c>
      <c r="AW36" s="15">
        <v>33</v>
      </c>
      <c r="AX36" s="15">
        <v>39</v>
      </c>
      <c r="AY36" s="15">
        <v>29</v>
      </c>
      <c r="AZ36" s="15">
        <v>32</v>
      </c>
      <c r="BA36" s="15">
        <v>34</v>
      </c>
      <c r="BB36" s="15">
        <v>22</v>
      </c>
      <c r="BC36" s="15">
        <v>5</v>
      </c>
      <c r="BD36" s="15">
        <v>0</v>
      </c>
    </row>
    <row r="37" spans="1:56" x14ac:dyDescent="0.35">
      <c r="A37" s="14" t="s">
        <v>133</v>
      </c>
      <c r="B37" s="15">
        <v>102</v>
      </c>
      <c r="C37" s="16">
        <v>104.50070179392871</v>
      </c>
      <c r="D37" s="15">
        <v>4</v>
      </c>
      <c r="E37" s="15">
        <v>2</v>
      </c>
      <c r="F37" s="15">
        <v>3</v>
      </c>
      <c r="G37" s="15">
        <v>2</v>
      </c>
      <c r="H37" s="15">
        <v>1</v>
      </c>
      <c r="I37" s="15">
        <v>1</v>
      </c>
      <c r="J37" s="15">
        <v>0</v>
      </c>
      <c r="K37" s="15">
        <v>0</v>
      </c>
      <c r="L37" s="15">
        <v>1</v>
      </c>
      <c r="M37" s="15">
        <v>0</v>
      </c>
      <c r="N37" s="15">
        <v>1</v>
      </c>
      <c r="O37" s="15">
        <v>1</v>
      </c>
      <c r="P37" s="15">
        <v>0</v>
      </c>
      <c r="Q37" s="15">
        <v>0</v>
      </c>
      <c r="R37" s="15">
        <v>0</v>
      </c>
      <c r="S37" s="15">
        <v>1</v>
      </c>
      <c r="T37" s="15">
        <v>0</v>
      </c>
      <c r="U37" s="15">
        <v>0</v>
      </c>
      <c r="V37" s="15">
        <v>0</v>
      </c>
      <c r="W37" s="15">
        <v>0</v>
      </c>
      <c r="X37" s="15">
        <v>0</v>
      </c>
      <c r="Y37" s="15">
        <v>2</v>
      </c>
      <c r="Z37" s="15">
        <v>1</v>
      </c>
      <c r="AA37" s="15">
        <v>3</v>
      </c>
      <c r="AB37" s="15">
        <v>3</v>
      </c>
      <c r="AC37" s="15">
        <v>5</v>
      </c>
      <c r="AD37" s="15">
        <v>3</v>
      </c>
      <c r="AE37" s="15">
        <v>4</v>
      </c>
      <c r="AF37" s="15">
        <v>3</v>
      </c>
      <c r="AG37" s="15">
        <v>3</v>
      </c>
      <c r="AH37" s="15">
        <v>0</v>
      </c>
      <c r="AI37" s="15">
        <v>2</v>
      </c>
      <c r="AJ37" s="15">
        <v>6</v>
      </c>
      <c r="AK37" s="15">
        <v>2</v>
      </c>
      <c r="AL37" s="15">
        <v>0</v>
      </c>
      <c r="AM37" s="15">
        <v>5</v>
      </c>
      <c r="AN37" s="15">
        <v>4</v>
      </c>
      <c r="AO37" s="15">
        <v>2</v>
      </c>
      <c r="AP37" s="15">
        <v>0</v>
      </c>
      <c r="AQ37" s="15">
        <v>1</v>
      </c>
      <c r="AR37" s="15">
        <v>2</v>
      </c>
      <c r="AS37" s="15">
        <v>4</v>
      </c>
      <c r="AT37" s="15">
        <v>2</v>
      </c>
      <c r="AU37" s="15">
        <v>6</v>
      </c>
      <c r="AV37" s="15">
        <v>3</v>
      </c>
      <c r="AW37" s="15">
        <v>4</v>
      </c>
      <c r="AX37" s="15">
        <v>5</v>
      </c>
      <c r="AY37" s="15">
        <v>4</v>
      </c>
      <c r="AZ37" s="15">
        <v>1</v>
      </c>
      <c r="BA37" s="15">
        <v>2</v>
      </c>
      <c r="BB37" s="15">
        <v>2</v>
      </c>
      <c r="BC37" s="15">
        <v>1</v>
      </c>
      <c r="BD37" s="15">
        <v>0</v>
      </c>
    </row>
    <row r="38" spans="1:56" x14ac:dyDescent="0.35">
      <c r="A38" s="14" t="s">
        <v>134</v>
      </c>
      <c r="B38" s="15">
        <v>434</v>
      </c>
      <c r="C38" s="16">
        <v>441.00312969963011</v>
      </c>
      <c r="D38" s="15">
        <v>18</v>
      </c>
      <c r="E38" s="15">
        <v>15</v>
      </c>
      <c r="F38" s="15">
        <v>13</v>
      </c>
      <c r="G38" s="15">
        <v>14</v>
      </c>
      <c r="H38" s="15">
        <v>17</v>
      </c>
      <c r="I38" s="15">
        <v>8</v>
      </c>
      <c r="J38" s="15">
        <v>8</v>
      </c>
      <c r="K38" s="15">
        <v>6</v>
      </c>
      <c r="L38" s="15">
        <v>3</v>
      </c>
      <c r="M38" s="15">
        <v>5</v>
      </c>
      <c r="N38" s="15">
        <v>5</v>
      </c>
      <c r="O38" s="15">
        <v>9</v>
      </c>
      <c r="P38" s="15">
        <v>3</v>
      </c>
      <c r="Q38" s="15">
        <v>5</v>
      </c>
      <c r="R38" s="15">
        <v>7</v>
      </c>
      <c r="S38" s="15">
        <v>2</v>
      </c>
      <c r="T38" s="15">
        <v>4</v>
      </c>
      <c r="U38" s="15">
        <v>2</v>
      </c>
      <c r="V38" s="15">
        <v>1</v>
      </c>
      <c r="W38" s="15">
        <v>3</v>
      </c>
      <c r="X38" s="15">
        <v>4</v>
      </c>
      <c r="Y38" s="15">
        <v>3</v>
      </c>
      <c r="Z38" s="15">
        <v>15</v>
      </c>
      <c r="AA38" s="15">
        <v>11</v>
      </c>
      <c r="AB38" s="15">
        <v>16</v>
      </c>
      <c r="AC38" s="15">
        <v>7</v>
      </c>
      <c r="AD38" s="15">
        <v>12</v>
      </c>
      <c r="AE38" s="15">
        <v>11</v>
      </c>
      <c r="AF38" s="15">
        <v>23</v>
      </c>
      <c r="AG38" s="15">
        <v>9</v>
      </c>
      <c r="AH38" s="15">
        <v>12</v>
      </c>
      <c r="AI38" s="15">
        <v>16</v>
      </c>
      <c r="AJ38" s="15">
        <v>21</v>
      </c>
      <c r="AK38" s="15">
        <v>15</v>
      </c>
      <c r="AL38" s="15">
        <v>24</v>
      </c>
      <c r="AM38" s="15">
        <v>12</v>
      </c>
      <c r="AN38" s="15">
        <v>10</v>
      </c>
      <c r="AO38" s="15">
        <v>14</v>
      </c>
      <c r="AP38" s="15">
        <v>5</v>
      </c>
      <c r="AQ38" s="15">
        <v>8</v>
      </c>
      <c r="AR38" s="15">
        <v>13</v>
      </c>
      <c r="AS38" s="15">
        <v>5</v>
      </c>
      <c r="AT38" s="15">
        <v>3</v>
      </c>
      <c r="AU38" s="15">
        <v>1</v>
      </c>
      <c r="AV38" s="15">
        <v>2</v>
      </c>
      <c r="AW38" s="15">
        <v>0</v>
      </c>
      <c r="AX38" s="15">
        <v>4</v>
      </c>
      <c r="AY38" s="15">
        <v>3</v>
      </c>
      <c r="AZ38" s="15">
        <v>3</v>
      </c>
      <c r="BA38" s="15">
        <v>2</v>
      </c>
      <c r="BB38" s="15">
        <v>0</v>
      </c>
      <c r="BC38" s="15">
        <v>2</v>
      </c>
      <c r="BD38" s="15">
        <v>0</v>
      </c>
    </row>
    <row r="39" spans="1:56" x14ac:dyDescent="0.35">
      <c r="A39" s="14" t="s">
        <v>135</v>
      </c>
      <c r="B39" s="15">
        <v>57</v>
      </c>
      <c r="C39" s="16">
        <v>770.58266864945256</v>
      </c>
      <c r="D39" s="15">
        <v>3</v>
      </c>
      <c r="E39" s="15">
        <v>4</v>
      </c>
      <c r="F39" s="15">
        <v>4</v>
      </c>
      <c r="G39" s="15">
        <v>1</v>
      </c>
      <c r="H39" s="15">
        <v>5</v>
      </c>
      <c r="I39" s="15">
        <v>2</v>
      </c>
      <c r="J39" s="15">
        <v>0</v>
      </c>
      <c r="K39" s="15">
        <v>1</v>
      </c>
      <c r="L39" s="15">
        <v>0</v>
      </c>
      <c r="M39" s="15">
        <v>0</v>
      </c>
      <c r="N39" s="15">
        <v>0</v>
      </c>
      <c r="O39" s="15">
        <v>0</v>
      </c>
      <c r="P39" s="15">
        <v>0</v>
      </c>
      <c r="Q39" s="15">
        <v>1</v>
      </c>
      <c r="R39" s="15">
        <v>1</v>
      </c>
      <c r="S39" s="15">
        <v>0</v>
      </c>
      <c r="T39" s="15">
        <v>0</v>
      </c>
      <c r="U39" s="15">
        <v>0</v>
      </c>
      <c r="V39" s="15">
        <v>1</v>
      </c>
      <c r="W39" s="15">
        <v>0</v>
      </c>
      <c r="X39" s="15">
        <v>1</v>
      </c>
      <c r="Y39" s="15">
        <v>1</v>
      </c>
      <c r="Z39" s="15">
        <v>0</v>
      </c>
      <c r="AA39" s="15">
        <v>0</v>
      </c>
      <c r="AB39" s="15">
        <v>3</v>
      </c>
      <c r="AC39" s="15">
        <v>1</v>
      </c>
      <c r="AD39" s="15">
        <v>0</v>
      </c>
      <c r="AE39" s="15">
        <v>4</v>
      </c>
      <c r="AF39" s="15">
        <v>2</v>
      </c>
      <c r="AG39" s="15">
        <v>2</v>
      </c>
      <c r="AH39" s="15">
        <v>1</v>
      </c>
      <c r="AI39" s="15">
        <v>1</v>
      </c>
      <c r="AJ39" s="15">
        <v>0</v>
      </c>
      <c r="AK39" s="15">
        <v>1</v>
      </c>
      <c r="AL39" s="15">
        <v>3</v>
      </c>
      <c r="AM39" s="15">
        <v>1</v>
      </c>
      <c r="AN39" s="15">
        <v>6</v>
      </c>
      <c r="AO39" s="15">
        <v>2</v>
      </c>
      <c r="AP39" s="15">
        <v>1</v>
      </c>
      <c r="AQ39" s="15">
        <v>0</v>
      </c>
      <c r="AR39" s="15">
        <v>0</v>
      </c>
      <c r="AS39" s="15">
        <v>1</v>
      </c>
      <c r="AT39" s="15">
        <v>1</v>
      </c>
      <c r="AU39" s="15">
        <v>0</v>
      </c>
      <c r="AV39" s="15">
        <v>0</v>
      </c>
      <c r="AW39" s="15">
        <v>1</v>
      </c>
      <c r="AX39" s="15">
        <v>0</v>
      </c>
      <c r="AY39" s="15">
        <v>0</v>
      </c>
      <c r="AZ39" s="15">
        <v>0</v>
      </c>
      <c r="BA39" s="15">
        <v>0</v>
      </c>
      <c r="BB39" s="15">
        <v>0</v>
      </c>
      <c r="BC39" s="15">
        <v>1</v>
      </c>
      <c r="BD39" s="15">
        <v>0</v>
      </c>
    </row>
    <row r="40" spans="1:56" x14ac:dyDescent="0.35">
      <c r="A40" s="14" t="s">
        <v>136</v>
      </c>
      <c r="B40" s="15">
        <v>1167</v>
      </c>
      <c r="C40" s="16">
        <v>3838.436996349044</v>
      </c>
      <c r="D40" s="15">
        <v>17</v>
      </c>
      <c r="E40" s="15">
        <v>19</v>
      </c>
      <c r="F40" s="15">
        <v>20</v>
      </c>
      <c r="G40" s="15">
        <v>23</v>
      </c>
      <c r="H40" s="15">
        <v>18</v>
      </c>
      <c r="I40" s="15">
        <v>12</v>
      </c>
      <c r="J40" s="15">
        <v>8</v>
      </c>
      <c r="K40" s="15">
        <v>10</v>
      </c>
      <c r="L40" s="15">
        <v>16</v>
      </c>
      <c r="M40" s="15">
        <v>12</v>
      </c>
      <c r="N40" s="15">
        <v>6</v>
      </c>
      <c r="O40" s="15">
        <v>9</v>
      </c>
      <c r="P40" s="15">
        <v>3</v>
      </c>
      <c r="Q40" s="15">
        <v>15</v>
      </c>
      <c r="R40" s="15">
        <v>13</v>
      </c>
      <c r="S40" s="15">
        <v>16</v>
      </c>
      <c r="T40" s="15">
        <v>15</v>
      </c>
      <c r="U40" s="15">
        <v>9</v>
      </c>
      <c r="V40" s="15">
        <v>15</v>
      </c>
      <c r="W40" s="15">
        <v>14</v>
      </c>
      <c r="X40" s="15">
        <v>22</v>
      </c>
      <c r="Y40" s="15">
        <v>38</v>
      </c>
      <c r="Z40" s="15">
        <v>43</v>
      </c>
      <c r="AA40" s="15">
        <v>53</v>
      </c>
      <c r="AB40" s="15">
        <v>47</v>
      </c>
      <c r="AC40" s="15">
        <v>63</v>
      </c>
      <c r="AD40" s="15">
        <v>66</v>
      </c>
      <c r="AE40" s="15">
        <v>63</v>
      </c>
      <c r="AF40" s="15">
        <v>72</v>
      </c>
      <c r="AG40" s="15">
        <v>63</v>
      </c>
      <c r="AH40" s="15">
        <v>61</v>
      </c>
      <c r="AI40" s="15">
        <v>59</v>
      </c>
      <c r="AJ40" s="15">
        <v>37</v>
      </c>
      <c r="AK40" s="15">
        <v>53</v>
      </c>
      <c r="AL40" s="15">
        <v>29</v>
      </c>
      <c r="AM40" s="15">
        <v>17</v>
      </c>
      <c r="AN40" s="15">
        <v>28</v>
      </c>
      <c r="AO40" s="15">
        <v>14</v>
      </c>
      <c r="AP40" s="15">
        <v>8</v>
      </c>
      <c r="AQ40" s="15">
        <v>7</v>
      </c>
      <c r="AR40" s="15">
        <v>11</v>
      </c>
      <c r="AS40" s="15">
        <v>7</v>
      </c>
      <c r="AT40" s="15">
        <v>8</v>
      </c>
      <c r="AU40" s="15">
        <v>3</v>
      </c>
      <c r="AV40" s="15">
        <v>3</v>
      </c>
      <c r="AW40" s="15">
        <v>6</v>
      </c>
      <c r="AX40" s="15">
        <v>3</v>
      </c>
      <c r="AY40" s="15">
        <v>2</v>
      </c>
      <c r="AZ40" s="15">
        <v>3</v>
      </c>
      <c r="BA40" s="15">
        <v>3</v>
      </c>
      <c r="BB40" s="15">
        <v>3</v>
      </c>
      <c r="BC40" s="15">
        <v>2</v>
      </c>
      <c r="BD40" s="15">
        <v>0</v>
      </c>
    </row>
    <row r="41" spans="1:56" x14ac:dyDescent="0.35">
      <c r="A41" s="14" t="s">
        <v>137</v>
      </c>
      <c r="B41" s="15">
        <v>55</v>
      </c>
      <c r="C41" s="16">
        <v>108.54120618882222</v>
      </c>
      <c r="D41" s="15">
        <v>5</v>
      </c>
      <c r="E41" s="15">
        <v>3</v>
      </c>
      <c r="F41" s="15">
        <v>1</v>
      </c>
      <c r="G41" s="15">
        <v>2</v>
      </c>
      <c r="H41" s="15">
        <v>1</v>
      </c>
      <c r="I41" s="15">
        <v>0</v>
      </c>
      <c r="J41" s="15">
        <v>2</v>
      </c>
      <c r="K41" s="15">
        <v>0</v>
      </c>
      <c r="L41" s="15">
        <v>0</v>
      </c>
      <c r="M41" s="15">
        <v>0</v>
      </c>
      <c r="N41" s="15">
        <v>3</v>
      </c>
      <c r="O41" s="15">
        <v>1</v>
      </c>
      <c r="P41" s="15">
        <v>1</v>
      </c>
      <c r="Q41" s="15">
        <v>2</v>
      </c>
      <c r="R41" s="15">
        <v>0</v>
      </c>
      <c r="S41" s="15">
        <v>0</v>
      </c>
      <c r="T41" s="15">
        <v>0</v>
      </c>
      <c r="U41" s="15">
        <v>0</v>
      </c>
      <c r="V41" s="15">
        <v>0</v>
      </c>
      <c r="W41" s="15">
        <v>0</v>
      </c>
      <c r="X41" s="15">
        <v>1</v>
      </c>
      <c r="Y41" s="15">
        <v>1</v>
      </c>
      <c r="Z41" s="15">
        <v>1</v>
      </c>
      <c r="AA41" s="15">
        <v>0</v>
      </c>
      <c r="AB41" s="15">
        <v>0</v>
      </c>
      <c r="AC41" s="15">
        <v>2</v>
      </c>
      <c r="AD41" s="15">
        <v>0</v>
      </c>
      <c r="AE41" s="15">
        <v>1</v>
      </c>
      <c r="AF41" s="15">
        <v>2</v>
      </c>
      <c r="AG41" s="15">
        <v>5</v>
      </c>
      <c r="AH41" s="15">
        <v>0</v>
      </c>
      <c r="AI41" s="15">
        <v>3</v>
      </c>
      <c r="AJ41" s="15">
        <v>5</v>
      </c>
      <c r="AK41" s="15">
        <v>2</v>
      </c>
      <c r="AL41" s="15">
        <v>2</v>
      </c>
      <c r="AM41" s="15">
        <v>0</v>
      </c>
      <c r="AN41" s="15">
        <v>2</v>
      </c>
      <c r="AO41" s="15">
        <v>2</v>
      </c>
      <c r="AP41" s="15">
        <v>0</v>
      </c>
      <c r="AQ41" s="15">
        <v>0</v>
      </c>
      <c r="AR41" s="15">
        <v>1</v>
      </c>
      <c r="AS41" s="15">
        <v>2</v>
      </c>
      <c r="AT41" s="15">
        <v>0</v>
      </c>
      <c r="AU41" s="15">
        <v>0</v>
      </c>
      <c r="AV41" s="15">
        <v>2</v>
      </c>
      <c r="AW41" s="15">
        <v>0</v>
      </c>
      <c r="AX41" s="15">
        <v>0</v>
      </c>
      <c r="AY41" s="15">
        <v>0</v>
      </c>
      <c r="AZ41" s="15">
        <v>0</v>
      </c>
      <c r="BA41" s="15">
        <v>0</v>
      </c>
      <c r="BB41" s="15">
        <v>0</v>
      </c>
      <c r="BC41" s="15">
        <v>0</v>
      </c>
      <c r="BD41" s="15">
        <v>0</v>
      </c>
    </row>
    <row r="42" spans="1:56" x14ac:dyDescent="0.35">
      <c r="A42" s="14" t="s">
        <v>138</v>
      </c>
      <c r="B42" s="15">
        <v>372</v>
      </c>
      <c r="C42" s="16">
        <v>872.39980300649609</v>
      </c>
      <c r="D42" s="15">
        <v>10</v>
      </c>
      <c r="E42" s="15">
        <v>8</v>
      </c>
      <c r="F42" s="15">
        <v>8</v>
      </c>
      <c r="G42" s="15">
        <v>6</v>
      </c>
      <c r="H42" s="15">
        <v>4</v>
      </c>
      <c r="I42" s="15">
        <v>2</v>
      </c>
      <c r="J42" s="15">
        <v>4</v>
      </c>
      <c r="K42" s="15">
        <v>7</v>
      </c>
      <c r="L42" s="15">
        <v>3</v>
      </c>
      <c r="M42" s="15">
        <v>2</v>
      </c>
      <c r="N42" s="15">
        <v>4</v>
      </c>
      <c r="O42" s="15">
        <v>0</v>
      </c>
      <c r="P42" s="15">
        <v>0</v>
      </c>
      <c r="Q42" s="15">
        <v>2</v>
      </c>
      <c r="R42" s="15">
        <v>3</v>
      </c>
      <c r="S42" s="15">
        <v>5</v>
      </c>
      <c r="T42" s="15">
        <v>5</v>
      </c>
      <c r="U42" s="15">
        <v>4</v>
      </c>
      <c r="V42" s="15">
        <v>8</v>
      </c>
      <c r="W42" s="15">
        <v>15</v>
      </c>
      <c r="X42" s="15">
        <v>5</v>
      </c>
      <c r="Y42" s="15">
        <v>12</v>
      </c>
      <c r="Z42" s="15">
        <v>5</v>
      </c>
      <c r="AA42" s="15">
        <v>10</v>
      </c>
      <c r="AB42" s="15">
        <v>4</v>
      </c>
      <c r="AC42" s="15">
        <v>13</v>
      </c>
      <c r="AD42" s="15">
        <v>16</v>
      </c>
      <c r="AE42" s="15">
        <v>19</v>
      </c>
      <c r="AF42" s="15">
        <v>13</v>
      </c>
      <c r="AG42" s="15">
        <v>14</v>
      </c>
      <c r="AH42" s="15">
        <v>12</v>
      </c>
      <c r="AI42" s="15">
        <v>9</v>
      </c>
      <c r="AJ42" s="15">
        <v>12</v>
      </c>
      <c r="AK42" s="15">
        <v>19</v>
      </c>
      <c r="AL42" s="15">
        <v>17</v>
      </c>
      <c r="AM42" s="15">
        <v>13</v>
      </c>
      <c r="AN42" s="15">
        <v>10</v>
      </c>
      <c r="AO42" s="15">
        <v>12</v>
      </c>
      <c r="AP42" s="15">
        <v>4</v>
      </c>
      <c r="AQ42" s="15">
        <v>7</v>
      </c>
      <c r="AR42" s="15">
        <v>8</v>
      </c>
      <c r="AS42" s="15">
        <v>4</v>
      </c>
      <c r="AT42" s="15">
        <v>11</v>
      </c>
      <c r="AU42" s="15">
        <v>5</v>
      </c>
      <c r="AV42" s="15">
        <v>6</v>
      </c>
      <c r="AW42" s="15">
        <v>2</v>
      </c>
      <c r="AX42" s="15">
        <v>4</v>
      </c>
      <c r="AY42" s="15">
        <v>3</v>
      </c>
      <c r="AZ42" s="15">
        <v>1</v>
      </c>
      <c r="BA42" s="15">
        <v>0</v>
      </c>
      <c r="BB42" s="15">
        <v>1</v>
      </c>
      <c r="BC42" s="15">
        <v>1</v>
      </c>
      <c r="BD42" s="15">
        <v>0</v>
      </c>
    </row>
    <row r="43" spans="1:56" x14ac:dyDescent="0.35">
      <c r="A43" s="14" t="s">
        <v>139</v>
      </c>
      <c r="B43" s="15">
        <v>182</v>
      </c>
      <c r="C43" s="16">
        <v>508.57877382216509</v>
      </c>
      <c r="D43" s="15">
        <v>10</v>
      </c>
      <c r="E43" s="15">
        <v>4</v>
      </c>
      <c r="F43" s="15">
        <v>4</v>
      </c>
      <c r="G43" s="15">
        <v>2</v>
      </c>
      <c r="H43" s="15">
        <v>3</v>
      </c>
      <c r="I43" s="15">
        <v>1</v>
      </c>
      <c r="J43" s="15">
        <v>3</v>
      </c>
      <c r="K43" s="15">
        <v>0</v>
      </c>
      <c r="L43" s="15">
        <v>5</v>
      </c>
      <c r="M43" s="15">
        <v>0</v>
      </c>
      <c r="N43" s="15">
        <v>3</v>
      </c>
      <c r="O43" s="15">
        <v>0</v>
      </c>
      <c r="P43" s="15">
        <v>0</v>
      </c>
      <c r="Q43" s="15">
        <v>1</v>
      </c>
      <c r="R43" s="15">
        <v>0</v>
      </c>
      <c r="S43" s="15">
        <v>0</v>
      </c>
      <c r="T43" s="15">
        <v>1</v>
      </c>
      <c r="U43" s="15">
        <v>1</v>
      </c>
      <c r="V43" s="15">
        <v>1</v>
      </c>
      <c r="W43" s="15">
        <v>1</v>
      </c>
      <c r="X43" s="15">
        <v>1</v>
      </c>
      <c r="Y43" s="15">
        <v>3</v>
      </c>
      <c r="Z43" s="15">
        <v>1</v>
      </c>
      <c r="AA43" s="15">
        <v>5</v>
      </c>
      <c r="AB43" s="15">
        <v>3</v>
      </c>
      <c r="AC43" s="15">
        <v>7</v>
      </c>
      <c r="AD43" s="15">
        <v>6</v>
      </c>
      <c r="AE43" s="15">
        <v>9</v>
      </c>
      <c r="AF43" s="15">
        <v>8</v>
      </c>
      <c r="AG43" s="15">
        <v>11</v>
      </c>
      <c r="AH43" s="15">
        <v>11</v>
      </c>
      <c r="AI43" s="15">
        <v>10</v>
      </c>
      <c r="AJ43" s="15">
        <v>12</v>
      </c>
      <c r="AK43" s="15">
        <v>9</v>
      </c>
      <c r="AL43" s="15">
        <v>7</v>
      </c>
      <c r="AM43" s="15">
        <v>4</v>
      </c>
      <c r="AN43" s="15">
        <v>9</v>
      </c>
      <c r="AO43" s="15">
        <v>6</v>
      </c>
      <c r="AP43" s="15">
        <v>6</v>
      </c>
      <c r="AQ43" s="15">
        <v>5</v>
      </c>
      <c r="AR43" s="15">
        <v>2</v>
      </c>
      <c r="AS43" s="15">
        <v>0</v>
      </c>
      <c r="AT43" s="15">
        <v>1</v>
      </c>
      <c r="AU43" s="15">
        <v>0</v>
      </c>
      <c r="AV43" s="15">
        <v>2</v>
      </c>
      <c r="AW43" s="15">
        <v>0</v>
      </c>
      <c r="AX43" s="15">
        <v>2</v>
      </c>
      <c r="AY43" s="15">
        <v>0</v>
      </c>
      <c r="AZ43" s="15">
        <v>1</v>
      </c>
      <c r="BA43" s="15">
        <v>0</v>
      </c>
      <c r="BB43" s="15">
        <v>1</v>
      </c>
      <c r="BC43" s="15">
        <v>0</v>
      </c>
      <c r="BD43" s="15">
        <v>0</v>
      </c>
    </row>
    <row r="44" spans="1:56" x14ac:dyDescent="0.35">
      <c r="A44" s="14" t="s">
        <v>140</v>
      </c>
      <c r="B44" s="15">
        <v>312</v>
      </c>
      <c r="C44" s="16">
        <v>1244.1183507456735</v>
      </c>
      <c r="D44" s="15">
        <v>3</v>
      </c>
      <c r="E44" s="15">
        <v>10</v>
      </c>
      <c r="F44" s="15">
        <v>8</v>
      </c>
      <c r="G44" s="15">
        <v>14</v>
      </c>
      <c r="H44" s="15">
        <v>6</v>
      </c>
      <c r="I44" s="15">
        <v>4</v>
      </c>
      <c r="J44" s="15">
        <v>8</v>
      </c>
      <c r="K44" s="15">
        <v>6</v>
      </c>
      <c r="L44" s="15">
        <v>2</v>
      </c>
      <c r="M44" s="15">
        <v>5</v>
      </c>
      <c r="N44" s="15">
        <v>1</v>
      </c>
      <c r="O44" s="15">
        <v>0</v>
      </c>
      <c r="P44" s="15">
        <v>1</v>
      </c>
      <c r="Q44" s="15">
        <v>0</v>
      </c>
      <c r="R44" s="15">
        <v>3</v>
      </c>
      <c r="S44" s="15">
        <v>1</v>
      </c>
      <c r="T44" s="15">
        <v>0</v>
      </c>
      <c r="U44" s="15">
        <v>0</v>
      </c>
      <c r="V44" s="15">
        <v>0</v>
      </c>
      <c r="W44" s="15">
        <v>1</v>
      </c>
      <c r="X44" s="15">
        <v>3</v>
      </c>
      <c r="Y44" s="15">
        <v>6</v>
      </c>
      <c r="Z44" s="15">
        <v>6</v>
      </c>
      <c r="AA44" s="15">
        <v>9</v>
      </c>
      <c r="AB44" s="15">
        <v>12</v>
      </c>
      <c r="AC44" s="15">
        <v>4</v>
      </c>
      <c r="AD44" s="15">
        <v>19</v>
      </c>
      <c r="AE44" s="15">
        <v>10</v>
      </c>
      <c r="AF44" s="15">
        <v>18</v>
      </c>
      <c r="AG44" s="15">
        <v>11</v>
      </c>
      <c r="AH44" s="15">
        <v>18</v>
      </c>
      <c r="AI44" s="15">
        <v>19</v>
      </c>
      <c r="AJ44" s="15">
        <v>12</v>
      </c>
      <c r="AK44" s="15">
        <v>18</v>
      </c>
      <c r="AL44" s="15">
        <v>9</v>
      </c>
      <c r="AM44" s="15">
        <v>6</v>
      </c>
      <c r="AN44" s="15">
        <v>14</v>
      </c>
      <c r="AO44" s="15">
        <v>8</v>
      </c>
      <c r="AP44" s="15">
        <v>9</v>
      </c>
      <c r="AQ44" s="15">
        <v>5</v>
      </c>
      <c r="AR44" s="15">
        <v>4</v>
      </c>
      <c r="AS44" s="15">
        <v>4</v>
      </c>
      <c r="AT44" s="15">
        <v>1</v>
      </c>
      <c r="AU44" s="15">
        <v>4</v>
      </c>
      <c r="AV44" s="15">
        <v>1</v>
      </c>
      <c r="AW44" s="15">
        <v>2</v>
      </c>
      <c r="AX44" s="15">
        <v>0</v>
      </c>
      <c r="AY44" s="15">
        <v>0</v>
      </c>
      <c r="AZ44" s="15">
        <v>0</v>
      </c>
      <c r="BA44" s="15">
        <v>1</v>
      </c>
      <c r="BB44" s="15">
        <v>4</v>
      </c>
      <c r="BC44" s="15">
        <v>2</v>
      </c>
      <c r="BD44" s="15">
        <v>0</v>
      </c>
    </row>
    <row r="45" spans="1:56" x14ac:dyDescent="0.35">
      <c r="A45" s="14" t="s">
        <v>141</v>
      </c>
      <c r="B45" s="15">
        <v>1509</v>
      </c>
      <c r="C45" s="16">
        <v>712.27626312212067</v>
      </c>
      <c r="D45" s="15">
        <v>51</v>
      </c>
      <c r="E45" s="15">
        <v>51</v>
      </c>
      <c r="F45" s="15">
        <v>52</v>
      </c>
      <c r="G45" s="15">
        <v>52</v>
      </c>
      <c r="H45" s="15">
        <v>45</v>
      </c>
      <c r="I45" s="15">
        <v>40</v>
      </c>
      <c r="J45" s="15">
        <v>45</v>
      </c>
      <c r="K45" s="15">
        <v>32</v>
      </c>
      <c r="L45" s="15">
        <v>32</v>
      </c>
      <c r="M45" s="15">
        <v>33</v>
      </c>
      <c r="N45" s="15">
        <v>16</v>
      </c>
      <c r="O45" s="15">
        <v>20</v>
      </c>
      <c r="P45" s="15">
        <v>7</v>
      </c>
      <c r="Q45" s="15">
        <v>18</v>
      </c>
      <c r="R45" s="15">
        <v>18</v>
      </c>
      <c r="S45" s="15">
        <v>26</v>
      </c>
      <c r="T45" s="15">
        <v>19</v>
      </c>
      <c r="U45" s="15">
        <v>20</v>
      </c>
      <c r="V45" s="15">
        <v>19</v>
      </c>
      <c r="W45" s="15">
        <v>14</v>
      </c>
      <c r="X45" s="15">
        <v>22</v>
      </c>
      <c r="Y45" s="15">
        <v>26</v>
      </c>
      <c r="Z45" s="15">
        <v>32</v>
      </c>
      <c r="AA45" s="15">
        <v>28</v>
      </c>
      <c r="AB45" s="15">
        <v>38</v>
      </c>
      <c r="AC45" s="15">
        <v>34</v>
      </c>
      <c r="AD45" s="15">
        <v>28</v>
      </c>
      <c r="AE45" s="15">
        <v>36</v>
      </c>
      <c r="AF45" s="15">
        <v>51</v>
      </c>
      <c r="AG45" s="15">
        <v>35</v>
      </c>
      <c r="AH45" s="15">
        <v>64</v>
      </c>
      <c r="AI45" s="15">
        <v>48</v>
      </c>
      <c r="AJ45" s="15">
        <v>28</v>
      </c>
      <c r="AK45" s="15">
        <v>48</v>
      </c>
      <c r="AL45" s="15">
        <v>40</v>
      </c>
      <c r="AM45" s="15">
        <v>31</v>
      </c>
      <c r="AN45" s="15">
        <v>31</v>
      </c>
      <c r="AO45" s="15">
        <v>46</v>
      </c>
      <c r="AP45" s="15">
        <v>34</v>
      </c>
      <c r="AQ45" s="15">
        <v>28</v>
      </c>
      <c r="AR45" s="15">
        <v>36</v>
      </c>
      <c r="AS45" s="15">
        <v>21</v>
      </c>
      <c r="AT45" s="15">
        <v>17</v>
      </c>
      <c r="AU45" s="15">
        <v>8</v>
      </c>
      <c r="AV45" s="15">
        <v>18</v>
      </c>
      <c r="AW45" s="15">
        <v>10</v>
      </c>
      <c r="AX45" s="15">
        <v>17</v>
      </c>
      <c r="AY45" s="15">
        <v>13</v>
      </c>
      <c r="AZ45" s="15">
        <v>15</v>
      </c>
      <c r="BA45" s="15">
        <v>9</v>
      </c>
      <c r="BB45" s="15">
        <v>5</v>
      </c>
      <c r="BC45" s="15">
        <v>2</v>
      </c>
      <c r="BD45" s="15">
        <v>0</v>
      </c>
    </row>
    <row r="46" spans="1:56" x14ac:dyDescent="0.35">
      <c r="A46" s="14" t="s">
        <v>142</v>
      </c>
      <c r="B46" s="15">
        <v>1</v>
      </c>
      <c r="C46" s="16">
        <v>6.7114093959731536</v>
      </c>
      <c r="D46" s="15">
        <v>0</v>
      </c>
      <c r="E46" s="15">
        <v>0</v>
      </c>
      <c r="F46" s="15">
        <v>0</v>
      </c>
      <c r="G46" s="15">
        <v>0</v>
      </c>
      <c r="H46" s="15">
        <v>0</v>
      </c>
      <c r="I46" s="15">
        <v>0</v>
      </c>
      <c r="J46" s="15">
        <v>0</v>
      </c>
      <c r="K46" s="15">
        <v>0</v>
      </c>
      <c r="L46" s="15">
        <v>0</v>
      </c>
      <c r="M46" s="15">
        <v>0</v>
      </c>
      <c r="N46" s="15">
        <v>0</v>
      </c>
      <c r="O46" s="15">
        <v>0</v>
      </c>
      <c r="P46" s="15">
        <v>0</v>
      </c>
      <c r="Q46" s="15">
        <v>0</v>
      </c>
      <c r="R46" s="15">
        <v>0</v>
      </c>
      <c r="S46" s="15">
        <v>0</v>
      </c>
      <c r="T46" s="15">
        <v>0</v>
      </c>
      <c r="U46" s="15">
        <v>0</v>
      </c>
      <c r="V46" s="15">
        <v>0</v>
      </c>
      <c r="W46" s="15">
        <v>0</v>
      </c>
      <c r="X46" s="15">
        <v>0</v>
      </c>
      <c r="Y46" s="15">
        <v>0</v>
      </c>
      <c r="Z46" s="15">
        <v>0</v>
      </c>
      <c r="AA46" s="15">
        <v>0</v>
      </c>
      <c r="AB46" s="15">
        <v>0</v>
      </c>
      <c r="AC46" s="15">
        <v>0</v>
      </c>
      <c r="AD46" s="15">
        <v>0</v>
      </c>
      <c r="AE46" s="15">
        <v>0</v>
      </c>
      <c r="AF46" s="15">
        <v>0</v>
      </c>
      <c r="AG46" s="15">
        <v>0</v>
      </c>
      <c r="AH46" s="15">
        <v>0</v>
      </c>
      <c r="AI46" s="15">
        <v>0</v>
      </c>
      <c r="AJ46" s="15">
        <v>0</v>
      </c>
      <c r="AK46" s="15">
        <v>0</v>
      </c>
      <c r="AL46" s="15">
        <v>0</v>
      </c>
      <c r="AM46" s="15">
        <v>0</v>
      </c>
      <c r="AN46" s="15">
        <v>1</v>
      </c>
      <c r="AO46" s="15">
        <v>0</v>
      </c>
      <c r="AP46" s="15">
        <v>0</v>
      </c>
      <c r="AQ46" s="15">
        <v>0</v>
      </c>
      <c r="AR46" s="15">
        <v>0</v>
      </c>
      <c r="AS46" s="15">
        <v>0</v>
      </c>
      <c r="AT46" s="15">
        <v>0</v>
      </c>
      <c r="AU46" s="15">
        <v>0</v>
      </c>
      <c r="AV46" s="15">
        <v>0</v>
      </c>
      <c r="AW46" s="15">
        <v>0</v>
      </c>
      <c r="AX46" s="15">
        <v>0</v>
      </c>
      <c r="AY46" s="15">
        <v>0</v>
      </c>
      <c r="AZ46" s="15">
        <v>0</v>
      </c>
      <c r="BA46" s="15">
        <v>0</v>
      </c>
      <c r="BB46" s="15">
        <v>0</v>
      </c>
      <c r="BC46" s="15">
        <v>0</v>
      </c>
      <c r="BD46" s="15">
        <v>0</v>
      </c>
    </row>
    <row r="47" spans="1:56" x14ac:dyDescent="0.35">
      <c r="A47" s="14" t="s">
        <v>143</v>
      </c>
      <c r="B47" s="15">
        <v>61</v>
      </c>
      <c r="C47" s="16">
        <v>265.30967292971468</v>
      </c>
      <c r="D47" s="15">
        <v>0</v>
      </c>
      <c r="E47" s="15">
        <v>1</v>
      </c>
      <c r="F47" s="15">
        <v>4</v>
      </c>
      <c r="G47" s="15">
        <v>9</v>
      </c>
      <c r="H47" s="15">
        <v>6</v>
      </c>
      <c r="I47" s="15">
        <v>3</v>
      </c>
      <c r="J47" s="15">
        <v>1</v>
      </c>
      <c r="K47" s="15">
        <v>1</v>
      </c>
      <c r="L47" s="15">
        <v>1</v>
      </c>
      <c r="M47" s="15">
        <v>2</v>
      </c>
      <c r="N47" s="15">
        <v>0</v>
      </c>
      <c r="O47" s="15">
        <v>0</v>
      </c>
      <c r="P47" s="15">
        <v>0</v>
      </c>
      <c r="Q47" s="15">
        <v>0</v>
      </c>
      <c r="R47" s="15">
        <v>0</v>
      </c>
      <c r="S47" s="15">
        <v>0</v>
      </c>
      <c r="T47" s="15">
        <v>0</v>
      </c>
      <c r="U47" s="15">
        <v>1</v>
      </c>
      <c r="V47" s="15">
        <v>2</v>
      </c>
      <c r="W47" s="15">
        <v>2</v>
      </c>
      <c r="X47" s="15">
        <v>0</v>
      </c>
      <c r="Y47" s="15">
        <v>2</v>
      </c>
      <c r="Z47" s="15">
        <v>0</v>
      </c>
      <c r="AA47" s="15">
        <v>0</v>
      </c>
      <c r="AB47" s="15">
        <v>3</v>
      </c>
      <c r="AC47" s="15">
        <v>1</v>
      </c>
      <c r="AD47" s="15">
        <v>0</v>
      </c>
      <c r="AE47" s="15">
        <v>0</v>
      </c>
      <c r="AF47" s="15">
        <v>0</v>
      </c>
      <c r="AG47" s="15">
        <v>0</v>
      </c>
      <c r="AH47" s="15">
        <v>1</v>
      </c>
      <c r="AI47" s="15">
        <v>1</v>
      </c>
      <c r="AJ47" s="15">
        <v>2</v>
      </c>
      <c r="AK47" s="15">
        <v>2</v>
      </c>
      <c r="AL47" s="15">
        <v>4</v>
      </c>
      <c r="AM47" s="15">
        <v>1</v>
      </c>
      <c r="AN47" s="15">
        <v>3</v>
      </c>
      <c r="AO47" s="15">
        <v>3</v>
      </c>
      <c r="AP47" s="15">
        <v>1</v>
      </c>
      <c r="AQ47" s="15">
        <v>1</v>
      </c>
      <c r="AR47" s="15">
        <v>0</v>
      </c>
      <c r="AS47" s="15">
        <v>0</v>
      </c>
      <c r="AT47" s="15">
        <v>2</v>
      </c>
      <c r="AU47" s="15">
        <v>1</v>
      </c>
      <c r="AV47" s="15">
        <v>0</v>
      </c>
      <c r="AW47" s="15">
        <v>0</v>
      </c>
      <c r="AX47" s="15">
        <v>0</v>
      </c>
      <c r="AY47" s="15">
        <v>0</v>
      </c>
      <c r="AZ47" s="15">
        <v>0</v>
      </c>
      <c r="BA47" s="15">
        <v>0</v>
      </c>
      <c r="BB47" s="15">
        <v>0</v>
      </c>
      <c r="BC47" s="15">
        <v>0</v>
      </c>
      <c r="BD47" s="15">
        <v>0</v>
      </c>
    </row>
    <row r="48" spans="1:56" x14ac:dyDescent="0.35">
      <c r="A48" s="14" t="s">
        <v>144</v>
      </c>
      <c r="B48" s="15">
        <v>29</v>
      </c>
      <c r="C48" s="16">
        <v>51.00874184299861</v>
      </c>
      <c r="D48" s="15">
        <v>9</v>
      </c>
      <c r="E48" s="15">
        <v>0</v>
      </c>
      <c r="F48" s="15">
        <v>0</v>
      </c>
      <c r="G48" s="15">
        <v>0</v>
      </c>
      <c r="H48" s="15">
        <v>3</v>
      </c>
      <c r="I48" s="15">
        <v>0</v>
      </c>
      <c r="J48" s="15">
        <v>0</v>
      </c>
      <c r="K48" s="15">
        <v>1</v>
      </c>
      <c r="L48" s="15">
        <v>0</v>
      </c>
      <c r="M48" s="15">
        <v>0</v>
      </c>
      <c r="N48" s="15">
        <v>1</v>
      </c>
      <c r="O48" s="15">
        <v>0</v>
      </c>
      <c r="P48" s="15">
        <v>0</v>
      </c>
      <c r="Q48" s="15">
        <v>0</v>
      </c>
      <c r="R48" s="15">
        <v>0</v>
      </c>
      <c r="S48" s="15">
        <v>0</v>
      </c>
      <c r="T48" s="15">
        <v>0</v>
      </c>
      <c r="U48" s="15">
        <v>0</v>
      </c>
      <c r="V48" s="15">
        <v>0</v>
      </c>
      <c r="W48" s="15">
        <v>0</v>
      </c>
      <c r="X48" s="15">
        <v>0</v>
      </c>
      <c r="Y48" s="15">
        <v>1</v>
      </c>
      <c r="Z48" s="15">
        <v>1</v>
      </c>
      <c r="AA48" s="15">
        <v>1</v>
      </c>
      <c r="AB48" s="15">
        <v>1</v>
      </c>
      <c r="AC48" s="15">
        <v>0</v>
      </c>
      <c r="AD48" s="15">
        <v>0</v>
      </c>
      <c r="AE48" s="15">
        <v>0</v>
      </c>
      <c r="AF48" s="15">
        <v>3</v>
      </c>
      <c r="AG48" s="15">
        <v>0</v>
      </c>
      <c r="AH48" s="15">
        <v>1</v>
      </c>
      <c r="AI48" s="15">
        <v>0</v>
      </c>
      <c r="AJ48" s="15">
        <v>0</v>
      </c>
      <c r="AK48" s="15">
        <v>1</v>
      </c>
      <c r="AL48" s="15">
        <v>0</v>
      </c>
      <c r="AM48" s="15">
        <v>1</v>
      </c>
      <c r="AN48" s="15">
        <v>0</v>
      </c>
      <c r="AO48" s="15">
        <v>0</v>
      </c>
      <c r="AP48" s="15">
        <v>1</v>
      </c>
      <c r="AQ48" s="15">
        <v>1</v>
      </c>
      <c r="AR48" s="15">
        <v>1</v>
      </c>
      <c r="AS48" s="15">
        <v>1</v>
      </c>
      <c r="AT48" s="15">
        <v>0</v>
      </c>
      <c r="AU48" s="15">
        <v>0</v>
      </c>
      <c r="AV48" s="15">
        <v>1</v>
      </c>
      <c r="AW48" s="15">
        <v>0</v>
      </c>
      <c r="AX48" s="15">
        <v>0</v>
      </c>
      <c r="AY48" s="15">
        <v>0</v>
      </c>
      <c r="AZ48" s="15">
        <v>0</v>
      </c>
      <c r="BA48" s="15">
        <v>0</v>
      </c>
      <c r="BB48" s="15">
        <v>0</v>
      </c>
      <c r="BC48" s="15">
        <v>0</v>
      </c>
      <c r="BD48" s="15">
        <v>0</v>
      </c>
    </row>
    <row r="49" spans="1:56" x14ac:dyDescent="0.35">
      <c r="A49" s="14" t="s">
        <v>145</v>
      </c>
      <c r="B49" s="15">
        <v>208</v>
      </c>
      <c r="C49" s="16">
        <v>567.19022687609072</v>
      </c>
      <c r="D49" s="15">
        <v>0</v>
      </c>
      <c r="E49" s="15">
        <v>3</v>
      </c>
      <c r="F49" s="15">
        <v>2</v>
      </c>
      <c r="G49" s="15">
        <v>0</v>
      </c>
      <c r="H49" s="15">
        <v>0</v>
      </c>
      <c r="I49" s="15">
        <v>0</v>
      </c>
      <c r="J49" s="15">
        <v>0</v>
      </c>
      <c r="K49" s="15">
        <v>1</v>
      </c>
      <c r="L49" s="15">
        <v>3</v>
      </c>
      <c r="M49" s="15">
        <v>0</v>
      </c>
      <c r="N49" s="15">
        <v>1</v>
      </c>
      <c r="O49" s="15">
        <v>0</v>
      </c>
      <c r="P49" s="15">
        <v>0</v>
      </c>
      <c r="Q49" s="15">
        <v>0</v>
      </c>
      <c r="R49" s="15">
        <v>2</v>
      </c>
      <c r="S49" s="15">
        <v>1</v>
      </c>
      <c r="T49" s="15">
        <v>1</v>
      </c>
      <c r="U49" s="15">
        <v>1</v>
      </c>
      <c r="V49" s="15">
        <v>0</v>
      </c>
      <c r="W49" s="15">
        <v>0</v>
      </c>
      <c r="X49" s="15">
        <v>2</v>
      </c>
      <c r="Y49" s="15">
        <v>2</v>
      </c>
      <c r="Z49" s="15">
        <v>1</v>
      </c>
      <c r="AA49" s="15">
        <v>3</v>
      </c>
      <c r="AB49" s="15">
        <v>2</v>
      </c>
      <c r="AC49" s="15">
        <v>2</v>
      </c>
      <c r="AD49" s="15">
        <v>6</v>
      </c>
      <c r="AE49" s="15">
        <v>5</v>
      </c>
      <c r="AF49" s="15">
        <v>7</v>
      </c>
      <c r="AG49" s="15">
        <v>16</v>
      </c>
      <c r="AH49" s="15">
        <v>7</v>
      </c>
      <c r="AI49" s="15">
        <v>24</v>
      </c>
      <c r="AJ49" s="15">
        <v>15</v>
      </c>
      <c r="AK49" s="15">
        <v>26</v>
      </c>
      <c r="AL49" s="15">
        <v>7</v>
      </c>
      <c r="AM49" s="15">
        <v>3</v>
      </c>
      <c r="AN49" s="15">
        <v>3</v>
      </c>
      <c r="AO49" s="15">
        <v>2</v>
      </c>
      <c r="AP49" s="15">
        <v>1</v>
      </c>
      <c r="AQ49" s="15">
        <v>5</v>
      </c>
      <c r="AR49" s="15">
        <v>12</v>
      </c>
      <c r="AS49" s="15">
        <v>0</v>
      </c>
      <c r="AT49" s="15">
        <v>3</v>
      </c>
      <c r="AU49" s="15">
        <v>7</v>
      </c>
      <c r="AV49" s="15">
        <v>5</v>
      </c>
      <c r="AW49" s="15">
        <v>3</v>
      </c>
      <c r="AX49" s="15">
        <v>6</v>
      </c>
      <c r="AY49" s="15">
        <v>5</v>
      </c>
      <c r="AZ49" s="15">
        <v>6</v>
      </c>
      <c r="BA49" s="15">
        <v>5</v>
      </c>
      <c r="BB49" s="15">
        <v>2</v>
      </c>
      <c r="BC49" s="15">
        <v>0</v>
      </c>
      <c r="BD49" s="15">
        <v>0</v>
      </c>
    </row>
    <row r="50" spans="1:56" x14ac:dyDescent="0.35">
      <c r="A50" s="14" t="s">
        <v>146</v>
      </c>
      <c r="B50" s="15">
        <v>25</v>
      </c>
      <c r="C50" s="16">
        <v>124.16190712689348</v>
      </c>
      <c r="D50" s="15">
        <v>1</v>
      </c>
      <c r="E50" s="15">
        <v>2</v>
      </c>
      <c r="F50" s="15">
        <v>0</v>
      </c>
      <c r="G50" s="15">
        <v>0</v>
      </c>
      <c r="H50" s="15">
        <v>2</v>
      </c>
      <c r="I50" s="15">
        <v>0</v>
      </c>
      <c r="J50" s="15">
        <v>0</v>
      </c>
      <c r="K50" s="15">
        <v>0</v>
      </c>
      <c r="L50" s="15">
        <v>3</v>
      </c>
      <c r="M50" s="15">
        <v>0</v>
      </c>
      <c r="N50" s="15">
        <v>1</v>
      </c>
      <c r="O50" s="15">
        <v>1</v>
      </c>
      <c r="P50" s="15">
        <v>1</v>
      </c>
      <c r="Q50" s="15">
        <v>0</v>
      </c>
      <c r="R50" s="15">
        <v>0</v>
      </c>
      <c r="S50" s="15">
        <v>0</v>
      </c>
      <c r="T50" s="15">
        <v>0</v>
      </c>
      <c r="U50" s="15">
        <v>0</v>
      </c>
      <c r="V50" s="15">
        <v>0</v>
      </c>
      <c r="W50" s="15">
        <v>0</v>
      </c>
      <c r="X50" s="15">
        <v>0</v>
      </c>
      <c r="Y50" s="15">
        <v>1</v>
      </c>
      <c r="Z50" s="15">
        <v>0</v>
      </c>
      <c r="AA50" s="15">
        <v>0</v>
      </c>
      <c r="AB50" s="15">
        <v>0</v>
      </c>
      <c r="AC50" s="15">
        <v>0</v>
      </c>
      <c r="AD50" s="15">
        <v>0</v>
      </c>
      <c r="AE50" s="15">
        <v>0</v>
      </c>
      <c r="AF50" s="15">
        <v>0</v>
      </c>
      <c r="AG50" s="15">
        <v>0</v>
      </c>
      <c r="AH50" s="15">
        <v>0</v>
      </c>
      <c r="AI50" s="15">
        <v>1</v>
      </c>
      <c r="AJ50" s="15">
        <v>0</v>
      </c>
      <c r="AK50" s="15">
        <v>0</v>
      </c>
      <c r="AL50" s="15">
        <v>0</v>
      </c>
      <c r="AM50" s="15">
        <v>0</v>
      </c>
      <c r="AN50" s="15">
        <v>1</v>
      </c>
      <c r="AO50" s="15">
        <v>0</v>
      </c>
      <c r="AP50" s="15">
        <v>1</v>
      </c>
      <c r="AQ50" s="15">
        <v>2</v>
      </c>
      <c r="AR50" s="15">
        <v>1</v>
      </c>
      <c r="AS50" s="15">
        <v>2</v>
      </c>
      <c r="AT50" s="15">
        <v>0</v>
      </c>
      <c r="AU50" s="15">
        <v>2</v>
      </c>
      <c r="AV50" s="15">
        <v>1</v>
      </c>
      <c r="AW50" s="15">
        <v>0</v>
      </c>
      <c r="AX50" s="15">
        <v>0</v>
      </c>
      <c r="AY50" s="15">
        <v>1</v>
      </c>
      <c r="AZ50" s="15">
        <v>0</v>
      </c>
      <c r="BA50" s="15">
        <v>0</v>
      </c>
      <c r="BB50" s="15">
        <v>0</v>
      </c>
      <c r="BC50" s="15">
        <v>1</v>
      </c>
      <c r="BD50" s="15">
        <v>0</v>
      </c>
    </row>
    <row r="51" spans="1:56" x14ac:dyDescent="0.35">
      <c r="A51" s="14" t="s">
        <v>147</v>
      </c>
      <c r="B51" s="15">
        <v>312</v>
      </c>
      <c r="C51" s="16" t="s">
        <v>106</v>
      </c>
      <c r="D51" s="15">
        <v>7</v>
      </c>
      <c r="E51" s="15">
        <v>6</v>
      </c>
      <c r="F51" s="15">
        <v>1</v>
      </c>
      <c r="G51" s="15">
        <v>2</v>
      </c>
      <c r="H51" s="15">
        <v>2</v>
      </c>
      <c r="I51" s="15">
        <v>3</v>
      </c>
      <c r="J51" s="15">
        <v>1</v>
      </c>
      <c r="K51" s="15">
        <v>4</v>
      </c>
      <c r="L51" s="15">
        <v>2</v>
      </c>
      <c r="M51" s="15">
        <v>4</v>
      </c>
      <c r="N51" s="15">
        <v>2</v>
      </c>
      <c r="O51" s="15">
        <v>1</v>
      </c>
      <c r="P51" s="15">
        <v>0</v>
      </c>
      <c r="Q51" s="15">
        <v>4</v>
      </c>
      <c r="R51" s="15">
        <v>2</v>
      </c>
      <c r="S51" s="15">
        <v>3</v>
      </c>
      <c r="T51" s="15">
        <v>4</v>
      </c>
      <c r="U51" s="15">
        <v>3</v>
      </c>
      <c r="V51" s="15">
        <v>6</v>
      </c>
      <c r="W51" s="15">
        <v>11</v>
      </c>
      <c r="X51" s="15">
        <v>14</v>
      </c>
      <c r="Y51" s="15">
        <v>6</v>
      </c>
      <c r="Z51" s="15">
        <v>14</v>
      </c>
      <c r="AA51" s="15">
        <v>20</v>
      </c>
      <c r="AB51" s="15">
        <v>19</v>
      </c>
      <c r="AC51" s="15">
        <v>23</v>
      </c>
      <c r="AD51" s="15">
        <v>15</v>
      </c>
      <c r="AE51" s="15">
        <v>18</v>
      </c>
      <c r="AF51" s="15">
        <v>8</v>
      </c>
      <c r="AG51" s="15">
        <v>8</v>
      </c>
      <c r="AH51" s="15">
        <v>12</v>
      </c>
      <c r="AI51" s="15">
        <v>12</v>
      </c>
      <c r="AJ51" s="15">
        <v>10</v>
      </c>
      <c r="AK51" s="15">
        <v>9</v>
      </c>
      <c r="AL51" s="15">
        <v>5</v>
      </c>
      <c r="AM51" s="15">
        <v>8</v>
      </c>
      <c r="AN51" s="15">
        <v>8</v>
      </c>
      <c r="AO51" s="15">
        <v>4</v>
      </c>
      <c r="AP51" s="15">
        <v>2</v>
      </c>
      <c r="AQ51" s="15">
        <v>7</v>
      </c>
      <c r="AR51" s="15">
        <v>1</v>
      </c>
      <c r="AS51" s="15">
        <v>4</v>
      </c>
      <c r="AT51" s="15">
        <v>3</v>
      </c>
      <c r="AU51" s="15">
        <v>4</v>
      </c>
      <c r="AV51" s="15">
        <v>2</v>
      </c>
      <c r="AW51" s="15">
        <v>1</v>
      </c>
      <c r="AX51" s="15">
        <v>0</v>
      </c>
      <c r="AY51" s="15">
        <v>1</v>
      </c>
      <c r="AZ51" s="15">
        <v>3</v>
      </c>
      <c r="BA51" s="15">
        <v>3</v>
      </c>
      <c r="BB51" s="15">
        <v>0</v>
      </c>
      <c r="BC51" s="15">
        <v>0</v>
      </c>
      <c r="BD51" s="15">
        <v>0</v>
      </c>
    </row>
    <row r="52" spans="1:56" x14ac:dyDescent="0.35">
      <c r="A52" s="19"/>
      <c r="B52" s="19"/>
      <c r="C52" s="19"/>
      <c r="D52" s="19"/>
      <c r="E52" s="19"/>
      <c r="F52" s="19"/>
      <c r="G52" s="19"/>
      <c r="H52" s="19"/>
      <c r="I52" s="19"/>
      <c r="J52" s="19"/>
      <c r="K52" s="19"/>
      <c r="L52" s="19"/>
      <c r="M52" s="19"/>
      <c r="N52" s="19"/>
      <c r="O52" s="19"/>
      <c r="P52" s="19"/>
      <c r="Q52" s="19"/>
      <c r="R52" s="19"/>
      <c r="S52" s="19"/>
      <c r="T52" s="19"/>
      <c r="U52" s="19"/>
      <c r="V52" s="19"/>
      <c r="W52" s="19"/>
      <c r="X52" s="19"/>
      <c r="Y52" s="19"/>
      <c r="Z52" s="19"/>
      <c r="AA52" s="19"/>
      <c r="AB52" s="19"/>
      <c r="AC52" s="19"/>
      <c r="AD52" s="19"/>
      <c r="AE52" s="19"/>
      <c r="AF52" s="19"/>
      <c r="AG52" s="19"/>
      <c r="AH52" s="19"/>
      <c r="AI52" s="19"/>
      <c r="AJ52" s="19"/>
      <c r="AK52" s="19"/>
      <c r="AL52" s="19"/>
      <c r="AM52" s="19"/>
      <c r="AN52" s="19"/>
      <c r="AO52" s="19"/>
      <c r="AP52" s="19"/>
      <c r="AQ52" s="19"/>
      <c r="AR52" s="19"/>
      <c r="AS52" s="19"/>
      <c r="AT52" s="19"/>
      <c r="AU52" s="19"/>
      <c r="AV52" s="19"/>
      <c r="AW52" s="19"/>
      <c r="AX52" s="19"/>
      <c r="AY52" s="19"/>
      <c r="AZ52" s="19"/>
      <c r="BA52" s="19"/>
      <c r="BB52" s="19"/>
      <c r="BC52" s="19"/>
      <c r="BD52" s="19"/>
    </row>
    <row r="53" spans="1:56" x14ac:dyDescent="0.35">
      <c r="A53" s="1" t="s">
        <v>148</v>
      </c>
      <c r="B53" s="10">
        <v>3845</v>
      </c>
      <c r="C53" s="11">
        <v>694.71671999754278</v>
      </c>
      <c r="D53" s="10">
        <v>43</v>
      </c>
      <c r="E53" s="10">
        <v>52</v>
      </c>
      <c r="F53" s="10">
        <v>33</v>
      </c>
      <c r="G53" s="10">
        <v>40</v>
      </c>
      <c r="H53" s="10">
        <v>29</v>
      </c>
      <c r="I53" s="10">
        <v>18</v>
      </c>
      <c r="J53" s="10">
        <v>15</v>
      </c>
      <c r="K53" s="10">
        <v>33</v>
      </c>
      <c r="L53" s="10">
        <v>31</v>
      </c>
      <c r="M53" s="10">
        <v>27</v>
      </c>
      <c r="N53" s="10">
        <v>26</v>
      </c>
      <c r="O53" s="10">
        <v>29</v>
      </c>
      <c r="P53" s="10">
        <v>39</v>
      </c>
      <c r="Q53" s="10">
        <v>33</v>
      </c>
      <c r="R53" s="10">
        <v>24</v>
      </c>
      <c r="S53" s="10">
        <v>33</v>
      </c>
      <c r="T53" s="10">
        <v>32</v>
      </c>
      <c r="U53" s="10">
        <v>35</v>
      </c>
      <c r="V53" s="10">
        <v>57</v>
      </c>
      <c r="W53" s="10">
        <v>31</v>
      </c>
      <c r="X53" s="10">
        <v>44</v>
      </c>
      <c r="Y53" s="10">
        <v>48</v>
      </c>
      <c r="Z53" s="10">
        <v>62</v>
      </c>
      <c r="AA53" s="10">
        <v>66</v>
      </c>
      <c r="AB53" s="10">
        <v>98</v>
      </c>
      <c r="AC53" s="10">
        <v>71</v>
      </c>
      <c r="AD53" s="10">
        <v>84</v>
      </c>
      <c r="AE53" s="10">
        <v>97</v>
      </c>
      <c r="AF53" s="10">
        <v>221</v>
      </c>
      <c r="AG53" s="10">
        <v>206</v>
      </c>
      <c r="AH53" s="10">
        <v>237</v>
      </c>
      <c r="AI53" s="10">
        <v>275</v>
      </c>
      <c r="AJ53" s="10">
        <v>252</v>
      </c>
      <c r="AK53" s="10">
        <v>219</v>
      </c>
      <c r="AL53" s="10">
        <v>204</v>
      </c>
      <c r="AM53" s="10">
        <v>158</v>
      </c>
      <c r="AN53" s="10">
        <v>120</v>
      </c>
      <c r="AO53" s="10">
        <v>99</v>
      </c>
      <c r="AP53" s="10">
        <v>109</v>
      </c>
      <c r="AQ53" s="10">
        <v>109</v>
      </c>
      <c r="AR53" s="10">
        <v>70</v>
      </c>
      <c r="AS53" s="10">
        <v>55</v>
      </c>
      <c r="AT53" s="10">
        <v>61</v>
      </c>
      <c r="AU53" s="10">
        <v>47</v>
      </c>
      <c r="AV53" s="10">
        <v>26</v>
      </c>
      <c r="AW53" s="10">
        <v>42</v>
      </c>
      <c r="AX53" s="10">
        <v>34</v>
      </c>
      <c r="AY53" s="10">
        <v>11</v>
      </c>
      <c r="AZ53" s="10">
        <v>12</v>
      </c>
      <c r="BA53" s="10">
        <v>25</v>
      </c>
      <c r="BB53" s="10">
        <v>18</v>
      </c>
      <c r="BC53" s="10">
        <v>5</v>
      </c>
      <c r="BD53" s="10">
        <v>0</v>
      </c>
    </row>
    <row r="54" spans="1:56" x14ac:dyDescent="0.35">
      <c r="A54" s="14" t="s">
        <v>149</v>
      </c>
      <c r="B54" s="15">
        <v>54</v>
      </c>
      <c r="C54" s="16">
        <v>32.124500285551115</v>
      </c>
      <c r="D54" s="15">
        <v>3</v>
      </c>
      <c r="E54" s="15">
        <v>1</v>
      </c>
      <c r="F54" s="15">
        <v>0</v>
      </c>
      <c r="G54" s="15">
        <v>0</v>
      </c>
      <c r="H54" s="15">
        <v>2</v>
      </c>
      <c r="I54" s="15">
        <v>1</v>
      </c>
      <c r="J54" s="15">
        <v>0</v>
      </c>
      <c r="K54" s="15">
        <v>1</v>
      </c>
      <c r="L54" s="15">
        <v>0</v>
      </c>
      <c r="M54" s="15">
        <v>0</v>
      </c>
      <c r="N54" s="15">
        <v>1</v>
      </c>
      <c r="O54" s="15">
        <v>0</v>
      </c>
      <c r="P54" s="15">
        <v>1</v>
      </c>
      <c r="Q54" s="15">
        <v>1</v>
      </c>
      <c r="R54" s="15">
        <v>0</v>
      </c>
      <c r="S54" s="15">
        <v>0</v>
      </c>
      <c r="T54" s="15">
        <v>0</v>
      </c>
      <c r="U54" s="15">
        <v>0</v>
      </c>
      <c r="V54" s="15">
        <v>1</v>
      </c>
      <c r="W54" s="15">
        <v>0</v>
      </c>
      <c r="X54" s="15">
        <v>0</v>
      </c>
      <c r="Y54" s="15">
        <v>0</v>
      </c>
      <c r="Z54" s="15">
        <v>1</v>
      </c>
      <c r="AA54" s="15">
        <v>2</v>
      </c>
      <c r="AB54" s="15">
        <v>0</v>
      </c>
      <c r="AC54" s="15">
        <v>0</v>
      </c>
      <c r="AD54" s="15">
        <v>0</v>
      </c>
      <c r="AE54" s="15">
        <v>0</v>
      </c>
      <c r="AF54" s="15">
        <v>0</v>
      </c>
      <c r="AG54" s="15">
        <v>1</v>
      </c>
      <c r="AH54" s="15">
        <v>1</v>
      </c>
      <c r="AI54" s="15">
        <v>1</v>
      </c>
      <c r="AJ54" s="15">
        <v>1</v>
      </c>
      <c r="AK54" s="15">
        <v>0</v>
      </c>
      <c r="AL54" s="15">
        <v>0</v>
      </c>
      <c r="AM54" s="15">
        <v>0</v>
      </c>
      <c r="AN54" s="15">
        <v>0</v>
      </c>
      <c r="AO54" s="15">
        <v>0</v>
      </c>
      <c r="AP54" s="15">
        <v>3</v>
      </c>
      <c r="AQ54" s="15">
        <v>2</v>
      </c>
      <c r="AR54" s="15">
        <v>1</v>
      </c>
      <c r="AS54" s="15">
        <v>2</v>
      </c>
      <c r="AT54" s="15">
        <v>3</v>
      </c>
      <c r="AU54" s="15">
        <v>3</v>
      </c>
      <c r="AV54" s="15">
        <v>7</v>
      </c>
      <c r="AW54" s="15">
        <v>3</v>
      </c>
      <c r="AX54" s="15">
        <v>1</v>
      </c>
      <c r="AY54" s="15">
        <v>0</v>
      </c>
      <c r="AZ54" s="15">
        <v>0</v>
      </c>
      <c r="BA54" s="15">
        <v>7</v>
      </c>
      <c r="BB54" s="15">
        <v>2</v>
      </c>
      <c r="BC54" s="15">
        <v>1</v>
      </c>
      <c r="BD54" s="15">
        <v>0</v>
      </c>
    </row>
    <row r="55" spans="1:56" x14ac:dyDescent="0.35">
      <c r="A55" s="14" t="s">
        <v>150</v>
      </c>
      <c r="B55" s="15">
        <v>49</v>
      </c>
      <c r="C55" s="16">
        <v>75.899564739230783</v>
      </c>
      <c r="D55" s="15">
        <v>3</v>
      </c>
      <c r="E55" s="15">
        <v>3</v>
      </c>
      <c r="F55" s="15">
        <v>1</v>
      </c>
      <c r="G55" s="15">
        <v>1</v>
      </c>
      <c r="H55" s="15">
        <v>1</v>
      </c>
      <c r="I55" s="15">
        <v>1</v>
      </c>
      <c r="J55" s="15">
        <v>1</v>
      </c>
      <c r="K55" s="15">
        <v>1</v>
      </c>
      <c r="L55" s="15">
        <v>1</v>
      </c>
      <c r="M55" s="15">
        <v>0</v>
      </c>
      <c r="N55" s="15">
        <v>2</v>
      </c>
      <c r="O55" s="15">
        <v>2</v>
      </c>
      <c r="P55" s="15">
        <v>5</v>
      </c>
      <c r="Q55" s="15">
        <v>0</v>
      </c>
      <c r="R55" s="15">
        <v>0</v>
      </c>
      <c r="S55" s="15">
        <v>0</v>
      </c>
      <c r="T55" s="15">
        <v>2</v>
      </c>
      <c r="U55" s="15">
        <v>0</v>
      </c>
      <c r="V55" s="15">
        <v>1</v>
      </c>
      <c r="W55" s="15">
        <v>1</v>
      </c>
      <c r="X55" s="15">
        <v>0</v>
      </c>
      <c r="Y55" s="15">
        <v>0</v>
      </c>
      <c r="Z55" s="15">
        <v>2</v>
      </c>
      <c r="AA55" s="15">
        <v>2</v>
      </c>
      <c r="AB55" s="15">
        <v>1</v>
      </c>
      <c r="AC55" s="15">
        <v>0</v>
      </c>
      <c r="AD55" s="15">
        <v>0</v>
      </c>
      <c r="AE55" s="15">
        <v>1</v>
      </c>
      <c r="AF55" s="15">
        <v>1</v>
      </c>
      <c r="AG55" s="15">
        <v>1</v>
      </c>
      <c r="AH55" s="15">
        <v>1</v>
      </c>
      <c r="AI55" s="15">
        <v>0</v>
      </c>
      <c r="AJ55" s="15">
        <v>0</v>
      </c>
      <c r="AK55" s="15">
        <v>0</v>
      </c>
      <c r="AL55" s="15">
        <v>0</v>
      </c>
      <c r="AM55" s="15">
        <v>0</v>
      </c>
      <c r="AN55" s="15">
        <v>0</v>
      </c>
      <c r="AO55" s="15">
        <v>0</v>
      </c>
      <c r="AP55" s="15">
        <v>0</v>
      </c>
      <c r="AQ55" s="15">
        <v>2</v>
      </c>
      <c r="AR55" s="15">
        <v>1</v>
      </c>
      <c r="AS55" s="15">
        <v>2</v>
      </c>
      <c r="AT55" s="15">
        <v>2</v>
      </c>
      <c r="AU55" s="15">
        <v>2</v>
      </c>
      <c r="AV55" s="15">
        <v>0</v>
      </c>
      <c r="AW55" s="15">
        <v>1</v>
      </c>
      <c r="AX55" s="15">
        <v>3</v>
      </c>
      <c r="AY55" s="15">
        <v>0</v>
      </c>
      <c r="AZ55" s="15">
        <v>0</v>
      </c>
      <c r="BA55" s="15">
        <v>0</v>
      </c>
      <c r="BB55" s="15">
        <v>1</v>
      </c>
      <c r="BC55" s="15">
        <v>0</v>
      </c>
      <c r="BD55" s="15">
        <v>0</v>
      </c>
    </row>
    <row r="56" spans="1:56" x14ac:dyDescent="0.35">
      <c r="A56" s="14" t="s">
        <v>151</v>
      </c>
      <c r="B56" s="15">
        <v>111</v>
      </c>
      <c r="C56" s="16">
        <v>95.216037468797452</v>
      </c>
      <c r="D56" s="15">
        <v>2</v>
      </c>
      <c r="E56" s="15">
        <v>4</v>
      </c>
      <c r="F56" s="15">
        <v>1</v>
      </c>
      <c r="G56" s="15">
        <v>2</v>
      </c>
      <c r="H56" s="15">
        <v>1</v>
      </c>
      <c r="I56" s="15">
        <v>0</v>
      </c>
      <c r="J56" s="15">
        <v>2</v>
      </c>
      <c r="K56" s="15">
        <v>2</v>
      </c>
      <c r="L56" s="15">
        <v>2</v>
      </c>
      <c r="M56" s="15">
        <v>0</v>
      </c>
      <c r="N56" s="15">
        <v>0</v>
      </c>
      <c r="O56" s="15">
        <v>1</v>
      </c>
      <c r="P56" s="15">
        <v>0</v>
      </c>
      <c r="Q56" s="15">
        <v>0</v>
      </c>
      <c r="R56" s="15">
        <v>0</v>
      </c>
      <c r="S56" s="15">
        <v>0</v>
      </c>
      <c r="T56" s="15">
        <v>0</v>
      </c>
      <c r="U56" s="15">
        <v>1</v>
      </c>
      <c r="V56" s="15">
        <v>2</v>
      </c>
      <c r="W56" s="15">
        <v>2</v>
      </c>
      <c r="X56" s="15">
        <v>0</v>
      </c>
      <c r="Y56" s="15">
        <v>1</v>
      </c>
      <c r="Z56" s="15">
        <v>2</v>
      </c>
      <c r="AA56" s="15">
        <v>1</v>
      </c>
      <c r="AB56" s="15">
        <v>5</v>
      </c>
      <c r="AC56" s="15">
        <v>2</v>
      </c>
      <c r="AD56" s="15">
        <v>0</v>
      </c>
      <c r="AE56" s="15">
        <v>0</v>
      </c>
      <c r="AF56" s="15">
        <v>0</v>
      </c>
      <c r="AG56" s="15">
        <v>1</v>
      </c>
      <c r="AH56" s="15">
        <v>3</v>
      </c>
      <c r="AI56" s="15">
        <v>4</v>
      </c>
      <c r="AJ56" s="15">
        <v>4</v>
      </c>
      <c r="AK56" s="15">
        <v>1</v>
      </c>
      <c r="AL56" s="15">
        <v>5</v>
      </c>
      <c r="AM56" s="15">
        <v>3</v>
      </c>
      <c r="AN56" s="15">
        <v>0</v>
      </c>
      <c r="AO56" s="15">
        <v>2</v>
      </c>
      <c r="AP56" s="15">
        <v>5</v>
      </c>
      <c r="AQ56" s="15">
        <v>11</v>
      </c>
      <c r="AR56" s="15">
        <v>4</v>
      </c>
      <c r="AS56" s="15">
        <v>1</v>
      </c>
      <c r="AT56" s="15">
        <v>4</v>
      </c>
      <c r="AU56" s="15">
        <v>3</v>
      </c>
      <c r="AV56" s="15">
        <v>4</v>
      </c>
      <c r="AW56" s="15">
        <v>4</v>
      </c>
      <c r="AX56" s="15">
        <v>3</v>
      </c>
      <c r="AY56" s="15">
        <v>1</v>
      </c>
      <c r="AZ56" s="15">
        <v>5</v>
      </c>
      <c r="BA56" s="15">
        <v>7</v>
      </c>
      <c r="BB56" s="15">
        <v>3</v>
      </c>
      <c r="BC56" s="15">
        <v>0</v>
      </c>
      <c r="BD56" s="15">
        <v>0</v>
      </c>
    </row>
    <row r="57" spans="1:56" x14ac:dyDescent="0.35">
      <c r="A57" s="14" t="s">
        <v>152</v>
      </c>
      <c r="B57" s="15">
        <v>574</v>
      </c>
      <c r="C57" s="16">
        <v>3501.708150317228</v>
      </c>
      <c r="D57" s="15">
        <v>8</v>
      </c>
      <c r="E57" s="15">
        <v>9</v>
      </c>
      <c r="F57" s="15">
        <v>3</v>
      </c>
      <c r="G57" s="15">
        <v>5</v>
      </c>
      <c r="H57" s="15">
        <v>2</v>
      </c>
      <c r="I57" s="15">
        <v>1</v>
      </c>
      <c r="J57" s="15">
        <v>2</v>
      </c>
      <c r="K57" s="15">
        <v>4</v>
      </c>
      <c r="L57" s="15">
        <v>5</v>
      </c>
      <c r="M57" s="15">
        <v>5</v>
      </c>
      <c r="N57" s="15">
        <v>2</v>
      </c>
      <c r="O57" s="15">
        <v>7</v>
      </c>
      <c r="P57" s="15">
        <v>5</v>
      </c>
      <c r="Q57" s="15">
        <v>5</v>
      </c>
      <c r="R57" s="15">
        <v>1</v>
      </c>
      <c r="S57" s="15">
        <v>8</v>
      </c>
      <c r="T57" s="15">
        <v>8</v>
      </c>
      <c r="U57" s="15">
        <v>6</v>
      </c>
      <c r="V57" s="15">
        <v>13</v>
      </c>
      <c r="W57" s="15">
        <v>6</v>
      </c>
      <c r="X57" s="15">
        <v>9</v>
      </c>
      <c r="Y57" s="15">
        <v>14</v>
      </c>
      <c r="Z57" s="15">
        <v>12</v>
      </c>
      <c r="AA57" s="15">
        <v>15</v>
      </c>
      <c r="AB57" s="15">
        <v>21</v>
      </c>
      <c r="AC57" s="15">
        <v>11</v>
      </c>
      <c r="AD57" s="15">
        <v>18</v>
      </c>
      <c r="AE57" s="15">
        <v>15</v>
      </c>
      <c r="AF57" s="15">
        <v>32</v>
      </c>
      <c r="AG57" s="15">
        <v>26</v>
      </c>
      <c r="AH57" s="15">
        <v>19</v>
      </c>
      <c r="AI57" s="15">
        <v>36</v>
      </c>
      <c r="AJ57" s="15">
        <v>30</v>
      </c>
      <c r="AK57" s="15">
        <v>38</v>
      </c>
      <c r="AL57" s="15">
        <v>40</v>
      </c>
      <c r="AM57" s="15">
        <v>24</v>
      </c>
      <c r="AN57" s="15">
        <v>18</v>
      </c>
      <c r="AO57" s="15">
        <v>13</v>
      </c>
      <c r="AP57" s="15">
        <v>20</v>
      </c>
      <c r="AQ57" s="15">
        <v>9</v>
      </c>
      <c r="AR57" s="15">
        <v>10</v>
      </c>
      <c r="AS57" s="15">
        <v>10</v>
      </c>
      <c r="AT57" s="15">
        <v>12</v>
      </c>
      <c r="AU57" s="15">
        <v>5</v>
      </c>
      <c r="AV57" s="15">
        <v>3</v>
      </c>
      <c r="AW57" s="15">
        <v>3</v>
      </c>
      <c r="AX57" s="15">
        <v>3</v>
      </c>
      <c r="AY57" s="15">
        <v>0</v>
      </c>
      <c r="AZ57" s="15">
        <v>0</v>
      </c>
      <c r="BA57" s="15">
        <v>0</v>
      </c>
      <c r="BB57" s="15">
        <v>2</v>
      </c>
      <c r="BC57" s="15">
        <v>1</v>
      </c>
      <c r="BD57" s="15">
        <v>0</v>
      </c>
    </row>
    <row r="58" spans="1:56" x14ac:dyDescent="0.35">
      <c r="A58" s="14" t="s">
        <v>153</v>
      </c>
      <c r="B58" s="15">
        <v>3004</v>
      </c>
      <c r="C58" s="16">
        <v>4094.9862319038139</v>
      </c>
      <c r="D58" s="15">
        <v>27</v>
      </c>
      <c r="E58" s="15">
        <v>34</v>
      </c>
      <c r="F58" s="15">
        <v>27</v>
      </c>
      <c r="G58" s="15">
        <v>28</v>
      </c>
      <c r="H58" s="15">
        <v>23</v>
      </c>
      <c r="I58" s="15">
        <v>15</v>
      </c>
      <c r="J58" s="15">
        <v>10</v>
      </c>
      <c r="K58" s="15">
        <v>25</v>
      </c>
      <c r="L58" s="15">
        <v>23</v>
      </c>
      <c r="M58" s="15">
        <v>22</v>
      </c>
      <c r="N58" s="15">
        <v>21</v>
      </c>
      <c r="O58" s="15">
        <v>19</v>
      </c>
      <c r="P58" s="15">
        <v>28</v>
      </c>
      <c r="Q58" s="15">
        <v>26</v>
      </c>
      <c r="R58" s="15">
        <v>22</v>
      </c>
      <c r="S58" s="15">
        <v>25</v>
      </c>
      <c r="T58" s="15">
        <v>22</v>
      </c>
      <c r="U58" s="15">
        <v>28</v>
      </c>
      <c r="V58" s="15">
        <v>39</v>
      </c>
      <c r="W58" s="15">
        <v>22</v>
      </c>
      <c r="X58" s="15">
        <v>34</v>
      </c>
      <c r="Y58" s="15">
        <v>33</v>
      </c>
      <c r="Z58" s="15">
        <v>45</v>
      </c>
      <c r="AA58" s="15">
        <v>46</v>
      </c>
      <c r="AB58" s="15">
        <v>70</v>
      </c>
      <c r="AC58" s="15">
        <v>57</v>
      </c>
      <c r="AD58" s="15">
        <v>65</v>
      </c>
      <c r="AE58" s="15">
        <v>80</v>
      </c>
      <c r="AF58" s="15">
        <v>182</v>
      </c>
      <c r="AG58" s="15">
        <v>171</v>
      </c>
      <c r="AH58" s="15">
        <v>211</v>
      </c>
      <c r="AI58" s="15">
        <v>231</v>
      </c>
      <c r="AJ58" s="15">
        <v>217</v>
      </c>
      <c r="AK58" s="15">
        <v>180</v>
      </c>
      <c r="AL58" s="15">
        <v>159</v>
      </c>
      <c r="AM58" s="15">
        <v>130</v>
      </c>
      <c r="AN58" s="15">
        <v>102</v>
      </c>
      <c r="AO58" s="15">
        <v>84</v>
      </c>
      <c r="AP58" s="15">
        <v>81</v>
      </c>
      <c r="AQ58" s="15">
        <v>83</v>
      </c>
      <c r="AR58" s="15">
        <v>53</v>
      </c>
      <c r="AS58" s="15">
        <v>40</v>
      </c>
      <c r="AT58" s="15">
        <v>40</v>
      </c>
      <c r="AU58" s="15">
        <v>33</v>
      </c>
      <c r="AV58" s="15">
        <v>12</v>
      </c>
      <c r="AW58" s="15">
        <v>27</v>
      </c>
      <c r="AX58" s="15">
        <v>20</v>
      </c>
      <c r="AY58" s="15">
        <v>9</v>
      </c>
      <c r="AZ58" s="15">
        <v>5</v>
      </c>
      <c r="BA58" s="15">
        <v>9</v>
      </c>
      <c r="BB58" s="15">
        <v>8</v>
      </c>
      <c r="BC58" s="15">
        <v>1</v>
      </c>
      <c r="BD58" s="15">
        <v>0</v>
      </c>
    </row>
    <row r="59" spans="1:56" x14ac:dyDescent="0.35">
      <c r="A59" s="14" t="s">
        <v>154</v>
      </c>
      <c r="B59" s="15">
        <v>3</v>
      </c>
      <c r="C59" s="16">
        <v>19.013816706806946</v>
      </c>
      <c r="D59" s="15">
        <v>0</v>
      </c>
      <c r="E59" s="15">
        <v>1</v>
      </c>
      <c r="F59" s="15">
        <v>0</v>
      </c>
      <c r="G59" s="15">
        <v>0</v>
      </c>
      <c r="H59" s="15">
        <v>0</v>
      </c>
      <c r="I59" s="15">
        <v>0</v>
      </c>
      <c r="J59" s="15">
        <v>0</v>
      </c>
      <c r="K59" s="15">
        <v>0</v>
      </c>
      <c r="L59" s="15">
        <v>0</v>
      </c>
      <c r="M59" s="15">
        <v>0</v>
      </c>
      <c r="N59" s="15">
        <v>0</v>
      </c>
      <c r="O59" s="15">
        <v>0</v>
      </c>
      <c r="P59" s="15">
        <v>0</v>
      </c>
      <c r="Q59" s="15">
        <v>0</v>
      </c>
      <c r="R59" s="15">
        <v>0</v>
      </c>
      <c r="S59" s="15">
        <v>0</v>
      </c>
      <c r="T59" s="15">
        <v>0</v>
      </c>
      <c r="U59" s="15">
        <v>0</v>
      </c>
      <c r="V59" s="15">
        <v>0</v>
      </c>
      <c r="W59" s="15">
        <v>0</v>
      </c>
      <c r="X59" s="15">
        <v>0</v>
      </c>
      <c r="Y59" s="15">
        <v>0</v>
      </c>
      <c r="Z59" s="15">
        <v>0</v>
      </c>
      <c r="AA59" s="15">
        <v>0</v>
      </c>
      <c r="AB59" s="15">
        <v>1</v>
      </c>
      <c r="AC59" s="15">
        <v>0</v>
      </c>
      <c r="AD59" s="15">
        <v>0</v>
      </c>
      <c r="AE59" s="15">
        <v>0</v>
      </c>
      <c r="AF59" s="15">
        <v>0</v>
      </c>
      <c r="AG59" s="15">
        <v>0</v>
      </c>
      <c r="AH59" s="15">
        <v>0</v>
      </c>
      <c r="AI59" s="15">
        <v>0</v>
      </c>
      <c r="AJ59" s="15">
        <v>0</v>
      </c>
      <c r="AK59" s="15">
        <v>0</v>
      </c>
      <c r="AL59" s="15">
        <v>0</v>
      </c>
      <c r="AM59" s="15">
        <v>0</v>
      </c>
      <c r="AN59" s="15">
        <v>0</v>
      </c>
      <c r="AO59" s="15">
        <v>0</v>
      </c>
      <c r="AP59" s="15">
        <v>0</v>
      </c>
      <c r="AQ59" s="15">
        <v>0</v>
      </c>
      <c r="AR59" s="15">
        <v>0</v>
      </c>
      <c r="AS59" s="15">
        <v>0</v>
      </c>
      <c r="AT59" s="15">
        <v>0</v>
      </c>
      <c r="AU59" s="15">
        <v>0</v>
      </c>
      <c r="AV59" s="15">
        <v>0</v>
      </c>
      <c r="AW59" s="15">
        <v>1</v>
      </c>
      <c r="AX59" s="15">
        <v>0</v>
      </c>
      <c r="AY59" s="15">
        <v>0</v>
      </c>
      <c r="AZ59" s="15">
        <v>0</v>
      </c>
      <c r="BA59" s="15">
        <v>0</v>
      </c>
      <c r="BB59" s="15">
        <v>0</v>
      </c>
      <c r="BC59" s="15">
        <v>0</v>
      </c>
      <c r="BD59" s="15">
        <v>0</v>
      </c>
    </row>
    <row r="60" spans="1:56" x14ac:dyDescent="0.35">
      <c r="A60" s="14" t="s">
        <v>155</v>
      </c>
      <c r="B60" s="15">
        <v>10</v>
      </c>
      <c r="C60" s="16">
        <v>19.552635695291723</v>
      </c>
      <c r="D60" s="15">
        <v>0</v>
      </c>
      <c r="E60" s="15">
        <v>0</v>
      </c>
      <c r="F60" s="15">
        <v>1</v>
      </c>
      <c r="G60" s="15">
        <v>1</v>
      </c>
      <c r="H60" s="15">
        <v>0</v>
      </c>
      <c r="I60" s="15">
        <v>0</v>
      </c>
      <c r="J60" s="15">
        <v>0</v>
      </c>
      <c r="K60" s="15">
        <v>0</v>
      </c>
      <c r="L60" s="15">
        <v>0</v>
      </c>
      <c r="M60" s="15">
        <v>0</v>
      </c>
      <c r="N60" s="15">
        <v>0</v>
      </c>
      <c r="O60" s="15">
        <v>0</v>
      </c>
      <c r="P60" s="15">
        <v>0</v>
      </c>
      <c r="Q60" s="15">
        <v>0</v>
      </c>
      <c r="R60" s="15">
        <v>0</v>
      </c>
      <c r="S60" s="15">
        <v>0</v>
      </c>
      <c r="T60" s="15">
        <v>0</v>
      </c>
      <c r="U60" s="15">
        <v>0</v>
      </c>
      <c r="V60" s="15">
        <v>0</v>
      </c>
      <c r="W60" s="15">
        <v>0</v>
      </c>
      <c r="X60" s="15">
        <v>1</v>
      </c>
      <c r="Y60" s="15">
        <v>0</v>
      </c>
      <c r="Z60" s="15">
        <v>0</v>
      </c>
      <c r="AA60" s="15">
        <v>0</v>
      </c>
      <c r="AB60" s="15">
        <v>0</v>
      </c>
      <c r="AC60" s="15">
        <v>1</v>
      </c>
      <c r="AD60" s="15">
        <v>0</v>
      </c>
      <c r="AE60" s="15">
        <v>0</v>
      </c>
      <c r="AF60" s="15">
        <v>1</v>
      </c>
      <c r="AG60" s="15">
        <v>2</v>
      </c>
      <c r="AH60" s="15">
        <v>0</v>
      </c>
      <c r="AI60" s="15">
        <v>1</v>
      </c>
      <c r="AJ60" s="15">
        <v>0</v>
      </c>
      <c r="AK60" s="15">
        <v>0</v>
      </c>
      <c r="AL60" s="15">
        <v>0</v>
      </c>
      <c r="AM60" s="15">
        <v>0</v>
      </c>
      <c r="AN60" s="15">
        <v>0</v>
      </c>
      <c r="AO60" s="15">
        <v>0</v>
      </c>
      <c r="AP60" s="15">
        <v>0</v>
      </c>
      <c r="AQ60" s="15">
        <v>0</v>
      </c>
      <c r="AR60" s="15">
        <v>1</v>
      </c>
      <c r="AS60" s="15">
        <v>0</v>
      </c>
      <c r="AT60" s="15">
        <v>0</v>
      </c>
      <c r="AU60" s="15">
        <v>0</v>
      </c>
      <c r="AV60" s="15">
        <v>0</v>
      </c>
      <c r="AW60" s="15">
        <v>0</v>
      </c>
      <c r="AX60" s="15">
        <v>0</v>
      </c>
      <c r="AY60" s="15">
        <v>1</v>
      </c>
      <c r="AZ60" s="15">
        <v>0</v>
      </c>
      <c r="BA60" s="15">
        <v>0</v>
      </c>
      <c r="BB60" s="15">
        <v>0</v>
      </c>
      <c r="BC60" s="15">
        <v>0</v>
      </c>
      <c r="BD60" s="15">
        <v>0</v>
      </c>
    </row>
    <row r="61" spans="1:56" x14ac:dyDescent="0.35">
      <c r="A61" s="14" t="s">
        <v>156</v>
      </c>
      <c r="B61" s="15">
        <v>40</v>
      </c>
      <c r="C61" s="16">
        <v>84.10605773880863</v>
      </c>
      <c r="D61" s="15">
        <v>0</v>
      </c>
      <c r="E61" s="15">
        <v>0</v>
      </c>
      <c r="F61" s="15">
        <v>0</v>
      </c>
      <c r="G61" s="15">
        <v>3</v>
      </c>
      <c r="H61" s="15">
        <v>0</v>
      </c>
      <c r="I61" s="15">
        <v>0</v>
      </c>
      <c r="J61" s="15">
        <v>0</v>
      </c>
      <c r="K61" s="15">
        <v>0</v>
      </c>
      <c r="L61" s="15">
        <v>0</v>
      </c>
      <c r="M61" s="15">
        <v>0</v>
      </c>
      <c r="N61" s="15">
        <v>0</v>
      </c>
      <c r="O61" s="15">
        <v>0</v>
      </c>
      <c r="P61" s="15">
        <v>0</v>
      </c>
      <c r="Q61" s="15">
        <v>1</v>
      </c>
      <c r="R61" s="15">
        <v>1</v>
      </c>
      <c r="S61" s="15">
        <v>0</v>
      </c>
      <c r="T61" s="15">
        <v>0</v>
      </c>
      <c r="U61" s="15">
        <v>0</v>
      </c>
      <c r="V61" s="15">
        <v>1</v>
      </c>
      <c r="W61" s="15">
        <v>0</v>
      </c>
      <c r="X61" s="15">
        <v>0</v>
      </c>
      <c r="Y61" s="15">
        <v>0</v>
      </c>
      <c r="Z61" s="15">
        <v>0</v>
      </c>
      <c r="AA61" s="15">
        <v>0</v>
      </c>
      <c r="AB61" s="15">
        <v>0</v>
      </c>
      <c r="AC61" s="15">
        <v>0</v>
      </c>
      <c r="AD61" s="15">
        <v>1</v>
      </c>
      <c r="AE61" s="15">
        <v>1</v>
      </c>
      <c r="AF61" s="15">
        <v>5</v>
      </c>
      <c r="AG61" s="15">
        <v>4</v>
      </c>
      <c r="AH61" s="15">
        <v>2</v>
      </c>
      <c r="AI61" s="15">
        <v>2</v>
      </c>
      <c r="AJ61" s="15">
        <v>0</v>
      </c>
      <c r="AK61" s="15">
        <v>0</v>
      </c>
      <c r="AL61" s="15">
        <v>0</v>
      </c>
      <c r="AM61" s="15">
        <v>1</v>
      </c>
      <c r="AN61" s="15">
        <v>0</v>
      </c>
      <c r="AO61" s="15">
        <v>0</v>
      </c>
      <c r="AP61" s="15">
        <v>0</v>
      </c>
      <c r="AQ61" s="15">
        <v>2</v>
      </c>
      <c r="AR61" s="15">
        <v>0</v>
      </c>
      <c r="AS61" s="15">
        <v>0</v>
      </c>
      <c r="AT61" s="15">
        <v>0</v>
      </c>
      <c r="AU61" s="15">
        <v>1</v>
      </c>
      <c r="AV61" s="15">
        <v>0</v>
      </c>
      <c r="AW61" s="15">
        <v>3</v>
      </c>
      <c r="AX61" s="15">
        <v>4</v>
      </c>
      <c r="AY61" s="15">
        <v>0</v>
      </c>
      <c r="AZ61" s="15">
        <v>2</v>
      </c>
      <c r="BA61" s="15">
        <v>2</v>
      </c>
      <c r="BB61" s="15">
        <v>2</v>
      </c>
      <c r="BC61" s="15">
        <v>2</v>
      </c>
      <c r="BD61" s="15">
        <v>0</v>
      </c>
    </row>
    <row r="62" spans="1:56" x14ac:dyDescent="0.35">
      <c r="A62" s="14"/>
      <c r="B62" s="12"/>
      <c r="C62" s="13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</row>
    <row r="63" spans="1:56" x14ac:dyDescent="0.35">
      <c r="A63" s="1" t="s">
        <v>157</v>
      </c>
      <c r="B63" s="10">
        <v>983</v>
      </c>
      <c r="C63" s="11">
        <v>177.90889182487828</v>
      </c>
      <c r="D63" s="10">
        <v>44</v>
      </c>
      <c r="E63" s="10">
        <v>42</v>
      </c>
      <c r="F63" s="10">
        <v>49</v>
      </c>
      <c r="G63" s="10">
        <v>34</v>
      </c>
      <c r="H63" s="10">
        <v>37</v>
      </c>
      <c r="I63" s="10">
        <v>34</v>
      </c>
      <c r="J63" s="10">
        <v>17</v>
      </c>
      <c r="K63" s="10">
        <v>30</v>
      </c>
      <c r="L63" s="10">
        <v>12</v>
      </c>
      <c r="M63" s="10">
        <v>19</v>
      </c>
      <c r="N63" s="10">
        <v>17</v>
      </c>
      <c r="O63" s="10">
        <v>13</v>
      </c>
      <c r="P63" s="10">
        <v>10</v>
      </c>
      <c r="Q63" s="10">
        <v>7</v>
      </c>
      <c r="R63" s="10">
        <v>14</v>
      </c>
      <c r="S63" s="10">
        <v>9</v>
      </c>
      <c r="T63" s="10">
        <v>4</v>
      </c>
      <c r="U63" s="10">
        <v>7</v>
      </c>
      <c r="V63" s="10">
        <v>3</v>
      </c>
      <c r="W63" s="10">
        <v>4</v>
      </c>
      <c r="X63" s="10">
        <v>12</v>
      </c>
      <c r="Y63" s="10">
        <v>4</v>
      </c>
      <c r="Z63" s="10">
        <v>9</v>
      </c>
      <c r="AA63" s="10">
        <v>11</v>
      </c>
      <c r="AB63" s="10">
        <v>6</v>
      </c>
      <c r="AC63" s="10">
        <v>9</v>
      </c>
      <c r="AD63" s="10">
        <v>20</v>
      </c>
      <c r="AE63" s="10">
        <v>18</v>
      </c>
      <c r="AF63" s="10">
        <v>19</v>
      </c>
      <c r="AG63" s="10">
        <v>19</v>
      </c>
      <c r="AH63" s="10">
        <v>19</v>
      </c>
      <c r="AI63" s="10">
        <v>25</v>
      </c>
      <c r="AJ63" s="10">
        <v>31</v>
      </c>
      <c r="AK63" s="10">
        <v>40</v>
      </c>
      <c r="AL63" s="10">
        <v>32</v>
      </c>
      <c r="AM63" s="10">
        <v>34</v>
      </c>
      <c r="AN63" s="10">
        <v>23</v>
      </c>
      <c r="AO63" s="10">
        <v>40</v>
      </c>
      <c r="AP63" s="10">
        <v>16</v>
      </c>
      <c r="AQ63" s="10">
        <v>20</v>
      </c>
      <c r="AR63" s="10">
        <v>14</v>
      </c>
      <c r="AS63" s="10">
        <v>15</v>
      </c>
      <c r="AT63" s="10">
        <v>16</v>
      </c>
      <c r="AU63" s="10">
        <v>18</v>
      </c>
      <c r="AV63" s="10">
        <v>16</v>
      </c>
      <c r="AW63" s="10">
        <v>19</v>
      </c>
      <c r="AX63" s="10">
        <v>14</v>
      </c>
      <c r="AY63" s="10">
        <v>15</v>
      </c>
      <c r="AZ63" s="10">
        <v>7</v>
      </c>
      <c r="BA63" s="10">
        <v>19</v>
      </c>
      <c r="BB63" s="10">
        <v>12</v>
      </c>
      <c r="BC63" s="10">
        <v>5</v>
      </c>
      <c r="BD63" s="10">
        <v>0</v>
      </c>
    </row>
    <row r="64" spans="1:56" x14ac:dyDescent="0.35">
      <c r="A64" s="14" t="s">
        <v>158</v>
      </c>
      <c r="B64" s="15">
        <v>176</v>
      </c>
      <c r="C64" s="16">
        <v>118.39414487138092</v>
      </c>
      <c r="D64" s="15">
        <v>7</v>
      </c>
      <c r="E64" s="15">
        <v>8</v>
      </c>
      <c r="F64" s="15">
        <v>8</v>
      </c>
      <c r="G64" s="15">
        <v>4</v>
      </c>
      <c r="H64" s="15">
        <v>2</v>
      </c>
      <c r="I64" s="15">
        <v>7</v>
      </c>
      <c r="J64" s="15">
        <v>1</v>
      </c>
      <c r="K64" s="15">
        <v>14</v>
      </c>
      <c r="L64" s="15">
        <v>0</v>
      </c>
      <c r="M64" s="15">
        <v>2</v>
      </c>
      <c r="N64" s="15">
        <v>0</v>
      </c>
      <c r="O64" s="15">
        <v>0</v>
      </c>
      <c r="P64" s="15">
        <v>2</v>
      </c>
      <c r="Q64" s="15">
        <v>0</v>
      </c>
      <c r="R64" s="15">
        <v>1</v>
      </c>
      <c r="S64" s="15">
        <v>0</v>
      </c>
      <c r="T64" s="15">
        <v>0</v>
      </c>
      <c r="U64" s="15">
        <v>0</v>
      </c>
      <c r="V64" s="15">
        <v>0</v>
      </c>
      <c r="W64" s="15">
        <v>0</v>
      </c>
      <c r="X64" s="15">
        <v>5</v>
      </c>
      <c r="Y64" s="15">
        <v>0</v>
      </c>
      <c r="Z64" s="15">
        <v>2</v>
      </c>
      <c r="AA64" s="15">
        <v>1</v>
      </c>
      <c r="AB64" s="15">
        <v>1</v>
      </c>
      <c r="AC64" s="15">
        <v>2</v>
      </c>
      <c r="AD64" s="15">
        <v>3</v>
      </c>
      <c r="AE64" s="15">
        <v>1</v>
      </c>
      <c r="AF64" s="15">
        <v>4</v>
      </c>
      <c r="AG64" s="15">
        <v>3</v>
      </c>
      <c r="AH64" s="15">
        <v>0</v>
      </c>
      <c r="AI64" s="15">
        <v>5</v>
      </c>
      <c r="AJ64" s="15">
        <v>4</v>
      </c>
      <c r="AK64" s="15">
        <v>4</v>
      </c>
      <c r="AL64" s="15">
        <v>0</v>
      </c>
      <c r="AM64" s="15">
        <v>12</v>
      </c>
      <c r="AN64" s="15">
        <v>7</v>
      </c>
      <c r="AO64" s="15">
        <v>8</v>
      </c>
      <c r="AP64" s="15">
        <v>3</v>
      </c>
      <c r="AQ64" s="15">
        <v>8</v>
      </c>
      <c r="AR64" s="15">
        <v>4</v>
      </c>
      <c r="AS64" s="15">
        <v>6</v>
      </c>
      <c r="AT64" s="15">
        <v>5</v>
      </c>
      <c r="AU64" s="15">
        <v>6</v>
      </c>
      <c r="AV64" s="15">
        <v>2</v>
      </c>
      <c r="AW64" s="15">
        <v>6</v>
      </c>
      <c r="AX64" s="15">
        <v>2</v>
      </c>
      <c r="AY64" s="15">
        <v>3</v>
      </c>
      <c r="AZ64" s="15">
        <v>6</v>
      </c>
      <c r="BA64" s="15">
        <v>4</v>
      </c>
      <c r="BB64" s="15">
        <v>3</v>
      </c>
      <c r="BC64" s="15">
        <v>0</v>
      </c>
      <c r="BD64" s="15">
        <v>0</v>
      </c>
    </row>
    <row r="65" spans="1:56" x14ac:dyDescent="0.35">
      <c r="A65" s="14" t="s">
        <v>159</v>
      </c>
      <c r="B65" s="15">
        <v>34</v>
      </c>
      <c r="C65" s="16">
        <v>68.937550689375499</v>
      </c>
      <c r="D65" s="15">
        <v>2</v>
      </c>
      <c r="E65" s="15">
        <v>1</v>
      </c>
      <c r="F65" s="15">
        <v>1</v>
      </c>
      <c r="G65" s="15">
        <v>1</v>
      </c>
      <c r="H65" s="15">
        <v>1</v>
      </c>
      <c r="I65" s="15">
        <v>2</v>
      </c>
      <c r="J65" s="15">
        <v>3</v>
      </c>
      <c r="K65" s="15">
        <v>1</v>
      </c>
      <c r="L65" s="15">
        <v>1</v>
      </c>
      <c r="M65" s="15">
        <v>1</v>
      </c>
      <c r="N65" s="15">
        <v>0</v>
      </c>
      <c r="O65" s="15">
        <v>0</v>
      </c>
      <c r="P65" s="15">
        <v>0</v>
      </c>
      <c r="Q65" s="15">
        <v>0</v>
      </c>
      <c r="R65" s="15">
        <v>0</v>
      </c>
      <c r="S65" s="15">
        <v>0</v>
      </c>
      <c r="T65" s="15">
        <v>0</v>
      </c>
      <c r="U65" s="15">
        <v>0</v>
      </c>
      <c r="V65" s="15">
        <v>0</v>
      </c>
      <c r="W65" s="15">
        <v>0</v>
      </c>
      <c r="X65" s="15">
        <v>0</v>
      </c>
      <c r="Y65" s="15">
        <v>0</v>
      </c>
      <c r="Z65" s="15">
        <v>2</v>
      </c>
      <c r="AA65" s="15">
        <v>0</v>
      </c>
      <c r="AB65" s="15">
        <v>0</v>
      </c>
      <c r="AC65" s="15">
        <v>0</v>
      </c>
      <c r="AD65" s="15">
        <v>1</v>
      </c>
      <c r="AE65" s="15">
        <v>0</v>
      </c>
      <c r="AF65" s="15">
        <v>0</v>
      </c>
      <c r="AG65" s="15">
        <v>3</v>
      </c>
      <c r="AH65" s="15">
        <v>1</v>
      </c>
      <c r="AI65" s="15">
        <v>1</v>
      </c>
      <c r="AJ65" s="15">
        <v>4</v>
      </c>
      <c r="AK65" s="15">
        <v>0</v>
      </c>
      <c r="AL65" s="15">
        <v>1</v>
      </c>
      <c r="AM65" s="15">
        <v>1</v>
      </c>
      <c r="AN65" s="15">
        <v>0</v>
      </c>
      <c r="AO65" s="15">
        <v>3</v>
      </c>
      <c r="AP65" s="15">
        <v>0</v>
      </c>
      <c r="AQ65" s="15">
        <v>0</v>
      </c>
      <c r="AR65" s="15">
        <v>1</v>
      </c>
      <c r="AS65" s="15">
        <v>0</v>
      </c>
      <c r="AT65" s="15">
        <v>1</v>
      </c>
      <c r="AU65" s="15">
        <v>1</v>
      </c>
      <c r="AV65" s="15">
        <v>0</v>
      </c>
      <c r="AW65" s="15">
        <v>0</v>
      </c>
      <c r="AX65" s="15">
        <v>0</v>
      </c>
      <c r="AY65" s="15">
        <v>0</v>
      </c>
      <c r="AZ65" s="15">
        <v>0</v>
      </c>
      <c r="BA65" s="15">
        <v>0</v>
      </c>
      <c r="BB65" s="15">
        <v>0</v>
      </c>
      <c r="BC65" s="15">
        <v>0</v>
      </c>
      <c r="BD65" s="15">
        <v>0</v>
      </c>
    </row>
    <row r="66" spans="1:56" x14ac:dyDescent="0.35">
      <c r="A66" s="14" t="s">
        <v>160</v>
      </c>
      <c r="B66" s="15">
        <v>48</v>
      </c>
      <c r="C66" s="16">
        <v>94.929198639348158</v>
      </c>
      <c r="D66" s="15">
        <v>2</v>
      </c>
      <c r="E66" s="15">
        <v>2</v>
      </c>
      <c r="F66" s="15">
        <v>2</v>
      </c>
      <c r="G66" s="15">
        <v>4</v>
      </c>
      <c r="H66" s="15">
        <v>1</v>
      </c>
      <c r="I66" s="15">
        <v>1</v>
      </c>
      <c r="J66" s="15">
        <v>0</v>
      </c>
      <c r="K66" s="15">
        <v>0</v>
      </c>
      <c r="L66" s="15">
        <v>0</v>
      </c>
      <c r="M66" s="15">
        <v>1</v>
      </c>
      <c r="N66" s="15">
        <v>1</v>
      </c>
      <c r="O66" s="15">
        <v>0</v>
      </c>
      <c r="P66" s="15">
        <v>1</v>
      </c>
      <c r="Q66" s="15">
        <v>0</v>
      </c>
      <c r="R66" s="15">
        <v>0</v>
      </c>
      <c r="S66" s="15">
        <v>0</v>
      </c>
      <c r="T66" s="15">
        <v>0</v>
      </c>
      <c r="U66" s="15">
        <v>0</v>
      </c>
      <c r="V66" s="15">
        <v>0</v>
      </c>
      <c r="W66" s="15">
        <v>0</v>
      </c>
      <c r="X66" s="15">
        <v>0</v>
      </c>
      <c r="Y66" s="15">
        <v>1</v>
      </c>
      <c r="Z66" s="15">
        <v>0</v>
      </c>
      <c r="AA66" s="15">
        <v>0</v>
      </c>
      <c r="AB66" s="15">
        <v>0</v>
      </c>
      <c r="AC66" s="15">
        <v>0</v>
      </c>
      <c r="AD66" s="15">
        <v>3</v>
      </c>
      <c r="AE66" s="15">
        <v>1</v>
      </c>
      <c r="AF66" s="15">
        <v>3</v>
      </c>
      <c r="AG66" s="15">
        <v>0</v>
      </c>
      <c r="AH66" s="15">
        <v>2</v>
      </c>
      <c r="AI66" s="15">
        <v>2</v>
      </c>
      <c r="AJ66" s="15">
        <v>2</v>
      </c>
      <c r="AK66" s="15">
        <v>1</v>
      </c>
      <c r="AL66" s="15">
        <v>6</v>
      </c>
      <c r="AM66" s="15">
        <v>4</v>
      </c>
      <c r="AN66" s="15">
        <v>0</v>
      </c>
      <c r="AO66" s="15">
        <v>0</v>
      </c>
      <c r="AP66" s="15">
        <v>1</v>
      </c>
      <c r="AQ66" s="15">
        <v>0</v>
      </c>
      <c r="AR66" s="15">
        <v>0</v>
      </c>
      <c r="AS66" s="15">
        <v>0</v>
      </c>
      <c r="AT66" s="15">
        <v>2</v>
      </c>
      <c r="AU66" s="15">
        <v>0</v>
      </c>
      <c r="AV66" s="15">
        <v>0</v>
      </c>
      <c r="AW66" s="15">
        <v>0</v>
      </c>
      <c r="AX66" s="15">
        <v>1</v>
      </c>
      <c r="AY66" s="15">
        <v>1</v>
      </c>
      <c r="AZ66" s="15">
        <v>0</v>
      </c>
      <c r="BA66" s="15">
        <v>2</v>
      </c>
      <c r="BB66" s="15">
        <v>1</v>
      </c>
      <c r="BC66" s="15">
        <v>0</v>
      </c>
      <c r="BD66" s="15">
        <v>0</v>
      </c>
    </row>
    <row r="67" spans="1:56" x14ac:dyDescent="0.35">
      <c r="A67" s="14" t="s">
        <v>161</v>
      </c>
      <c r="B67" s="15">
        <v>79</v>
      </c>
      <c r="C67" s="16">
        <v>175.7977658106725</v>
      </c>
      <c r="D67" s="15">
        <v>2</v>
      </c>
      <c r="E67" s="15">
        <v>5</v>
      </c>
      <c r="F67" s="15">
        <v>4</v>
      </c>
      <c r="G67" s="15">
        <v>5</v>
      </c>
      <c r="H67" s="15">
        <v>2</v>
      </c>
      <c r="I67" s="15">
        <v>3</v>
      </c>
      <c r="J67" s="15">
        <v>4</v>
      </c>
      <c r="K67" s="15">
        <v>3</v>
      </c>
      <c r="L67" s="15">
        <v>2</v>
      </c>
      <c r="M67" s="15">
        <v>0</v>
      </c>
      <c r="N67" s="15">
        <v>1</v>
      </c>
      <c r="O67" s="15">
        <v>2</v>
      </c>
      <c r="P67" s="15">
        <v>0</v>
      </c>
      <c r="Q67" s="15">
        <v>0</v>
      </c>
      <c r="R67" s="15">
        <v>1</v>
      </c>
      <c r="S67" s="15">
        <v>0</v>
      </c>
      <c r="T67" s="15">
        <v>0</v>
      </c>
      <c r="U67" s="15">
        <v>1</v>
      </c>
      <c r="V67" s="15">
        <v>0</v>
      </c>
      <c r="W67" s="15">
        <v>1</v>
      </c>
      <c r="X67" s="15">
        <v>0</v>
      </c>
      <c r="Y67" s="15">
        <v>0</v>
      </c>
      <c r="Z67" s="15">
        <v>1</v>
      </c>
      <c r="AA67" s="15">
        <v>1</v>
      </c>
      <c r="AB67" s="15">
        <v>0</v>
      </c>
      <c r="AC67" s="15">
        <v>0</v>
      </c>
      <c r="AD67" s="15">
        <v>1</v>
      </c>
      <c r="AE67" s="15">
        <v>2</v>
      </c>
      <c r="AF67" s="15">
        <v>2</v>
      </c>
      <c r="AG67" s="15">
        <v>1</v>
      </c>
      <c r="AH67" s="15">
        <v>1</v>
      </c>
      <c r="AI67" s="15">
        <v>1</v>
      </c>
      <c r="AJ67" s="15">
        <v>1</v>
      </c>
      <c r="AK67" s="15">
        <v>3</v>
      </c>
      <c r="AL67" s="15">
        <v>3</v>
      </c>
      <c r="AM67" s="15">
        <v>1</v>
      </c>
      <c r="AN67" s="15">
        <v>1</v>
      </c>
      <c r="AO67" s="15">
        <v>1</v>
      </c>
      <c r="AP67" s="15">
        <v>3</v>
      </c>
      <c r="AQ67" s="15">
        <v>1</v>
      </c>
      <c r="AR67" s="15">
        <v>2</v>
      </c>
      <c r="AS67" s="15">
        <v>4</v>
      </c>
      <c r="AT67" s="15">
        <v>1</v>
      </c>
      <c r="AU67" s="15">
        <v>1</v>
      </c>
      <c r="AV67" s="15">
        <v>0</v>
      </c>
      <c r="AW67" s="15">
        <v>2</v>
      </c>
      <c r="AX67" s="15">
        <v>2</v>
      </c>
      <c r="AY67" s="15">
        <v>4</v>
      </c>
      <c r="AZ67" s="15">
        <v>0</v>
      </c>
      <c r="BA67" s="15">
        <v>2</v>
      </c>
      <c r="BB67" s="15">
        <v>1</v>
      </c>
      <c r="BC67" s="15">
        <v>0</v>
      </c>
      <c r="BD67" s="15">
        <v>0</v>
      </c>
    </row>
    <row r="68" spans="1:56" x14ac:dyDescent="0.35">
      <c r="A68" s="14" t="s">
        <v>162</v>
      </c>
      <c r="B68" s="15">
        <v>19</v>
      </c>
      <c r="C68" s="16">
        <v>32.887334914233293</v>
      </c>
      <c r="D68" s="15">
        <v>0</v>
      </c>
      <c r="E68" s="15">
        <v>3</v>
      </c>
      <c r="F68" s="15">
        <v>8</v>
      </c>
      <c r="G68" s="15">
        <v>0</v>
      </c>
      <c r="H68" s="15">
        <v>3</v>
      </c>
      <c r="I68" s="15">
        <v>1</v>
      </c>
      <c r="J68" s="15">
        <v>0</v>
      </c>
      <c r="K68" s="15">
        <v>1</v>
      </c>
      <c r="L68" s="15">
        <v>1</v>
      </c>
      <c r="M68" s="15">
        <v>0</v>
      </c>
      <c r="N68" s="15">
        <v>0</v>
      </c>
      <c r="O68" s="15">
        <v>0</v>
      </c>
      <c r="P68" s="15">
        <v>0</v>
      </c>
      <c r="Q68" s="15">
        <v>0</v>
      </c>
      <c r="R68" s="15">
        <v>0</v>
      </c>
      <c r="S68" s="15">
        <v>0</v>
      </c>
      <c r="T68" s="15">
        <v>0</v>
      </c>
      <c r="U68" s="15">
        <v>0</v>
      </c>
      <c r="V68" s="15">
        <v>0</v>
      </c>
      <c r="W68" s="15">
        <v>0</v>
      </c>
      <c r="X68" s="15">
        <v>0</v>
      </c>
      <c r="Y68" s="15">
        <v>0</v>
      </c>
      <c r="Z68" s="15">
        <v>1</v>
      </c>
      <c r="AA68" s="15">
        <v>0</v>
      </c>
      <c r="AB68" s="15">
        <v>0</v>
      </c>
      <c r="AC68" s="15">
        <v>0</v>
      </c>
      <c r="AD68" s="15">
        <v>0</v>
      </c>
      <c r="AE68" s="15">
        <v>0</v>
      </c>
      <c r="AF68" s="15">
        <v>0</v>
      </c>
      <c r="AG68" s="15">
        <v>0</v>
      </c>
      <c r="AH68" s="15">
        <v>0</v>
      </c>
      <c r="AI68" s="15">
        <v>0</v>
      </c>
      <c r="AJ68" s="15">
        <v>0</v>
      </c>
      <c r="AK68" s="15">
        <v>0</v>
      </c>
      <c r="AL68" s="15">
        <v>0</v>
      </c>
      <c r="AM68" s="15">
        <v>0</v>
      </c>
      <c r="AN68" s="15">
        <v>0</v>
      </c>
      <c r="AO68" s="15">
        <v>0</v>
      </c>
      <c r="AP68" s="15">
        <v>0</v>
      </c>
      <c r="AQ68" s="15">
        <v>0</v>
      </c>
      <c r="AR68" s="15">
        <v>1</v>
      </c>
      <c r="AS68" s="15">
        <v>0</v>
      </c>
      <c r="AT68" s="15">
        <v>0</v>
      </c>
      <c r="AU68" s="15">
        <v>0</v>
      </c>
      <c r="AV68" s="15">
        <v>0</v>
      </c>
      <c r="AW68" s="15">
        <v>0</v>
      </c>
      <c r="AX68" s="15">
        <v>0</v>
      </c>
      <c r="AY68" s="15">
        <v>0</v>
      </c>
      <c r="AZ68" s="15">
        <v>0</v>
      </c>
      <c r="BA68" s="15">
        <v>0</v>
      </c>
      <c r="BB68" s="15">
        <v>0</v>
      </c>
      <c r="BC68" s="15">
        <v>0</v>
      </c>
      <c r="BD68" s="15">
        <v>0</v>
      </c>
    </row>
    <row r="69" spans="1:56" x14ac:dyDescent="0.35">
      <c r="A69" s="14" t="s">
        <v>163</v>
      </c>
      <c r="B69" s="15">
        <v>10</v>
      </c>
      <c r="C69" s="16">
        <v>41.576584067852984</v>
      </c>
      <c r="D69" s="15">
        <v>1</v>
      </c>
      <c r="E69" s="15">
        <v>0</v>
      </c>
      <c r="F69" s="15">
        <v>0</v>
      </c>
      <c r="G69" s="15">
        <v>0</v>
      </c>
      <c r="H69" s="15">
        <v>0</v>
      </c>
      <c r="I69" s="15">
        <v>0</v>
      </c>
      <c r="J69" s="15">
        <v>1</v>
      </c>
      <c r="K69" s="15">
        <v>0</v>
      </c>
      <c r="L69" s="15">
        <v>0</v>
      </c>
      <c r="M69" s="15">
        <v>0</v>
      </c>
      <c r="N69" s="15">
        <v>0</v>
      </c>
      <c r="O69" s="15">
        <v>0</v>
      </c>
      <c r="P69" s="15">
        <v>0</v>
      </c>
      <c r="Q69" s="15">
        <v>0</v>
      </c>
      <c r="R69" s="15">
        <v>0</v>
      </c>
      <c r="S69" s="15">
        <v>0</v>
      </c>
      <c r="T69" s="15">
        <v>0</v>
      </c>
      <c r="U69" s="15">
        <v>0</v>
      </c>
      <c r="V69" s="15">
        <v>0</v>
      </c>
      <c r="W69" s="15">
        <v>0</v>
      </c>
      <c r="X69" s="15">
        <v>0</v>
      </c>
      <c r="Y69" s="15">
        <v>0</v>
      </c>
      <c r="Z69" s="15">
        <v>0</v>
      </c>
      <c r="AA69" s="15">
        <v>1</v>
      </c>
      <c r="AB69" s="15">
        <v>0</v>
      </c>
      <c r="AC69" s="15">
        <v>0</v>
      </c>
      <c r="AD69" s="15">
        <v>2</v>
      </c>
      <c r="AE69" s="15">
        <v>0</v>
      </c>
      <c r="AF69" s="15">
        <v>0</v>
      </c>
      <c r="AG69" s="15">
        <v>0</v>
      </c>
      <c r="AH69" s="15">
        <v>1</v>
      </c>
      <c r="AI69" s="15">
        <v>0</v>
      </c>
      <c r="AJ69" s="15">
        <v>2</v>
      </c>
      <c r="AK69" s="15">
        <v>0</v>
      </c>
      <c r="AL69" s="15">
        <v>0</v>
      </c>
      <c r="AM69" s="15">
        <v>1</v>
      </c>
      <c r="AN69" s="15">
        <v>0</v>
      </c>
      <c r="AO69" s="15">
        <v>0</v>
      </c>
      <c r="AP69" s="15">
        <v>0</v>
      </c>
      <c r="AQ69" s="15">
        <v>0</v>
      </c>
      <c r="AR69" s="15">
        <v>0</v>
      </c>
      <c r="AS69" s="15">
        <v>0</v>
      </c>
      <c r="AT69" s="15">
        <v>0</v>
      </c>
      <c r="AU69" s="15">
        <v>0</v>
      </c>
      <c r="AV69" s="15">
        <v>0</v>
      </c>
      <c r="AW69" s="15">
        <v>0</v>
      </c>
      <c r="AX69" s="15">
        <v>0</v>
      </c>
      <c r="AY69" s="15">
        <v>0</v>
      </c>
      <c r="AZ69" s="15">
        <v>0</v>
      </c>
      <c r="BA69" s="15">
        <v>1</v>
      </c>
      <c r="BB69" s="15">
        <v>0</v>
      </c>
      <c r="BC69" s="15">
        <v>0</v>
      </c>
      <c r="BD69" s="15">
        <v>0</v>
      </c>
    </row>
    <row r="70" spans="1:56" x14ac:dyDescent="0.35">
      <c r="A70" s="14" t="s">
        <v>164</v>
      </c>
      <c r="B70" s="15">
        <v>109</v>
      </c>
      <c r="C70" s="16">
        <v>400.63219024515746</v>
      </c>
      <c r="D70" s="15">
        <v>6</v>
      </c>
      <c r="E70" s="15">
        <v>3</v>
      </c>
      <c r="F70" s="15">
        <v>2</v>
      </c>
      <c r="G70" s="15">
        <v>4</v>
      </c>
      <c r="H70" s="15">
        <v>4</v>
      </c>
      <c r="I70" s="15">
        <v>2</v>
      </c>
      <c r="J70" s="15">
        <v>1</v>
      </c>
      <c r="K70" s="15">
        <v>1</v>
      </c>
      <c r="L70" s="15">
        <v>1</v>
      </c>
      <c r="M70" s="15">
        <v>1</v>
      </c>
      <c r="N70" s="15">
        <v>1</v>
      </c>
      <c r="O70" s="15">
        <v>0</v>
      </c>
      <c r="P70" s="15">
        <v>0</v>
      </c>
      <c r="Q70" s="15">
        <v>2</v>
      </c>
      <c r="R70" s="15">
        <v>1</v>
      </c>
      <c r="S70" s="15">
        <v>0</v>
      </c>
      <c r="T70" s="15">
        <v>1</v>
      </c>
      <c r="U70" s="15">
        <v>0</v>
      </c>
      <c r="V70" s="15">
        <v>0</v>
      </c>
      <c r="W70" s="15">
        <v>0</v>
      </c>
      <c r="X70" s="15">
        <v>0</v>
      </c>
      <c r="Y70" s="15">
        <v>0</v>
      </c>
      <c r="Z70" s="15">
        <v>0</v>
      </c>
      <c r="AA70" s="15">
        <v>1</v>
      </c>
      <c r="AB70" s="15">
        <v>2</v>
      </c>
      <c r="AC70" s="15">
        <v>4</v>
      </c>
      <c r="AD70" s="15">
        <v>4</v>
      </c>
      <c r="AE70" s="15">
        <v>5</v>
      </c>
      <c r="AF70" s="15">
        <v>1</v>
      </c>
      <c r="AG70" s="15">
        <v>3</v>
      </c>
      <c r="AH70" s="15">
        <v>3</v>
      </c>
      <c r="AI70" s="15">
        <v>4</v>
      </c>
      <c r="AJ70" s="15">
        <v>1</v>
      </c>
      <c r="AK70" s="15">
        <v>10</v>
      </c>
      <c r="AL70" s="15">
        <v>3</v>
      </c>
      <c r="AM70" s="15">
        <v>3</v>
      </c>
      <c r="AN70" s="15">
        <v>3</v>
      </c>
      <c r="AO70" s="15">
        <v>5</v>
      </c>
      <c r="AP70" s="15">
        <v>0</v>
      </c>
      <c r="AQ70" s="15">
        <v>3</v>
      </c>
      <c r="AR70" s="15">
        <v>3</v>
      </c>
      <c r="AS70" s="15">
        <v>2</v>
      </c>
      <c r="AT70" s="15">
        <v>3</v>
      </c>
      <c r="AU70" s="15">
        <v>3</v>
      </c>
      <c r="AV70" s="15">
        <v>3</v>
      </c>
      <c r="AW70" s="15">
        <v>4</v>
      </c>
      <c r="AX70" s="15">
        <v>0</v>
      </c>
      <c r="AY70" s="15">
        <v>1</v>
      </c>
      <c r="AZ70" s="15">
        <v>0</v>
      </c>
      <c r="BA70" s="15">
        <v>2</v>
      </c>
      <c r="BB70" s="15">
        <v>2</v>
      </c>
      <c r="BC70" s="15">
        <v>1</v>
      </c>
      <c r="BD70" s="15">
        <v>0</v>
      </c>
    </row>
    <row r="71" spans="1:56" x14ac:dyDescent="0.35">
      <c r="A71" s="14" t="s">
        <v>165</v>
      </c>
      <c r="B71" s="15">
        <v>129</v>
      </c>
      <c r="C71" s="16">
        <v>498.12719620033204</v>
      </c>
      <c r="D71" s="15">
        <v>2</v>
      </c>
      <c r="E71" s="15">
        <v>4</v>
      </c>
      <c r="F71" s="15">
        <v>9</v>
      </c>
      <c r="G71" s="15">
        <v>1</v>
      </c>
      <c r="H71" s="15">
        <v>9</v>
      </c>
      <c r="I71" s="15">
        <v>4</v>
      </c>
      <c r="J71" s="15">
        <v>0</v>
      </c>
      <c r="K71" s="15">
        <v>3</v>
      </c>
      <c r="L71" s="15">
        <v>3</v>
      </c>
      <c r="M71" s="15">
        <v>2</v>
      </c>
      <c r="N71" s="15">
        <v>1</v>
      </c>
      <c r="O71" s="15">
        <v>1</v>
      </c>
      <c r="P71" s="15">
        <v>1</v>
      </c>
      <c r="Q71" s="15">
        <v>1</v>
      </c>
      <c r="R71" s="15">
        <v>3</v>
      </c>
      <c r="S71" s="15">
        <v>4</v>
      </c>
      <c r="T71" s="15">
        <v>1</v>
      </c>
      <c r="U71" s="15">
        <v>0</v>
      </c>
      <c r="V71" s="15">
        <v>0</v>
      </c>
      <c r="W71" s="15">
        <v>0</v>
      </c>
      <c r="X71" s="15">
        <v>0</v>
      </c>
      <c r="Y71" s="15">
        <v>0</v>
      </c>
      <c r="Z71" s="15">
        <v>0</v>
      </c>
      <c r="AA71" s="15">
        <v>0</v>
      </c>
      <c r="AB71" s="15">
        <v>1</v>
      </c>
      <c r="AC71" s="15">
        <v>1</v>
      </c>
      <c r="AD71" s="15">
        <v>0</v>
      </c>
      <c r="AE71" s="15">
        <v>2</v>
      </c>
      <c r="AF71" s="15">
        <v>4</v>
      </c>
      <c r="AG71" s="15">
        <v>7</v>
      </c>
      <c r="AH71" s="15">
        <v>3</v>
      </c>
      <c r="AI71" s="15">
        <v>6</v>
      </c>
      <c r="AJ71" s="15">
        <v>7</v>
      </c>
      <c r="AK71" s="15">
        <v>11</v>
      </c>
      <c r="AL71" s="15">
        <v>9</v>
      </c>
      <c r="AM71" s="15">
        <v>5</v>
      </c>
      <c r="AN71" s="15">
        <v>4</v>
      </c>
      <c r="AO71" s="15">
        <v>11</v>
      </c>
      <c r="AP71" s="15">
        <v>2</v>
      </c>
      <c r="AQ71" s="15">
        <v>2</v>
      </c>
      <c r="AR71" s="15">
        <v>0</v>
      </c>
      <c r="AS71" s="15">
        <v>1</v>
      </c>
      <c r="AT71" s="15">
        <v>1</v>
      </c>
      <c r="AU71" s="15">
        <v>0</v>
      </c>
      <c r="AV71" s="15">
        <v>0</v>
      </c>
      <c r="AW71" s="15">
        <v>1</v>
      </c>
      <c r="AX71" s="15">
        <v>0</v>
      </c>
      <c r="AY71" s="15">
        <v>0</v>
      </c>
      <c r="AZ71" s="15">
        <v>0</v>
      </c>
      <c r="BA71" s="15">
        <v>1</v>
      </c>
      <c r="BB71" s="15">
        <v>0</v>
      </c>
      <c r="BC71" s="15">
        <v>1</v>
      </c>
      <c r="BD71" s="15">
        <v>0</v>
      </c>
    </row>
    <row r="72" spans="1:56" x14ac:dyDescent="0.35">
      <c r="A72" s="14" t="s">
        <v>166</v>
      </c>
      <c r="B72" s="15">
        <v>35</v>
      </c>
      <c r="C72" s="16">
        <v>110.08366358432409</v>
      </c>
      <c r="D72" s="15">
        <v>3</v>
      </c>
      <c r="E72" s="15">
        <v>1</v>
      </c>
      <c r="F72" s="15">
        <v>1</v>
      </c>
      <c r="G72" s="15">
        <v>0</v>
      </c>
      <c r="H72" s="15">
        <v>1</v>
      </c>
      <c r="I72" s="15">
        <v>1</v>
      </c>
      <c r="J72" s="15">
        <v>0</v>
      </c>
      <c r="K72" s="15">
        <v>1</v>
      </c>
      <c r="L72" s="15">
        <v>0</v>
      </c>
      <c r="M72" s="15">
        <v>0</v>
      </c>
      <c r="N72" s="15">
        <v>0</v>
      </c>
      <c r="O72" s="15">
        <v>0</v>
      </c>
      <c r="P72" s="15">
        <v>1</v>
      </c>
      <c r="Q72" s="15">
        <v>0</v>
      </c>
      <c r="R72" s="15">
        <v>0</v>
      </c>
      <c r="S72" s="15">
        <v>0</v>
      </c>
      <c r="T72" s="15">
        <v>0</v>
      </c>
      <c r="U72" s="15">
        <v>0</v>
      </c>
      <c r="V72" s="15">
        <v>0</v>
      </c>
      <c r="W72" s="15">
        <v>0</v>
      </c>
      <c r="X72" s="15">
        <v>0</v>
      </c>
      <c r="Y72" s="15">
        <v>1</v>
      </c>
      <c r="Z72" s="15">
        <v>0</v>
      </c>
      <c r="AA72" s="15">
        <v>0</v>
      </c>
      <c r="AB72" s="15">
        <v>0</v>
      </c>
      <c r="AC72" s="15">
        <v>0</v>
      </c>
      <c r="AD72" s="15">
        <v>1</v>
      </c>
      <c r="AE72" s="15">
        <v>0</v>
      </c>
      <c r="AF72" s="15">
        <v>0</v>
      </c>
      <c r="AG72" s="15">
        <v>0</v>
      </c>
      <c r="AH72" s="15">
        <v>1</v>
      </c>
      <c r="AI72" s="15">
        <v>1</v>
      </c>
      <c r="AJ72" s="15">
        <v>1</v>
      </c>
      <c r="AK72" s="15">
        <v>2</v>
      </c>
      <c r="AL72" s="15">
        <v>3</v>
      </c>
      <c r="AM72" s="15">
        <v>2</v>
      </c>
      <c r="AN72" s="15">
        <v>1</v>
      </c>
      <c r="AO72" s="15">
        <v>0</v>
      </c>
      <c r="AP72" s="15">
        <v>3</v>
      </c>
      <c r="AQ72" s="15">
        <v>2</v>
      </c>
      <c r="AR72" s="15">
        <v>1</v>
      </c>
      <c r="AS72" s="15">
        <v>0</v>
      </c>
      <c r="AT72" s="15">
        <v>1</v>
      </c>
      <c r="AU72" s="15">
        <v>2</v>
      </c>
      <c r="AV72" s="15">
        <v>0</v>
      </c>
      <c r="AW72" s="15">
        <v>0</v>
      </c>
      <c r="AX72" s="15">
        <v>2</v>
      </c>
      <c r="AY72" s="15">
        <v>1</v>
      </c>
      <c r="AZ72" s="15">
        <v>0</v>
      </c>
      <c r="BA72" s="15">
        <v>1</v>
      </c>
      <c r="BB72" s="15">
        <v>0</v>
      </c>
      <c r="BC72" s="15">
        <v>0</v>
      </c>
      <c r="BD72" s="15">
        <v>0</v>
      </c>
    </row>
    <row r="73" spans="1:56" x14ac:dyDescent="0.35">
      <c r="A73" s="14" t="s">
        <v>167</v>
      </c>
      <c r="B73" s="15">
        <v>344</v>
      </c>
      <c r="C73" s="16">
        <v>372.58066263037614</v>
      </c>
      <c r="D73" s="15">
        <v>19</v>
      </c>
      <c r="E73" s="15">
        <v>15</v>
      </c>
      <c r="F73" s="15">
        <v>14</v>
      </c>
      <c r="G73" s="15">
        <v>15</v>
      </c>
      <c r="H73" s="15">
        <v>14</v>
      </c>
      <c r="I73" s="15">
        <v>13</v>
      </c>
      <c r="J73" s="15">
        <v>7</v>
      </c>
      <c r="K73" s="15">
        <v>6</v>
      </c>
      <c r="L73" s="15">
        <v>4</v>
      </c>
      <c r="M73" s="15">
        <v>12</v>
      </c>
      <c r="N73" s="15">
        <v>13</v>
      </c>
      <c r="O73" s="15">
        <v>10</v>
      </c>
      <c r="P73" s="15">
        <v>5</v>
      </c>
      <c r="Q73" s="15">
        <v>4</v>
      </c>
      <c r="R73" s="15">
        <v>8</v>
      </c>
      <c r="S73" s="15">
        <v>5</v>
      </c>
      <c r="T73" s="15">
        <v>2</v>
      </c>
      <c r="U73" s="15">
        <v>6</v>
      </c>
      <c r="V73" s="15">
        <v>3</v>
      </c>
      <c r="W73" s="15">
        <v>3</v>
      </c>
      <c r="X73" s="15">
        <v>7</v>
      </c>
      <c r="Y73" s="15">
        <v>2</v>
      </c>
      <c r="Z73" s="15">
        <v>3</v>
      </c>
      <c r="AA73" s="15">
        <v>7</v>
      </c>
      <c r="AB73" s="15">
        <v>2</v>
      </c>
      <c r="AC73" s="15">
        <v>2</v>
      </c>
      <c r="AD73" s="15">
        <v>5</v>
      </c>
      <c r="AE73" s="15">
        <v>7</v>
      </c>
      <c r="AF73" s="15">
        <v>5</v>
      </c>
      <c r="AG73" s="15">
        <v>2</v>
      </c>
      <c r="AH73" s="15">
        <v>7</v>
      </c>
      <c r="AI73" s="15">
        <v>5</v>
      </c>
      <c r="AJ73" s="15">
        <v>9</v>
      </c>
      <c r="AK73" s="15">
        <v>9</v>
      </c>
      <c r="AL73" s="15">
        <v>7</v>
      </c>
      <c r="AM73" s="15">
        <v>5</v>
      </c>
      <c r="AN73" s="15">
        <v>7</v>
      </c>
      <c r="AO73" s="15">
        <v>12</v>
      </c>
      <c r="AP73" s="15">
        <v>4</v>
      </c>
      <c r="AQ73" s="15">
        <v>4</v>
      </c>
      <c r="AR73" s="15">
        <v>2</v>
      </c>
      <c r="AS73" s="15">
        <v>2</v>
      </c>
      <c r="AT73" s="15">
        <v>2</v>
      </c>
      <c r="AU73" s="15">
        <v>5</v>
      </c>
      <c r="AV73" s="15">
        <v>11</v>
      </c>
      <c r="AW73" s="15">
        <v>6</v>
      </c>
      <c r="AX73" s="15">
        <v>7</v>
      </c>
      <c r="AY73" s="15">
        <v>5</v>
      </c>
      <c r="AZ73" s="15">
        <v>1</v>
      </c>
      <c r="BA73" s="15">
        <v>6</v>
      </c>
      <c r="BB73" s="15">
        <v>5</v>
      </c>
      <c r="BC73" s="15">
        <v>3</v>
      </c>
      <c r="BD73" s="15">
        <v>0</v>
      </c>
    </row>
    <row r="74" spans="1:56" x14ac:dyDescent="0.35">
      <c r="A74" s="14"/>
      <c r="B74" s="12"/>
      <c r="C74" s="13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</row>
    <row r="75" spans="1:56" x14ac:dyDescent="0.35">
      <c r="A75" s="1" t="s">
        <v>168</v>
      </c>
      <c r="B75" s="10">
        <v>1364</v>
      </c>
      <c r="C75" s="11">
        <v>328.49738936092325</v>
      </c>
      <c r="D75" s="10">
        <v>156</v>
      </c>
      <c r="E75" s="10">
        <v>106</v>
      </c>
      <c r="F75" s="10">
        <v>69</v>
      </c>
      <c r="G75" s="10">
        <v>76</v>
      </c>
      <c r="H75" s="10">
        <v>64</v>
      </c>
      <c r="I75" s="10">
        <v>39</v>
      </c>
      <c r="J75" s="10">
        <v>32</v>
      </c>
      <c r="K75" s="10">
        <v>32</v>
      </c>
      <c r="L75" s="10">
        <v>10</v>
      </c>
      <c r="M75" s="10">
        <v>15</v>
      </c>
      <c r="N75" s="10">
        <v>12</v>
      </c>
      <c r="O75" s="10">
        <v>15</v>
      </c>
      <c r="P75" s="10">
        <v>6</v>
      </c>
      <c r="Q75" s="10">
        <v>11</v>
      </c>
      <c r="R75" s="10">
        <v>11</v>
      </c>
      <c r="S75" s="10">
        <v>7</v>
      </c>
      <c r="T75" s="10">
        <v>2</v>
      </c>
      <c r="U75" s="10">
        <v>4</v>
      </c>
      <c r="V75" s="10">
        <v>3</v>
      </c>
      <c r="W75" s="10">
        <v>8</v>
      </c>
      <c r="X75" s="10">
        <v>15</v>
      </c>
      <c r="Y75" s="10">
        <v>14</v>
      </c>
      <c r="Z75" s="10">
        <v>36</v>
      </c>
      <c r="AA75" s="10">
        <v>22</v>
      </c>
      <c r="AB75" s="10">
        <v>25</v>
      </c>
      <c r="AC75" s="10">
        <v>13</v>
      </c>
      <c r="AD75" s="10">
        <v>15</v>
      </c>
      <c r="AE75" s="10">
        <v>18</v>
      </c>
      <c r="AF75" s="10">
        <v>25</v>
      </c>
      <c r="AG75" s="10">
        <v>14</v>
      </c>
      <c r="AH75" s="10">
        <v>26</v>
      </c>
      <c r="AI75" s="10">
        <v>19</v>
      </c>
      <c r="AJ75" s="10">
        <v>18</v>
      </c>
      <c r="AK75" s="10">
        <v>22</v>
      </c>
      <c r="AL75" s="10">
        <v>23</v>
      </c>
      <c r="AM75" s="10">
        <v>22</v>
      </c>
      <c r="AN75" s="10">
        <v>22</v>
      </c>
      <c r="AO75" s="10">
        <v>24</v>
      </c>
      <c r="AP75" s="10">
        <v>33</v>
      </c>
      <c r="AQ75" s="10">
        <v>26</v>
      </c>
      <c r="AR75" s="10">
        <v>37</v>
      </c>
      <c r="AS75" s="10">
        <v>29</v>
      </c>
      <c r="AT75" s="10">
        <v>23</v>
      </c>
      <c r="AU75" s="10">
        <v>20</v>
      </c>
      <c r="AV75" s="10">
        <v>21</v>
      </c>
      <c r="AW75" s="10">
        <v>17</v>
      </c>
      <c r="AX75" s="10">
        <v>24</v>
      </c>
      <c r="AY75" s="10">
        <v>17</v>
      </c>
      <c r="AZ75" s="10">
        <v>31</v>
      </c>
      <c r="BA75" s="10">
        <v>16</v>
      </c>
      <c r="BB75" s="10">
        <v>6</v>
      </c>
      <c r="BC75" s="10">
        <v>13</v>
      </c>
      <c r="BD75" s="10">
        <v>0</v>
      </c>
    </row>
    <row r="76" spans="1:56" x14ac:dyDescent="0.35">
      <c r="A76" s="14" t="s">
        <v>169</v>
      </c>
      <c r="B76" s="15">
        <v>122</v>
      </c>
      <c r="C76" s="16">
        <v>148.58298115919084</v>
      </c>
      <c r="D76" s="15">
        <v>18</v>
      </c>
      <c r="E76" s="15">
        <v>9</v>
      </c>
      <c r="F76" s="15">
        <v>8</v>
      </c>
      <c r="G76" s="15">
        <v>8</v>
      </c>
      <c r="H76" s="15">
        <v>5</v>
      </c>
      <c r="I76" s="15">
        <v>6</v>
      </c>
      <c r="J76" s="15">
        <v>0</v>
      </c>
      <c r="K76" s="15">
        <v>6</v>
      </c>
      <c r="L76" s="15">
        <v>2</v>
      </c>
      <c r="M76" s="15">
        <v>0</v>
      </c>
      <c r="N76" s="15">
        <v>0</v>
      </c>
      <c r="O76" s="15">
        <v>0</v>
      </c>
      <c r="P76" s="15">
        <v>1</v>
      </c>
      <c r="Q76" s="15">
        <v>2</v>
      </c>
      <c r="R76" s="15">
        <v>0</v>
      </c>
      <c r="S76" s="15">
        <v>0</v>
      </c>
      <c r="T76" s="15">
        <v>2</v>
      </c>
      <c r="U76" s="15">
        <v>1</v>
      </c>
      <c r="V76" s="15">
        <v>0</v>
      </c>
      <c r="W76" s="15">
        <v>0</v>
      </c>
      <c r="X76" s="15">
        <v>2</v>
      </c>
      <c r="Y76" s="15">
        <v>0</v>
      </c>
      <c r="Z76" s="15">
        <v>6</v>
      </c>
      <c r="AA76" s="15">
        <v>2</v>
      </c>
      <c r="AB76" s="15">
        <v>1</v>
      </c>
      <c r="AC76" s="15">
        <v>1</v>
      </c>
      <c r="AD76" s="15">
        <v>2</v>
      </c>
      <c r="AE76" s="15">
        <v>2</v>
      </c>
      <c r="AF76" s="15">
        <v>3</v>
      </c>
      <c r="AG76" s="15">
        <v>1</v>
      </c>
      <c r="AH76" s="15">
        <v>3</v>
      </c>
      <c r="AI76" s="15">
        <v>1</v>
      </c>
      <c r="AJ76" s="15">
        <v>0</v>
      </c>
      <c r="AK76" s="15">
        <v>1</v>
      </c>
      <c r="AL76" s="15">
        <v>0</v>
      </c>
      <c r="AM76" s="15">
        <v>0</v>
      </c>
      <c r="AN76" s="15">
        <v>0</v>
      </c>
      <c r="AO76" s="15">
        <v>0</v>
      </c>
      <c r="AP76" s="15">
        <v>4</v>
      </c>
      <c r="AQ76" s="15">
        <v>2</v>
      </c>
      <c r="AR76" s="15">
        <v>7</v>
      </c>
      <c r="AS76" s="15">
        <v>7</v>
      </c>
      <c r="AT76" s="15">
        <v>1</v>
      </c>
      <c r="AU76" s="15">
        <v>0</v>
      </c>
      <c r="AV76" s="15">
        <v>2</v>
      </c>
      <c r="AW76" s="15">
        <v>0</v>
      </c>
      <c r="AX76" s="15">
        <v>1</v>
      </c>
      <c r="AY76" s="15">
        <v>0</v>
      </c>
      <c r="AZ76" s="15">
        <v>3</v>
      </c>
      <c r="BA76" s="15">
        <v>0</v>
      </c>
      <c r="BB76" s="15">
        <v>1</v>
      </c>
      <c r="BC76" s="15">
        <v>1</v>
      </c>
      <c r="BD76" s="15">
        <v>0</v>
      </c>
    </row>
    <row r="77" spans="1:56" x14ac:dyDescent="0.35">
      <c r="A77" s="14" t="s">
        <v>170</v>
      </c>
      <c r="B77" s="15">
        <v>185</v>
      </c>
      <c r="C77" s="16">
        <v>315.68888433841852</v>
      </c>
      <c r="D77" s="15">
        <v>30</v>
      </c>
      <c r="E77" s="15">
        <v>18</v>
      </c>
      <c r="F77" s="15">
        <v>10</v>
      </c>
      <c r="G77" s="15">
        <v>6</v>
      </c>
      <c r="H77" s="15">
        <v>8</v>
      </c>
      <c r="I77" s="15">
        <v>1</v>
      </c>
      <c r="J77" s="15">
        <v>3</v>
      </c>
      <c r="K77" s="15">
        <v>4</v>
      </c>
      <c r="L77" s="15">
        <v>1</v>
      </c>
      <c r="M77" s="15">
        <v>3</v>
      </c>
      <c r="N77" s="15">
        <v>4</v>
      </c>
      <c r="O77" s="15">
        <v>1</v>
      </c>
      <c r="P77" s="15">
        <v>1</v>
      </c>
      <c r="Q77" s="15">
        <v>1</v>
      </c>
      <c r="R77" s="15">
        <v>3</v>
      </c>
      <c r="S77" s="15">
        <v>1</v>
      </c>
      <c r="T77" s="15">
        <v>0</v>
      </c>
      <c r="U77" s="15">
        <v>0</v>
      </c>
      <c r="V77" s="15">
        <v>1</v>
      </c>
      <c r="W77" s="15">
        <v>0</v>
      </c>
      <c r="X77" s="15">
        <v>0</v>
      </c>
      <c r="Y77" s="15">
        <v>3</v>
      </c>
      <c r="Z77" s="15">
        <v>6</v>
      </c>
      <c r="AA77" s="15">
        <v>3</v>
      </c>
      <c r="AB77" s="15">
        <v>10</v>
      </c>
      <c r="AC77" s="15">
        <v>3</v>
      </c>
      <c r="AD77" s="15">
        <v>5</v>
      </c>
      <c r="AE77" s="15">
        <v>3</v>
      </c>
      <c r="AF77" s="15">
        <v>2</v>
      </c>
      <c r="AG77" s="15">
        <v>3</v>
      </c>
      <c r="AH77" s="15">
        <v>2</v>
      </c>
      <c r="AI77" s="15">
        <v>2</v>
      </c>
      <c r="AJ77" s="15">
        <v>0</v>
      </c>
      <c r="AK77" s="15">
        <v>0</v>
      </c>
      <c r="AL77" s="15">
        <v>6</v>
      </c>
      <c r="AM77" s="15">
        <v>5</v>
      </c>
      <c r="AN77" s="15">
        <v>3</v>
      </c>
      <c r="AO77" s="15">
        <v>2</v>
      </c>
      <c r="AP77" s="15">
        <v>10</v>
      </c>
      <c r="AQ77" s="15">
        <v>1</v>
      </c>
      <c r="AR77" s="15">
        <v>3</v>
      </c>
      <c r="AS77" s="15">
        <v>2</v>
      </c>
      <c r="AT77" s="15">
        <v>2</v>
      </c>
      <c r="AU77" s="15">
        <v>4</v>
      </c>
      <c r="AV77" s="15">
        <v>0</v>
      </c>
      <c r="AW77" s="15">
        <v>0</v>
      </c>
      <c r="AX77" s="15">
        <v>4</v>
      </c>
      <c r="AY77" s="15">
        <v>0</v>
      </c>
      <c r="AZ77" s="15">
        <v>3</v>
      </c>
      <c r="BA77" s="15">
        <v>1</v>
      </c>
      <c r="BB77" s="15">
        <v>0</v>
      </c>
      <c r="BC77" s="15">
        <v>1</v>
      </c>
      <c r="BD77" s="15">
        <v>0</v>
      </c>
    </row>
    <row r="78" spans="1:56" x14ac:dyDescent="0.35">
      <c r="A78" s="14" t="s">
        <v>171</v>
      </c>
      <c r="B78" s="15">
        <v>167</v>
      </c>
      <c r="C78" s="16">
        <v>227.1150943139628</v>
      </c>
      <c r="D78" s="15">
        <v>4</v>
      </c>
      <c r="E78" s="15">
        <v>3</v>
      </c>
      <c r="F78" s="15">
        <v>2</v>
      </c>
      <c r="G78" s="15">
        <v>3</v>
      </c>
      <c r="H78" s="15">
        <v>1</v>
      </c>
      <c r="I78" s="15">
        <v>3</v>
      </c>
      <c r="J78" s="15">
        <v>2</v>
      </c>
      <c r="K78" s="15">
        <v>2</v>
      </c>
      <c r="L78" s="15">
        <v>1</v>
      </c>
      <c r="M78" s="15">
        <v>4</v>
      </c>
      <c r="N78" s="15">
        <v>0</v>
      </c>
      <c r="O78" s="15">
        <v>2</v>
      </c>
      <c r="P78" s="15">
        <v>1</v>
      </c>
      <c r="Q78" s="15">
        <v>1</v>
      </c>
      <c r="R78" s="15">
        <v>0</v>
      </c>
      <c r="S78" s="15">
        <v>1</v>
      </c>
      <c r="T78" s="15">
        <v>0</v>
      </c>
      <c r="U78" s="15">
        <v>1</v>
      </c>
      <c r="V78" s="15">
        <v>1</v>
      </c>
      <c r="W78" s="15">
        <v>2</v>
      </c>
      <c r="X78" s="15">
        <v>2</v>
      </c>
      <c r="Y78" s="15">
        <v>2</v>
      </c>
      <c r="Z78" s="15">
        <v>6</v>
      </c>
      <c r="AA78" s="15">
        <v>6</v>
      </c>
      <c r="AB78" s="15">
        <v>5</v>
      </c>
      <c r="AC78" s="15">
        <v>4</v>
      </c>
      <c r="AD78" s="15">
        <v>2</v>
      </c>
      <c r="AE78" s="15">
        <v>3</v>
      </c>
      <c r="AF78" s="15">
        <v>4</v>
      </c>
      <c r="AG78" s="15">
        <v>3</v>
      </c>
      <c r="AH78" s="15">
        <v>2</v>
      </c>
      <c r="AI78" s="15">
        <v>6</v>
      </c>
      <c r="AJ78" s="15">
        <v>10</v>
      </c>
      <c r="AK78" s="15">
        <v>2</v>
      </c>
      <c r="AL78" s="15">
        <v>2</v>
      </c>
      <c r="AM78" s="15">
        <v>3</v>
      </c>
      <c r="AN78" s="15">
        <v>2</v>
      </c>
      <c r="AO78" s="15">
        <v>4</v>
      </c>
      <c r="AP78" s="15">
        <v>1</v>
      </c>
      <c r="AQ78" s="15">
        <v>6</v>
      </c>
      <c r="AR78" s="15">
        <v>2</v>
      </c>
      <c r="AS78" s="15">
        <v>4</v>
      </c>
      <c r="AT78" s="15">
        <v>4</v>
      </c>
      <c r="AU78" s="15">
        <v>4</v>
      </c>
      <c r="AV78" s="15">
        <v>6</v>
      </c>
      <c r="AW78" s="15">
        <v>5</v>
      </c>
      <c r="AX78" s="15">
        <v>6</v>
      </c>
      <c r="AY78" s="15">
        <v>3</v>
      </c>
      <c r="AZ78" s="15">
        <v>12</v>
      </c>
      <c r="BA78" s="15">
        <v>4</v>
      </c>
      <c r="BB78" s="15">
        <v>4</v>
      </c>
      <c r="BC78" s="15">
        <v>4</v>
      </c>
      <c r="BD78" s="15">
        <v>0</v>
      </c>
    </row>
    <row r="79" spans="1:56" x14ac:dyDescent="0.35">
      <c r="A79" s="14" t="s">
        <v>172</v>
      </c>
      <c r="B79" s="15">
        <v>56</v>
      </c>
      <c r="C79" s="16">
        <v>219.22098257976123</v>
      </c>
      <c r="D79" s="15">
        <v>9</v>
      </c>
      <c r="E79" s="15">
        <v>9</v>
      </c>
      <c r="F79" s="15">
        <v>6</v>
      </c>
      <c r="G79" s="15">
        <v>5</v>
      </c>
      <c r="H79" s="15">
        <v>1</v>
      </c>
      <c r="I79" s="15">
        <v>1</v>
      </c>
      <c r="J79" s="15">
        <v>2</v>
      </c>
      <c r="K79" s="15">
        <v>2</v>
      </c>
      <c r="L79" s="15">
        <v>1</v>
      </c>
      <c r="M79" s="15">
        <v>0</v>
      </c>
      <c r="N79" s="15">
        <v>0</v>
      </c>
      <c r="O79" s="15">
        <v>1</v>
      </c>
      <c r="P79" s="15">
        <v>0</v>
      </c>
      <c r="Q79" s="15">
        <v>0</v>
      </c>
      <c r="R79" s="15">
        <v>0</v>
      </c>
      <c r="S79" s="15">
        <v>1</v>
      </c>
      <c r="T79" s="15">
        <v>0</v>
      </c>
      <c r="U79" s="15">
        <v>0</v>
      </c>
      <c r="V79" s="15">
        <v>0</v>
      </c>
      <c r="W79" s="15">
        <v>0</v>
      </c>
      <c r="X79" s="15">
        <v>0</v>
      </c>
      <c r="Y79" s="15">
        <v>0</v>
      </c>
      <c r="Z79" s="15">
        <v>1</v>
      </c>
      <c r="AA79" s="15">
        <v>1</v>
      </c>
      <c r="AB79" s="15">
        <v>0</v>
      </c>
      <c r="AC79" s="15">
        <v>0</v>
      </c>
      <c r="AD79" s="15">
        <v>0</v>
      </c>
      <c r="AE79" s="15">
        <v>2</v>
      </c>
      <c r="AF79" s="15">
        <v>0</v>
      </c>
      <c r="AG79" s="15">
        <v>0</v>
      </c>
      <c r="AH79" s="15">
        <v>1</v>
      </c>
      <c r="AI79" s="15">
        <v>3</v>
      </c>
      <c r="AJ79" s="15">
        <v>0</v>
      </c>
      <c r="AK79" s="15">
        <v>1</v>
      </c>
      <c r="AL79" s="15">
        <v>1</v>
      </c>
      <c r="AM79" s="15">
        <v>0</v>
      </c>
      <c r="AN79" s="15">
        <v>1</v>
      </c>
      <c r="AO79" s="15">
        <v>0</v>
      </c>
      <c r="AP79" s="15">
        <v>1</v>
      </c>
      <c r="AQ79" s="15">
        <v>0</v>
      </c>
      <c r="AR79" s="15">
        <v>1</v>
      </c>
      <c r="AS79" s="15">
        <v>0</v>
      </c>
      <c r="AT79" s="15">
        <v>0</v>
      </c>
      <c r="AU79" s="15">
        <v>0</v>
      </c>
      <c r="AV79" s="15">
        <v>2</v>
      </c>
      <c r="AW79" s="15">
        <v>1</v>
      </c>
      <c r="AX79" s="15">
        <v>0</v>
      </c>
      <c r="AY79" s="15">
        <v>1</v>
      </c>
      <c r="AZ79" s="15">
        <v>1</v>
      </c>
      <c r="BA79" s="15">
        <v>0</v>
      </c>
      <c r="BB79" s="15">
        <v>0</v>
      </c>
      <c r="BC79" s="15">
        <v>0</v>
      </c>
      <c r="BD79" s="15">
        <v>0</v>
      </c>
    </row>
    <row r="80" spans="1:56" x14ac:dyDescent="0.35">
      <c r="A80" s="14" t="s">
        <v>173</v>
      </c>
      <c r="B80" s="15">
        <v>98</v>
      </c>
      <c r="C80" s="16">
        <v>197.95980204019796</v>
      </c>
      <c r="D80" s="15">
        <v>3</v>
      </c>
      <c r="E80" s="15">
        <v>5</v>
      </c>
      <c r="F80" s="15">
        <v>5</v>
      </c>
      <c r="G80" s="15">
        <v>4</v>
      </c>
      <c r="H80" s="15">
        <v>2</v>
      </c>
      <c r="I80" s="15">
        <v>4</v>
      </c>
      <c r="J80" s="15">
        <v>3</v>
      </c>
      <c r="K80" s="15">
        <v>3</v>
      </c>
      <c r="L80" s="15">
        <v>1</v>
      </c>
      <c r="M80" s="15">
        <v>4</v>
      </c>
      <c r="N80" s="15">
        <v>4</v>
      </c>
      <c r="O80" s="15">
        <v>4</v>
      </c>
      <c r="P80" s="15">
        <v>2</v>
      </c>
      <c r="Q80" s="15">
        <v>3</v>
      </c>
      <c r="R80" s="15">
        <v>4</v>
      </c>
      <c r="S80" s="15">
        <v>2</v>
      </c>
      <c r="T80" s="15">
        <v>0</v>
      </c>
      <c r="U80" s="15">
        <v>1</v>
      </c>
      <c r="V80" s="15">
        <v>0</v>
      </c>
      <c r="W80" s="15">
        <v>0</v>
      </c>
      <c r="X80" s="15">
        <v>3</v>
      </c>
      <c r="Y80" s="15">
        <v>0</v>
      </c>
      <c r="Z80" s="15">
        <v>3</v>
      </c>
      <c r="AA80" s="15">
        <v>1</v>
      </c>
      <c r="AB80" s="15">
        <v>0</v>
      </c>
      <c r="AC80" s="15">
        <v>2</v>
      </c>
      <c r="AD80" s="15">
        <v>3</v>
      </c>
      <c r="AE80" s="15">
        <v>4</v>
      </c>
      <c r="AF80" s="15">
        <v>1</v>
      </c>
      <c r="AG80" s="15">
        <v>1</v>
      </c>
      <c r="AH80" s="15">
        <v>1</v>
      </c>
      <c r="AI80" s="15">
        <v>3</v>
      </c>
      <c r="AJ80" s="15">
        <v>0</v>
      </c>
      <c r="AK80" s="15">
        <v>0</v>
      </c>
      <c r="AL80" s="15">
        <v>0</v>
      </c>
      <c r="AM80" s="15">
        <v>1</v>
      </c>
      <c r="AN80" s="15">
        <v>1</v>
      </c>
      <c r="AO80" s="15">
        <v>2</v>
      </c>
      <c r="AP80" s="15">
        <v>1</v>
      </c>
      <c r="AQ80" s="15">
        <v>1</v>
      </c>
      <c r="AR80" s="15">
        <v>3</v>
      </c>
      <c r="AS80" s="15">
        <v>2</v>
      </c>
      <c r="AT80" s="15">
        <v>1</v>
      </c>
      <c r="AU80" s="15">
        <v>1</v>
      </c>
      <c r="AV80" s="15">
        <v>0</v>
      </c>
      <c r="AW80" s="15">
        <v>1</v>
      </c>
      <c r="AX80" s="15">
        <v>0</v>
      </c>
      <c r="AY80" s="15">
        <v>0</v>
      </c>
      <c r="AZ80" s="15">
        <v>0</v>
      </c>
      <c r="BA80" s="15">
        <v>5</v>
      </c>
      <c r="BB80" s="15">
        <v>0</v>
      </c>
      <c r="BC80" s="15">
        <v>3</v>
      </c>
      <c r="BD80" s="15">
        <v>0</v>
      </c>
    </row>
    <row r="81" spans="1:56" x14ac:dyDescent="0.35">
      <c r="A81" s="14" t="s">
        <v>174</v>
      </c>
      <c r="B81" s="15">
        <v>237</v>
      </c>
      <c r="C81" s="16">
        <v>695.42253521126759</v>
      </c>
      <c r="D81" s="15">
        <v>24</v>
      </c>
      <c r="E81" s="15">
        <v>17</v>
      </c>
      <c r="F81" s="15">
        <v>10</v>
      </c>
      <c r="G81" s="15">
        <v>10</v>
      </c>
      <c r="H81" s="15">
        <v>10</v>
      </c>
      <c r="I81" s="15">
        <v>3</v>
      </c>
      <c r="J81" s="15">
        <v>8</v>
      </c>
      <c r="K81" s="15">
        <v>3</v>
      </c>
      <c r="L81" s="15">
        <v>0</v>
      </c>
      <c r="M81" s="15">
        <v>0</v>
      </c>
      <c r="N81" s="15">
        <v>0</v>
      </c>
      <c r="O81" s="15">
        <v>3</v>
      </c>
      <c r="P81" s="15">
        <v>0</v>
      </c>
      <c r="Q81" s="15">
        <v>0</v>
      </c>
      <c r="R81" s="15">
        <v>2</v>
      </c>
      <c r="S81" s="15">
        <v>0</v>
      </c>
      <c r="T81" s="15">
        <v>0</v>
      </c>
      <c r="U81" s="15">
        <v>0</v>
      </c>
      <c r="V81" s="15">
        <v>1</v>
      </c>
      <c r="W81" s="15">
        <v>4</v>
      </c>
      <c r="X81" s="15">
        <v>5</v>
      </c>
      <c r="Y81" s="15">
        <v>7</v>
      </c>
      <c r="Z81" s="15">
        <v>10</v>
      </c>
      <c r="AA81" s="15">
        <v>3</v>
      </c>
      <c r="AB81" s="15">
        <v>4</v>
      </c>
      <c r="AC81" s="15">
        <v>1</v>
      </c>
      <c r="AD81" s="15">
        <v>1</v>
      </c>
      <c r="AE81" s="15">
        <v>2</v>
      </c>
      <c r="AF81" s="15">
        <v>9</v>
      </c>
      <c r="AG81" s="15">
        <v>4</v>
      </c>
      <c r="AH81" s="15">
        <v>5</v>
      </c>
      <c r="AI81" s="15">
        <v>1</v>
      </c>
      <c r="AJ81" s="15">
        <v>4</v>
      </c>
      <c r="AK81" s="15">
        <v>7</v>
      </c>
      <c r="AL81" s="15">
        <v>8</v>
      </c>
      <c r="AM81" s="15">
        <v>5</v>
      </c>
      <c r="AN81" s="15">
        <v>5</v>
      </c>
      <c r="AO81" s="15">
        <v>11</v>
      </c>
      <c r="AP81" s="15">
        <v>3</v>
      </c>
      <c r="AQ81" s="15">
        <v>5</v>
      </c>
      <c r="AR81" s="15">
        <v>6</v>
      </c>
      <c r="AS81" s="15">
        <v>6</v>
      </c>
      <c r="AT81" s="15">
        <v>3</v>
      </c>
      <c r="AU81" s="15">
        <v>3</v>
      </c>
      <c r="AV81" s="15">
        <v>2</v>
      </c>
      <c r="AW81" s="15">
        <v>3</v>
      </c>
      <c r="AX81" s="15">
        <v>4</v>
      </c>
      <c r="AY81" s="15">
        <v>6</v>
      </c>
      <c r="AZ81" s="15">
        <v>6</v>
      </c>
      <c r="BA81" s="15">
        <v>3</v>
      </c>
      <c r="BB81" s="15">
        <v>0</v>
      </c>
      <c r="BC81" s="15">
        <v>0</v>
      </c>
      <c r="BD81" s="15">
        <v>0</v>
      </c>
    </row>
    <row r="82" spans="1:56" x14ac:dyDescent="0.35">
      <c r="A82" s="14" t="s">
        <v>175</v>
      </c>
      <c r="B82" s="15">
        <v>226</v>
      </c>
      <c r="C82" s="16">
        <v>1100.4528412134196</v>
      </c>
      <c r="D82" s="15">
        <v>38</v>
      </c>
      <c r="E82" s="15">
        <v>24</v>
      </c>
      <c r="F82" s="15">
        <v>14</v>
      </c>
      <c r="G82" s="15">
        <v>29</v>
      </c>
      <c r="H82" s="15">
        <v>27</v>
      </c>
      <c r="I82" s="15">
        <v>15</v>
      </c>
      <c r="J82" s="15">
        <v>11</v>
      </c>
      <c r="K82" s="15">
        <v>8</v>
      </c>
      <c r="L82" s="15">
        <v>3</v>
      </c>
      <c r="M82" s="15">
        <v>3</v>
      </c>
      <c r="N82" s="15">
        <v>2</v>
      </c>
      <c r="O82" s="15">
        <v>2</v>
      </c>
      <c r="P82" s="15">
        <v>0</v>
      </c>
      <c r="Q82" s="15">
        <v>2</v>
      </c>
      <c r="R82" s="15">
        <v>0</v>
      </c>
      <c r="S82" s="15">
        <v>0</v>
      </c>
      <c r="T82" s="15">
        <v>0</v>
      </c>
      <c r="U82" s="15">
        <v>0</v>
      </c>
      <c r="V82" s="15">
        <v>0</v>
      </c>
      <c r="W82" s="15">
        <v>2</v>
      </c>
      <c r="X82" s="15">
        <v>0</v>
      </c>
      <c r="Y82" s="15">
        <v>0</v>
      </c>
      <c r="Z82" s="15">
        <v>0</v>
      </c>
      <c r="AA82" s="15">
        <v>1</v>
      </c>
      <c r="AB82" s="15">
        <v>1</v>
      </c>
      <c r="AC82" s="15">
        <v>1</v>
      </c>
      <c r="AD82" s="15">
        <v>0</v>
      </c>
      <c r="AE82" s="15">
        <v>1</v>
      </c>
      <c r="AF82" s="15">
        <v>4</v>
      </c>
      <c r="AG82" s="15">
        <v>0</v>
      </c>
      <c r="AH82" s="15">
        <v>1</v>
      </c>
      <c r="AI82" s="15">
        <v>0</v>
      </c>
      <c r="AJ82" s="15">
        <v>0</v>
      </c>
      <c r="AK82" s="15">
        <v>1</v>
      </c>
      <c r="AL82" s="15">
        <v>1</v>
      </c>
      <c r="AM82" s="15">
        <v>1</v>
      </c>
      <c r="AN82" s="15">
        <v>1</v>
      </c>
      <c r="AO82" s="15">
        <v>0</v>
      </c>
      <c r="AP82" s="15">
        <v>3</v>
      </c>
      <c r="AQ82" s="15">
        <v>4</v>
      </c>
      <c r="AR82" s="15">
        <v>2</v>
      </c>
      <c r="AS82" s="15">
        <v>1</v>
      </c>
      <c r="AT82" s="15">
        <v>5</v>
      </c>
      <c r="AU82" s="15">
        <v>4</v>
      </c>
      <c r="AV82" s="15">
        <v>4</v>
      </c>
      <c r="AW82" s="15">
        <v>2</v>
      </c>
      <c r="AX82" s="15">
        <v>1</v>
      </c>
      <c r="AY82" s="15">
        <v>2</v>
      </c>
      <c r="AZ82" s="15">
        <v>2</v>
      </c>
      <c r="BA82" s="15">
        <v>1</v>
      </c>
      <c r="BB82" s="15">
        <v>1</v>
      </c>
      <c r="BC82" s="15">
        <v>1</v>
      </c>
      <c r="BD82" s="15">
        <v>0</v>
      </c>
    </row>
    <row r="83" spans="1:56" x14ac:dyDescent="0.35">
      <c r="A83" s="14" t="s">
        <v>176</v>
      </c>
      <c r="B83" s="15">
        <v>97</v>
      </c>
      <c r="C83" s="16">
        <v>436.79920745710814</v>
      </c>
      <c r="D83" s="15">
        <v>2</v>
      </c>
      <c r="E83" s="15">
        <v>6</v>
      </c>
      <c r="F83" s="15">
        <v>2</v>
      </c>
      <c r="G83" s="15">
        <v>3</v>
      </c>
      <c r="H83" s="15">
        <v>0</v>
      </c>
      <c r="I83" s="15">
        <v>0</v>
      </c>
      <c r="J83" s="15">
        <v>0</v>
      </c>
      <c r="K83" s="15">
        <v>1</v>
      </c>
      <c r="L83" s="15">
        <v>0</v>
      </c>
      <c r="M83" s="15">
        <v>1</v>
      </c>
      <c r="N83" s="15">
        <v>1</v>
      </c>
      <c r="O83" s="15">
        <v>0</v>
      </c>
      <c r="P83" s="15">
        <v>0</v>
      </c>
      <c r="Q83" s="15">
        <v>0</v>
      </c>
      <c r="R83" s="15">
        <v>0</v>
      </c>
      <c r="S83" s="15">
        <v>0</v>
      </c>
      <c r="T83" s="15">
        <v>0</v>
      </c>
      <c r="U83" s="15">
        <v>0</v>
      </c>
      <c r="V83" s="15">
        <v>0</v>
      </c>
      <c r="W83" s="15">
        <v>0</v>
      </c>
      <c r="X83" s="15">
        <v>0</v>
      </c>
      <c r="Y83" s="15">
        <v>0</v>
      </c>
      <c r="Z83" s="15">
        <v>0</v>
      </c>
      <c r="AA83" s="15">
        <v>2</v>
      </c>
      <c r="AB83" s="15">
        <v>1</v>
      </c>
      <c r="AC83" s="15">
        <v>0</v>
      </c>
      <c r="AD83" s="15">
        <v>0</v>
      </c>
      <c r="AE83" s="15">
        <v>0</v>
      </c>
      <c r="AF83" s="15">
        <v>1</v>
      </c>
      <c r="AG83" s="15">
        <v>1</v>
      </c>
      <c r="AH83" s="15">
        <v>3</v>
      </c>
      <c r="AI83" s="15">
        <v>1</v>
      </c>
      <c r="AJ83" s="15">
        <v>3</v>
      </c>
      <c r="AK83" s="15">
        <v>7</v>
      </c>
      <c r="AL83" s="15">
        <v>1</v>
      </c>
      <c r="AM83" s="15">
        <v>4</v>
      </c>
      <c r="AN83" s="15">
        <v>1</v>
      </c>
      <c r="AO83" s="15">
        <v>4</v>
      </c>
      <c r="AP83" s="15">
        <v>9</v>
      </c>
      <c r="AQ83" s="15">
        <v>5</v>
      </c>
      <c r="AR83" s="15">
        <v>9</v>
      </c>
      <c r="AS83" s="15">
        <v>3</v>
      </c>
      <c r="AT83" s="15">
        <v>5</v>
      </c>
      <c r="AU83" s="15">
        <v>3</v>
      </c>
      <c r="AV83" s="15">
        <v>4</v>
      </c>
      <c r="AW83" s="15">
        <v>4</v>
      </c>
      <c r="AX83" s="15">
        <v>3</v>
      </c>
      <c r="AY83" s="15">
        <v>3</v>
      </c>
      <c r="AZ83" s="15">
        <v>1</v>
      </c>
      <c r="BA83" s="15">
        <v>2</v>
      </c>
      <c r="BB83" s="15">
        <v>0</v>
      </c>
      <c r="BC83" s="15">
        <v>1</v>
      </c>
      <c r="BD83" s="15">
        <v>0</v>
      </c>
    </row>
    <row r="84" spans="1:56" x14ac:dyDescent="0.35">
      <c r="A84" s="14" t="s">
        <v>177</v>
      </c>
      <c r="B84" s="15">
        <v>35</v>
      </c>
      <c r="C84" s="16">
        <v>294.36501261564342</v>
      </c>
      <c r="D84" s="15">
        <v>6</v>
      </c>
      <c r="E84" s="15">
        <v>2</v>
      </c>
      <c r="F84" s="15">
        <v>3</v>
      </c>
      <c r="G84" s="15">
        <v>4</v>
      </c>
      <c r="H84" s="15">
        <v>1</v>
      </c>
      <c r="I84" s="15">
        <v>1</v>
      </c>
      <c r="J84" s="15">
        <v>0</v>
      </c>
      <c r="K84" s="15">
        <v>1</v>
      </c>
      <c r="L84" s="15">
        <v>0</v>
      </c>
      <c r="M84" s="15">
        <v>0</v>
      </c>
      <c r="N84" s="15">
        <v>0</v>
      </c>
      <c r="O84" s="15">
        <v>0</v>
      </c>
      <c r="P84" s="15">
        <v>0</v>
      </c>
      <c r="Q84" s="15">
        <v>0</v>
      </c>
      <c r="R84" s="15">
        <v>0</v>
      </c>
      <c r="S84" s="15">
        <v>0</v>
      </c>
      <c r="T84" s="15">
        <v>0</v>
      </c>
      <c r="U84" s="15">
        <v>0</v>
      </c>
      <c r="V84" s="15">
        <v>0</v>
      </c>
      <c r="W84" s="15">
        <v>0</v>
      </c>
      <c r="X84" s="15">
        <v>1</v>
      </c>
      <c r="Y84" s="15">
        <v>0</v>
      </c>
      <c r="Z84" s="15">
        <v>0</v>
      </c>
      <c r="AA84" s="15">
        <v>1</v>
      </c>
      <c r="AB84" s="15">
        <v>0</v>
      </c>
      <c r="AC84" s="15">
        <v>0</v>
      </c>
      <c r="AD84" s="15">
        <v>0</v>
      </c>
      <c r="AE84" s="15">
        <v>1</v>
      </c>
      <c r="AF84" s="15">
        <v>0</v>
      </c>
      <c r="AG84" s="15">
        <v>1</v>
      </c>
      <c r="AH84" s="15">
        <v>7</v>
      </c>
      <c r="AI84" s="15">
        <v>1</v>
      </c>
      <c r="AJ84" s="15">
        <v>0</v>
      </c>
      <c r="AK84" s="15">
        <v>0</v>
      </c>
      <c r="AL84" s="15">
        <v>0</v>
      </c>
      <c r="AM84" s="15">
        <v>0</v>
      </c>
      <c r="AN84" s="15">
        <v>1</v>
      </c>
      <c r="AO84" s="15">
        <v>0</v>
      </c>
      <c r="AP84" s="15">
        <v>0</v>
      </c>
      <c r="AQ84" s="15">
        <v>0</v>
      </c>
      <c r="AR84" s="15">
        <v>0</v>
      </c>
      <c r="AS84" s="15">
        <v>0</v>
      </c>
      <c r="AT84" s="15">
        <v>0</v>
      </c>
      <c r="AU84" s="15">
        <v>0</v>
      </c>
      <c r="AV84" s="15">
        <v>0</v>
      </c>
      <c r="AW84" s="15">
        <v>1</v>
      </c>
      <c r="AX84" s="15">
        <v>0</v>
      </c>
      <c r="AY84" s="15">
        <v>1</v>
      </c>
      <c r="AZ84" s="15">
        <v>0</v>
      </c>
      <c r="BA84" s="15">
        <v>0</v>
      </c>
      <c r="BB84" s="15">
        <v>0</v>
      </c>
      <c r="BC84" s="15">
        <v>2</v>
      </c>
      <c r="BD84" s="15">
        <v>0</v>
      </c>
    </row>
    <row r="85" spans="1:56" x14ac:dyDescent="0.35">
      <c r="A85" s="14" t="s">
        <v>178</v>
      </c>
      <c r="B85" s="15">
        <v>133</v>
      </c>
      <c r="C85" s="16">
        <v>457.89437444054255</v>
      </c>
      <c r="D85" s="15">
        <v>22</v>
      </c>
      <c r="E85" s="15">
        <v>13</v>
      </c>
      <c r="F85" s="15">
        <v>9</v>
      </c>
      <c r="G85" s="15">
        <v>4</v>
      </c>
      <c r="H85" s="15">
        <v>9</v>
      </c>
      <c r="I85" s="15">
        <v>5</v>
      </c>
      <c r="J85" s="15">
        <v>3</v>
      </c>
      <c r="K85" s="15">
        <v>2</v>
      </c>
      <c r="L85" s="15">
        <v>1</v>
      </c>
      <c r="M85" s="15">
        <v>0</v>
      </c>
      <c r="N85" s="15">
        <v>1</v>
      </c>
      <c r="O85" s="15">
        <v>2</v>
      </c>
      <c r="P85" s="15">
        <v>1</v>
      </c>
      <c r="Q85" s="15">
        <v>2</v>
      </c>
      <c r="R85" s="15">
        <v>1</v>
      </c>
      <c r="S85" s="15">
        <v>2</v>
      </c>
      <c r="T85" s="15">
        <v>0</v>
      </c>
      <c r="U85" s="15">
        <v>0</v>
      </c>
      <c r="V85" s="15">
        <v>0</v>
      </c>
      <c r="W85" s="15">
        <v>0</v>
      </c>
      <c r="X85" s="15">
        <v>1</v>
      </c>
      <c r="Y85" s="15">
        <v>2</v>
      </c>
      <c r="Z85" s="15">
        <v>4</v>
      </c>
      <c r="AA85" s="15">
        <v>2</v>
      </c>
      <c r="AB85" s="15">
        <v>3</v>
      </c>
      <c r="AC85" s="15">
        <v>1</v>
      </c>
      <c r="AD85" s="15">
        <v>2</v>
      </c>
      <c r="AE85" s="15">
        <v>0</v>
      </c>
      <c r="AF85" s="15">
        <v>0</v>
      </c>
      <c r="AG85" s="15">
        <v>0</v>
      </c>
      <c r="AH85" s="15">
        <v>1</v>
      </c>
      <c r="AI85" s="15">
        <v>1</v>
      </c>
      <c r="AJ85" s="15">
        <v>1</v>
      </c>
      <c r="AK85" s="15">
        <v>3</v>
      </c>
      <c r="AL85" s="15">
        <v>3</v>
      </c>
      <c r="AM85" s="15">
        <v>3</v>
      </c>
      <c r="AN85" s="15">
        <v>7</v>
      </c>
      <c r="AO85" s="15">
        <v>1</v>
      </c>
      <c r="AP85" s="15">
        <v>1</v>
      </c>
      <c r="AQ85" s="15">
        <v>2</v>
      </c>
      <c r="AR85" s="15">
        <v>4</v>
      </c>
      <c r="AS85" s="15">
        <v>4</v>
      </c>
      <c r="AT85" s="15">
        <v>1</v>
      </c>
      <c r="AU85" s="15">
        <v>1</v>
      </c>
      <c r="AV85" s="15">
        <v>1</v>
      </c>
      <c r="AW85" s="15">
        <v>0</v>
      </c>
      <c r="AX85" s="15">
        <v>4</v>
      </c>
      <c r="AY85" s="15">
        <v>0</v>
      </c>
      <c r="AZ85" s="15">
        <v>3</v>
      </c>
      <c r="BA85" s="15">
        <v>0</v>
      </c>
      <c r="BB85" s="15">
        <v>0</v>
      </c>
      <c r="BC85" s="15">
        <v>0</v>
      </c>
      <c r="BD85" s="15">
        <v>0</v>
      </c>
    </row>
    <row r="86" spans="1:56" x14ac:dyDescent="0.35">
      <c r="A86" s="14" t="s">
        <v>179</v>
      </c>
      <c r="B86" s="15">
        <v>8</v>
      </c>
      <c r="C86" s="16">
        <v>97.895252080274119</v>
      </c>
      <c r="D86" s="15">
        <v>0</v>
      </c>
      <c r="E86" s="15">
        <v>0</v>
      </c>
      <c r="F86" s="15">
        <v>0</v>
      </c>
      <c r="G86" s="15">
        <v>0</v>
      </c>
      <c r="H86" s="15">
        <v>0</v>
      </c>
      <c r="I86" s="15">
        <v>0</v>
      </c>
      <c r="J86" s="15">
        <v>0</v>
      </c>
      <c r="K86" s="15">
        <v>0</v>
      </c>
      <c r="L86" s="15">
        <v>0</v>
      </c>
      <c r="M86" s="15">
        <v>0</v>
      </c>
      <c r="N86" s="15">
        <v>0</v>
      </c>
      <c r="O86" s="15">
        <v>0</v>
      </c>
      <c r="P86" s="15">
        <v>0</v>
      </c>
      <c r="Q86" s="15">
        <v>0</v>
      </c>
      <c r="R86" s="15">
        <v>1</v>
      </c>
      <c r="S86" s="15">
        <v>0</v>
      </c>
      <c r="T86" s="15">
        <v>0</v>
      </c>
      <c r="U86" s="15">
        <v>1</v>
      </c>
      <c r="V86" s="15">
        <v>0</v>
      </c>
      <c r="W86" s="15">
        <v>0</v>
      </c>
      <c r="X86" s="15">
        <v>1</v>
      </c>
      <c r="Y86" s="15">
        <v>0</v>
      </c>
      <c r="Z86" s="15">
        <v>0</v>
      </c>
      <c r="AA86" s="15">
        <v>0</v>
      </c>
      <c r="AB86" s="15">
        <v>0</v>
      </c>
      <c r="AC86" s="15">
        <v>0</v>
      </c>
      <c r="AD86" s="15">
        <v>0</v>
      </c>
      <c r="AE86" s="15">
        <v>0</v>
      </c>
      <c r="AF86" s="15">
        <v>1</v>
      </c>
      <c r="AG86" s="15">
        <v>0</v>
      </c>
      <c r="AH86" s="15">
        <v>0</v>
      </c>
      <c r="AI86" s="15">
        <v>0</v>
      </c>
      <c r="AJ86" s="15">
        <v>0</v>
      </c>
      <c r="AK86" s="15">
        <v>0</v>
      </c>
      <c r="AL86" s="15">
        <v>1</v>
      </c>
      <c r="AM86" s="15">
        <v>0</v>
      </c>
      <c r="AN86" s="15">
        <v>0</v>
      </c>
      <c r="AO86" s="15">
        <v>0</v>
      </c>
      <c r="AP86" s="15">
        <v>0</v>
      </c>
      <c r="AQ86" s="15">
        <v>0</v>
      </c>
      <c r="AR86" s="15">
        <v>0</v>
      </c>
      <c r="AS86" s="15">
        <v>0</v>
      </c>
      <c r="AT86" s="15">
        <v>1</v>
      </c>
      <c r="AU86" s="15">
        <v>0</v>
      </c>
      <c r="AV86" s="15">
        <v>0</v>
      </c>
      <c r="AW86" s="15">
        <v>0</v>
      </c>
      <c r="AX86" s="15">
        <v>1</v>
      </c>
      <c r="AY86" s="15">
        <v>1</v>
      </c>
      <c r="AZ86" s="15">
        <v>0</v>
      </c>
      <c r="BA86" s="15">
        <v>0</v>
      </c>
      <c r="BB86" s="15">
        <v>0</v>
      </c>
      <c r="BC86" s="15">
        <v>0</v>
      </c>
      <c r="BD86" s="15">
        <v>0</v>
      </c>
    </row>
    <row r="87" spans="1:56" x14ac:dyDescent="0.35">
      <c r="A87" s="14"/>
      <c r="B87" s="12"/>
      <c r="C87" s="13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</row>
    <row r="88" spans="1:56" x14ac:dyDescent="0.35">
      <c r="A88" s="1" t="s">
        <v>180</v>
      </c>
      <c r="B88" s="10">
        <v>4791</v>
      </c>
      <c r="C88" s="11">
        <v>917.97788115913147</v>
      </c>
      <c r="D88" s="10">
        <v>93</v>
      </c>
      <c r="E88" s="10">
        <v>73</v>
      </c>
      <c r="F88" s="10">
        <v>82</v>
      </c>
      <c r="G88" s="10">
        <v>109</v>
      </c>
      <c r="H88" s="10">
        <v>102</v>
      </c>
      <c r="I88" s="10">
        <v>111</v>
      </c>
      <c r="J88" s="10">
        <v>86</v>
      </c>
      <c r="K88" s="10">
        <v>75</v>
      </c>
      <c r="L88" s="10">
        <v>79</v>
      </c>
      <c r="M88" s="10">
        <v>56</v>
      </c>
      <c r="N88" s="10">
        <v>47</v>
      </c>
      <c r="O88" s="10">
        <v>46</v>
      </c>
      <c r="P88" s="10">
        <v>43</v>
      </c>
      <c r="Q88" s="10">
        <v>53</v>
      </c>
      <c r="R88" s="10">
        <v>29</v>
      </c>
      <c r="S88" s="10">
        <v>39</v>
      </c>
      <c r="T88" s="10">
        <v>46</v>
      </c>
      <c r="U88" s="10">
        <v>56</v>
      </c>
      <c r="V88" s="10">
        <v>91</v>
      </c>
      <c r="W88" s="10">
        <v>107</v>
      </c>
      <c r="X88" s="10">
        <v>134</v>
      </c>
      <c r="Y88" s="10">
        <v>195</v>
      </c>
      <c r="Z88" s="10">
        <v>248</v>
      </c>
      <c r="AA88" s="10">
        <v>239</v>
      </c>
      <c r="AB88" s="10">
        <v>287</v>
      </c>
      <c r="AC88" s="10">
        <v>264</v>
      </c>
      <c r="AD88" s="10">
        <v>209</v>
      </c>
      <c r="AE88" s="10">
        <v>213</v>
      </c>
      <c r="AF88" s="10">
        <v>205</v>
      </c>
      <c r="AG88" s="10">
        <v>184</v>
      </c>
      <c r="AH88" s="10">
        <v>143</v>
      </c>
      <c r="AI88" s="10">
        <v>123</v>
      </c>
      <c r="AJ88" s="10">
        <v>102</v>
      </c>
      <c r="AK88" s="10">
        <v>93</v>
      </c>
      <c r="AL88" s="10">
        <v>81</v>
      </c>
      <c r="AM88" s="10">
        <v>66</v>
      </c>
      <c r="AN88" s="10">
        <v>39</v>
      </c>
      <c r="AO88" s="10">
        <v>53</v>
      </c>
      <c r="AP88" s="10">
        <v>61</v>
      </c>
      <c r="AQ88" s="10">
        <v>58</v>
      </c>
      <c r="AR88" s="10">
        <v>38</v>
      </c>
      <c r="AS88" s="10">
        <v>32</v>
      </c>
      <c r="AT88" s="10">
        <v>46</v>
      </c>
      <c r="AU88" s="10">
        <v>38</v>
      </c>
      <c r="AV88" s="10">
        <v>21</v>
      </c>
      <c r="AW88" s="10">
        <v>20</v>
      </c>
      <c r="AX88" s="10">
        <v>29</v>
      </c>
      <c r="AY88" s="10">
        <v>34</v>
      </c>
      <c r="AZ88" s="10">
        <v>21</v>
      </c>
      <c r="BA88" s="10">
        <v>33</v>
      </c>
      <c r="BB88" s="10">
        <v>34</v>
      </c>
      <c r="BC88" s="10">
        <v>25</v>
      </c>
      <c r="BD88" s="10">
        <v>0</v>
      </c>
    </row>
    <row r="89" spans="1:56" x14ac:dyDescent="0.35">
      <c r="A89" s="14" t="s">
        <v>181</v>
      </c>
      <c r="B89" s="15">
        <v>722</v>
      </c>
      <c r="C89" s="16">
        <v>489.47825143724918</v>
      </c>
      <c r="D89" s="15">
        <v>34</v>
      </c>
      <c r="E89" s="15">
        <v>26</v>
      </c>
      <c r="F89" s="15">
        <v>39</v>
      </c>
      <c r="G89" s="15">
        <v>36</v>
      </c>
      <c r="H89" s="15">
        <v>42</v>
      </c>
      <c r="I89" s="15">
        <v>49</v>
      </c>
      <c r="J89" s="15">
        <v>24</v>
      </c>
      <c r="K89" s="15">
        <v>27</v>
      </c>
      <c r="L89" s="15">
        <v>17</v>
      </c>
      <c r="M89" s="15">
        <v>12</v>
      </c>
      <c r="N89" s="15">
        <v>10</v>
      </c>
      <c r="O89" s="15">
        <v>9</v>
      </c>
      <c r="P89" s="15">
        <v>14</v>
      </c>
      <c r="Q89" s="15">
        <v>6</v>
      </c>
      <c r="R89" s="15">
        <v>6</v>
      </c>
      <c r="S89" s="15">
        <v>3</v>
      </c>
      <c r="T89" s="15">
        <v>5</v>
      </c>
      <c r="U89" s="15">
        <v>3</v>
      </c>
      <c r="V89" s="15">
        <v>7</v>
      </c>
      <c r="W89" s="15">
        <v>3</v>
      </c>
      <c r="X89" s="15">
        <v>8</v>
      </c>
      <c r="Y89" s="15">
        <v>4</v>
      </c>
      <c r="Z89" s="15">
        <v>14</v>
      </c>
      <c r="AA89" s="15">
        <v>12</v>
      </c>
      <c r="AB89" s="15">
        <v>21</v>
      </c>
      <c r="AC89" s="15">
        <v>22</v>
      </c>
      <c r="AD89" s="15">
        <v>14</v>
      </c>
      <c r="AE89" s="15">
        <v>8</v>
      </c>
      <c r="AF89" s="15">
        <v>16</v>
      </c>
      <c r="AG89" s="15">
        <v>14</v>
      </c>
      <c r="AH89" s="15">
        <v>17</v>
      </c>
      <c r="AI89" s="15">
        <v>9</v>
      </c>
      <c r="AJ89" s="15">
        <v>16</v>
      </c>
      <c r="AK89" s="15">
        <v>21</v>
      </c>
      <c r="AL89" s="15">
        <v>14</v>
      </c>
      <c r="AM89" s="15">
        <v>11</v>
      </c>
      <c r="AN89" s="15">
        <v>2</v>
      </c>
      <c r="AO89" s="15">
        <v>15</v>
      </c>
      <c r="AP89" s="15">
        <v>7</v>
      </c>
      <c r="AQ89" s="15">
        <v>9</v>
      </c>
      <c r="AR89" s="15">
        <v>11</v>
      </c>
      <c r="AS89" s="15">
        <v>5</v>
      </c>
      <c r="AT89" s="15">
        <v>17</v>
      </c>
      <c r="AU89" s="15">
        <v>9</v>
      </c>
      <c r="AV89" s="15">
        <v>4</v>
      </c>
      <c r="AW89" s="15">
        <v>8</v>
      </c>
      <c r="AX89" s="15">
        <v>6</v>
      </c>
      <c r="AY89" s="15">
        <v>5</v>
      </c>
      <c r="AZ89" s="15">
        <v>3</v>
      </c>
      <c r="BA89" s="15">
        <v>11</v>
      </c>
      <c r="BB89" s="15">
        <v>6</v>
      </c>
      <c r="BC89" s="15">
        <v>11</v>
      </c>
      <c r="BD89" s="15">
        <v>0</v>
      </c>
    </row>
    <row r="90" spans="1:56" x14ac:dyDescent="0.35">
      <c r="A90" s="14" t="s">
        <v>182</v>
      </c>
      <c r="B90" s="15">
        <v>366</v>
      </c>
      <c r="C90" s="16">
        <v>909.06832915228131</v>
      </c>
      <c r="D90" s="15">
        <v>20</v>
      </c>
      <c r="E90" s="15">
        <v>14</v>
      </c>
      <c r="F90" s="15">
        <v>14</v>
      </c>
      <c r="G90" s="15">
        <v>27</v>
      </c>
      <c r="H90" s="15">
        <v>17</v>
      </c>
      <c r="I90" s="15">
        <v>14</v>
      </c>
      <c r="J90" s="15">
        <v>12</v>
      </c>
      <c r="K90" s="15">
        <v>11</v>
      </c>
      <c r="L90" s="15">
        <v>14</v>
      </c>
      <c r="M90" s="15">
        <v>5</v>
      </c>
      <c r="N90" s="15">
        <v>3</v>
      </c>
      <c r="O90" s="15">
        <v>5</v>
      </c>
      <c r="P90" s="15">
        <v>1</v>
      </c>
      <c r="Q90" s="15">
        <v>4</v>
      </c>
      <c r="R90" s="15">
        <v>1</v>
      </c>
      <c r="S90" s="15">
        <v>1</v>
      </c>
      <c r="T90" s="15">
        <v>1</v>
      </c>
      <c r="U90" s="15">
        <v>1</v>
      </c>
      <c r="V90" s="15">
        <v>2</v>
      </c>
      <c r="W90" s="15">
        <v>0</v>
      </c>
      <c r="X90" s="15">
        <v>0</v>
      </c>
      <c r="Y90" s="15">
        <v>3</v>
      </c>
      <c r="Z90" s="15">
        <v>2</v>
      </c>
      <c r="AA90" s="15">
        <v>5</v>
      </c>
      <c r="AB90" s="15">
        <v>5</v>
      </c>
      <c r="AC90" s="15">
        <v>10</v>
      </c>
      <c r="AD90" s="15">
        <v>8</v>
      </c>
      <c r="AE90" s="15">
        <v>10</v>
      </c>
      <c r="AF90" s="15">
        <v>13</v>
      </c>
      <c r="AG90" s="15">
        <v>7</v>
      </c>
      <c r="AH90" s="15">
        <v>9</v>
      </c>
      <c r="AI90" s="15">
        <v>23</v>
      </c>
      <c r="AJ90" s="15">
        <v>9</v>
      </c>
      <c r="AK90" s="15">
        <v>13</v>
      </c>
      <c r="AL90" s="15">
        <v>8</v>
      </c>
      <c r="AM90" s="15">
        <v>5</v>
      </c>
      <c r="AN90" s="15">
        <v>3</v>
      </c>
      <c r="AO90" s="15">
        <v>10</v>
      </c>
      <c r="AP90" s="15">
        <v>13</v>
      </c>
      <c r="AQ90" s="15">
        <v>6</v>
      </c>
      <c r="AR90" s="15">
        <v>6</v>
      </c>
      <c r="AS90" s="15">
        <v>3</v>
      </c>
      <c r="AT90" s="15">
        <v>3</v>
      </c>
      <c r="AU90" s="15">
        <v>0</v>
      </c>
      <c r="AV90" s="15">
        <v>0</v>
      </c>
      <c r="AW90" s="15">
        <v>3</v>
      </c>
      <c r="AX90" s="15">
        <v>2</v>
      </c>
      <c r="AY90" s="15">
        <v>5</v>
      </c>
      <c r="AZ90" s="15">
        <v>3</v>
      </c>
      <c r="BA90" s="15">
        <v>6</v>
      </c>
      <c r="BB90" s="15">
        <v>4</v>
      </c>
      <c r="BC90" s="15">
        <v>2</v>
      </c>
      <c r="BD90" s="15">
        <v>0</v>
      </c>
    </row>
    <row r="91" spans="1:56" x14ac:dyDescent="0.35">
      <c r="A91" s="14" t="s">
        <v>183</v>
      </c>
      <c r="B91" s="15">
        <v>1142</v>
      </c>
      <c r="C91" s="16">
        <v>2035.7594880296631</v>
      </c>
      <c r="D91" s="15">
        <v>21</v>
      </c>
      <c r="E91" s="15">
        <v>17</v>
      </c>
      <c r="F91" s="15">
        <v>13</v>
      </c>
      <c r="G91" s="15">
        <v>23</v>
      </c>
      <c r="H91" s="15">
        <v>36</v>
      </c>
      <c r="I91" s="15">
        <v>34</v>
      </c>
      <c r="J91" s="15">
        <v>41</v>
      </c>
      <c r="K91" s="15">
        <v>17</v>
      </c>
      <c r="L91" s="15">
        <v>32</v>
      </c>
      <c r="M91" s="15">
        <v>19</v>
      </c>
      <c r="N91" s="15">
        <v>22</v>
      </c>
      <c r="O91" s="15">
        <v>20</v>
      </c>
      <c r="P91" s="15">
        <v>9</v>
      </c>
      <c r="Q91" s="15">
        <v>24</v>
      </c>
      <c r="R91" s="15">
        <v>15</v>
      </c>
      <c r="S91" s="15">
        <v>15</v>
      </c>
      <c r="T91" s="15">
        <v>21</v>
      </c>
      <c r="U91" s="15">
        <v>24</v>
      </c>
      <c r="V91" s="15">
        <v>37</v>
      </c>
      <c r="W91" s="15">
        <v>44</v>
      </c>
      <c r="X91" s="15">
        <v>43</v>
      </c>
      <c r="Y91" s="15">
        <v>59</v>
      </c>
      <c r="Z91" s="15">
        <v>60</v>
      </c>
      <c r="AA91" s="15">
        <v>57</v>
      </c>
      <c r="AB91" s="15">
        <v>78</v>
      </c>
      <c r="AC91" s="15">
        <v>55</v>
      </c>
      <c r="AD91" s="15">
        <v>45</v>
      </c>
      <c r="AE91" s="15">
        <v>48</v>
      </c>
      <c r="AF91" s="15">
        <v>48</v>
      </c>
      <c r="AG91" s="15">
        <v>28</v>
      </c>
      <c r="AH91" s="15">
        <v>24</v>
      </c>
      <c r="AI91" s="15">
        <v>24</v>
      </c>
      <c r="AJ91" s="15">
        <v>9</v>
      </c>
      <c r="AK91" s="15">
        <v>14</v>
      </c>
      <c r="AL91" s="15">
        <v>11</v>
      </c>
      <c r="AM91" s="15">
        <v>10</v>
      </c>
      <c r="AN91" s="15">
        <v>8</v>
      </c>
      <c r="AO91" s="15">
        <v>4</v>
      </c>
      <c r="AP91" s="15">
        <v>9</v>
      </c>
      <c r="AQ91" s="15">
        <v>4</v>
      </c>
      <c r="AR91" s="15">
        <v>3</v>
      </c>
      <c r="AS91" s="15">
        <v>2</v>
      </c>
      <c r="AT91" s="15">
        <v>3</v>
      </c>
      <c r="AU91" s="15">
        <v>2</v>
      </c>
      <c r="AV91" s="15">
        <v>1</v>
      </c>
      <c r="AW91" s="15">
        <v>0</v>
      </c>
      <c r="AX91" s="15">
        <v>1</v>
      </c>
      <c r="AY91" s="15">
        <v>3</v>
      </c>
      <c r="AZ91" s="15">
        <v>0</v>
      </c>
      <c r="BA91" s="15">
        <v>3</v>
      </c>
      <c r="BB91" s="15">
        <v>0</v>
      </c>
      <c r="BC91" s="15">
        <v>2</v>
      </c>
      <c r="BD91" s="15">
        <v>0</v>
      </c>
    </row>
    <row r="92" spans="1:56" x14ac:dyDescent="0.35">
      <c r="A92" s="14" t="s">
        <v>184</v>
      </c>
      <c r="B92" s="15">
        <v>294</v>
      </c>
      <c r="C92" s="16">
        <v>1982.200647249191</v>
      </c>
      <c r="D92" s="15">
        <v>3</v>
      </c>
      <c r="E92" s="15">
        <v>4</v>
      </c>
      <c r="F92" s="15">
        <v>4</v>
      </c>
      <c r="G92" s="15">
        <v>4</v>
      </c>
      <c r="H92" s="15">
        <v>1</v>
      </c>
      <c r="I92" s="15">
        <v>3</v>
      </c>
      <c r="J92" s="15">
        <v>3</v>
      </c>
      <c r="K92" s="15">
        <v>2</v>
      </c>
      <c r="L92" s="15">
        <v>1</v>
      </c>
      <c r="M92" s="15">
        <v>1</v>
      </c>
      <c r="N92" s="15">
        <v>2</v>
      </c>
      <c r="O92" s="15">
        <v>4</v>
      </c>
      <c r="P92" s="15">
        <v>4</v>
      </c>
      <c r="Q92" s="15">
        <v>2</v>
      </c>
      <c r="R92" s="15">
        <v>1</v>
      </c>
      <c r="S92" s="15">
        <v>3</v>
      </c>
      <c r="T92" s="15">
        <v>2</v>
      </c>
      <c r="U92" s="15">
        <v>2</v>
      </c>
      <c r="V92" s="15">
        <v>4</v>
      </c>
      <c r="W92" s="15">
        <v>1</v>
      </c>
      <c r="X92" s="15">
        <v>1</v>
      </c>
      <c r="Y92" s="15">
        <v>7</v>
      </c>
      <c r="Z92" s="15">
        <v>17</v>
      </c>
      <c r="AA92" s="15">
        <v>23</v>
      </c>
      <c r="AB92" s="15">
        <v>34</v>
      </c>
      <c r="AC92" s="15">
        <v>34</v>
      </c>
      <c r="AD92" s="15">
        <v>29</v>
      </c>
      <c r="AE92" s="15">
        <v>27</v>
      </c>
      <c r="AF92" s="15">
        <v>16</v>
      </c>
      <c r="AG92" s="15">
        <v>12</v>
      </c>
      <c r="AH92" s="15">
        <v>7</v>
      </c>
      <c r="AI92" s="15">
        <v>6</v>
      </c>
      <c r="AJ92" s="15">
        <v>4</v>
      </c>
      <c r="AK92" s="15">
        <v>6</v>
      </c>
      <c r="AL92" s="15">
        <v>2</v>
      </c>
      <c r="AM92" s="15">
        <v>7</v>
      </c>
      <c r="AN92" s="15">
        <v>0</v>
      </c>
      <c r="AO92" s="15">
        <v>3</v>
      </c>
      <c r="AP92" s="15">
        <v>1</v>
      </c>
      <c r="AQ92" s="15">
        <v>0</v>
      </c>
      <c r="AR92" s="15">
        <v>0</v>
      </c>
      <c r="AS92" s="15">
        <v>0</v>
      </c>
      <c r="AT92" s="15">
        <v>0</v>
      </c>
      <c r="AU92" s="15">
        <v>1</v>
      </c>
      <c r="AV92" s="15">
        <v>0</v>
      </c>
      <c r="AW92" s="15">
        <v>0</v>
      </c>
      <c r="AX92" s="15">
        <v>0</v>
      </c>
      <c r="AY92" s="15">
        <v>0</v>
      </c>
      <c r="AZ92" s="15">
        <v>0</v>
      </c>
      <c r="BA92" s="15">
        <v>0</v>
      </c>
      <c r="BB92" s="15">
        <v>4</v>
      </c>
      <c r="BC92" s="15">
        <v>2</v>
      </c>
      <c r="BD92" s="15">
        <v>0</v>
      </c>
    </row>
    <row r="93" spans="1:56" x14ac:dyDescent="0.35">
      <c r="A93" s="14" t="s">
        <v>185</v>
      </c>
      <c r="B93" s="15">
        <v>858</v>
      </c>
      <c r="C93" s="16">
        <v>2716.2213498797014</v>
      </c>
      <c r="D93" s="15">
        <v>0</v>
      </c>
      <c r="E93" s="15">
        <v>1</v>
      </c>
      <c r="F93" s="15">
        <v>1</v>
      </c>
      <c r="G93" s="15">
        <v>3</v>
      </c>
      <c r="H93" s="15">
        <v>0</v>
      </c>
      <c r="I93" s="15">
        <v>1</v>
      </c>
      <c r="J93" s="15">
        <v>0</v>
      </c>
      <c r="K93" s="15">
        <v>0</v>
      </c>
      <c r="L93" s="15">
        <v>1</v>
      </c>
      <c r="M93" s="15">
        <v>3</v>
      </c>
      <c r="N93" s="15">
        <v>1</v>
      </c>
      <c r="O93" s="15">
        <v>0</v>
      </c>
      <c r="P93" s="15">
        <v>5</v>
      </c>
      <c r="Q93" s="15">
        <v>1</v>
      </c>
      <c r="R93" s="15">
        <v>1</v>
      </c>
      <c r="S93" s="15">
        <v>4</v>
      </c>
      <c r="T93" s="15">
        <v>8</v>
      </c>
      <c r="U93" s="15">
        <v>17</v>
      </c>
      <c r="V93" s="15">
        <v>28</v>
      </c>
      <c r="W93" s="15">
        <v>41</v>
      </c>
      <c r="X93" s="15">
        <v>57</v>
      </c>
      <c r="Y93" s="15">
        <v>72</v>
      </c>
      <c r="Z93" s="15">
        <v>106</v>
      </c>
      <c r="AA93" s="15">
        <v>92</v>
      </c>
      <c r="AB93" s="15">
        <v>74</v>
      </c>
      <c r="AC93" s="15">
        <v>90</v>
      </c>
      <c r="AD93" s="15">
        <v>54</v>
      </c>
      <c r="AE93" s="15">
        <v>31</v>
      </c>
      <c r="AF93" s="15">
        <v>36</v>
      </c>
      <c r="AG93" s="15">
        <v>33</v>
      </c>
      <c r="AH93" s="15">
        <v>19</v>
      </c>
      <c r="AI93" s="15">
        <v>10</v>
      </c>
      <c r="AJ93" s="15">
        <v>9</v>
      </c>
      <c r="AK93" s="15">
        <v>3</v>
      </c>
      <c r="AL93" s="15">
        <v>9</v>
      </c>
      <c r="AM93" s="15">
        <v>3</v>
      </c>
      <c r="AN93" s="15">
        <v>5</v>
      </c>
      <c r="AO93" s="15">
        <v>2</v>
      </c>
      <c r="AP93" s="15">
        <v>2</v>
      </c>
      <c r="AQ93" s="15">
        <v>2</v>
      </c>
      <c r="AR93" s="15">
        <v>5</v>
      </c>
      <c r="AS93" s="15">
        <v>4</v>
      </c>
      <c r="AT93" s="15">
        <v>2</v>
      </c>
      <c r="AU93" s="15">
        <v>5</v>
      </c>
      <c r="AV93" s="15">
        <v>1</v>
      </c>
      <c r="AW93" s="15">
        <v>1</v>
      </c>
      <c r="AX93" s="15">
        <v>1</v>
      </c>
      <c r="AY93" s="15">
        <v>1</v>
      </c>
      <c r="AZ93" s="15">
        <v>3</v>
      </c>
      <c r="BA93" s="15">
        <v>4</v>
      </c>
      <c r="BB93" s="15">
        <v>6</v>
      </c>
      <c r="BC93" s="15">
        <v>0</v>
      </c>
      <c r="BD93" s="15">
        <v>0</v>
      </c>
    </row>
    <row r="94" spans="1:56" x14ac:dyDescent="0.35">
      <c r="A94" s="14" t="s">
        <v>186</v>
      </c>
      <c r="B94" s="15">
        <v>90</v>
      </c>
      <c r="C94" s="16">
        <v>257.62129669386002</v>
      </c>
      <c r="D94" s="15">
        <v>1</v>
      </c>
      <c r="E94" s="15">
        <v>0</v>
      </c>
      <c r="F94" s="15">
        <v>1</v>
      </c>
      <c r="G94" s="15">
        <v>1</v>
      </c>
      <c r="H94" s="15">
        <v>0</v>
      </c>
      <c r="I94" s="15">
        <v>1</v>
      </c>
      <c r="J94" s="15">
        <v>0</v>
      </c>
      <c r="K94" s="15">
        <v>1</v>
      </c>
      <c r="L94" s="15">
        <v>0</v>
      </c>
      <c r="M94" s="15">
        <v>2</v>
      </c>
      <c r="N94" s="15">
        <v>2</v>
      </c>
      <c r="O94" s="15">
        <v>1</v>
      </c>
      <c r="P94" s="15">
        <v>0</v>
      </c>
      <c r="Q94" s="15">
        <v>1</v>
      </c>
      <c r="R94" s="15">
        <v>0</v>
      </c>
      <c r="S94" s="15">
        <v>1</v>
      </c>
      <c r="T94" s="15">
        <v>0</v>
      </c>
      <c r="U94" s="15">
        <v>0</v>
      </c>
      <c r="V94" s="15">
        <v>0</v>
      </c>
      <c r="W94" s="15">
        <v>1</v>
      </c>
      <c r="X94" s="15">
        <v>2</v>
      </c>
      <c r="Y94" s="15">
        <v>1</v>
      </c>
      <c r="Z94" s="15">
        <v>5</v>
      </c>
      <c r="AA94" s="15">
        <v>1</v>
      </c>
      <c r="AB94" s="15">
        <v>4</v>
      </c>
      <c r="AC94" s="15">
        <v>2</v>
      </c>
      <c r="AD94" s="15">
        <v>9</v>
      </c>
      <c r="AE94" s="15">
        <v>5</v>
      </c>
      <c r="AF94" s="15">
        <v>6</v>
      </c>
      <c r="AG94" s="15">
        <v>4</v>
      </c>
      <c r="AH94" s="15">
        <v>3</v>
      </c>
      <c r="AI94" s="15">
        <v>2</v>
      </c>
      <c r="AJ94" s="15">
        <v>6</v>
      </c>
      <c r="AK94" s="15">
        <v>5</v>
      </c>
      <c r="AL94" s="15">
        <v>3</v>
      </c>
      <c r="AM94" s="15">
        <v>2</v>
      </c>
      <c r="AN94" s="15">
        <v>3</v>
      </c>
      <c r="AO94" s="15">
        <v>0</v>
      </c>
      <c r="AP94" s="15">
        <v>1</v>
      </c>
      <c r="AQ94" s="15">
        <v>2</v>
      </c>
      <c r="AR94" s="15">
        <v>0</v>
      </c>
      <c r="AS94" s="15">
        <v>2</v>
      </c>
      <c r="AT94" s="15">
        <v>1</v>
      </c>
      <c r="AU94" s="15">
        <v>2</v>
      </c>
      <c r="AV94" s="15">
        <v>0</v>
      </c>
      <c r="AW94" s="15">
        <v>0</v>
      </c>
      <c r="AX94" s="15">
        <v>0</v>
      </c>
      <c r="AY94" s="15">
        <v>1</v>
      </c>
      <c r="AZ94" s="15">
        <v>1</v>
      </c>
      <c r="BA94" s="15">
        <v>1</v>
      </c>
      <c r="BB94" s="15">
        <v>2</v>
      </c>
      <c r="BC94" s="15">
        <v>1</v>
      </c>
      <c r="BD94" s="15">
        <v>0</v>
      </c>
    </row>
    <row r="95" spans="1:56" x14ac:dyDescent="0.35">
      <c r="A95" s="14" t="s">
        <v>187</v>
      </c>
      <c r="B95" s="15">
        <v>230</v>
      </c>
      <c r="C95" s="16">
        <v>484.7922770482474</v>
      </c>
      <c r="D95" s="15">
        <v>0</v>
      </c>
      <c r="E95" s="15">
        <v>2</v>
      </c>
      <c r="F95" s="15">
        <v>1</v>
      </c>
      <c r="G95" s="15">
        <v>0</v>
      </c>
      <c r="H95" s="15">
        <v>0</v>
      </c>
      <c r="I95" s="15">
        <v>2</v>
      </c>
      <c r="J95" s="15">
        <v>2</v>
      </c>
      <c r="K95" s="15">
        <v>4</v>
      </c>
      <c r="L95" s="15">
        <v>1</v>
      </c>
      <c r="M95" s="15">
        <v>4</v>
      </c>
      <c r="N95" s="15">
        <v>1</v>
      </c>
      <c r="O95" s="15">
        <v>0</v>
      </c>
      <c r="P95" s="15">
        <v>2</v>
      </c>
      <c r="Q95" s="15">
        <v>1</v>
      </c>
      <c r="R95" s="15">
        <v>0</v>
      </c>
      <c r="S95" s="15">
        <v>1</v>
      </c>
      <c r="T95" s="15">
        <v>0</v>
      </c>
      <c r="U95" s="15">
        <v>0</v>
      </c>
      <c r="V95" s="15">
        <v>1</v>
      </c>
      <c r="W95" s="15">
        <v>2</v>
      </c>
      <c r="X95" s="15">
        <v>2</v>
      </c>
      <c r="Y95" s="15">
        <v>4</v>
      </c>
      <c r="Z95" s="15">
        <v>5</v>
      </c>
      <c r="AA95" s="15">
        <v>1</v>
      </c>
      <c r="AB95" s="15">
        <v>9</v>
      </c>
      <c r="AC95" s="15">
        <v>9</v>
      </c>
      <c r="AD95" s="15">
        <v>5</v>
      </c>
      <c r="AE95" s="15">
        <v>3</v>
      </c>
      <c r="AF95" s="15">
        <v>10</v>
      </c>
      <c r="AG95" s="15">
        <v>19</v>
      </c>
      <c r="AH95" s="15">
        <v>9</v>
      </c>
      <c r="AI95" s="15">
        <v>10</v>
      </c>
      <c r="AJ95" s="15">
        <v>14</v>
      </c>
      <c r="AK95" s="15">
        <v>6</v>
      </c>
      <c r="AL95" s="15">
        <v>7</v>
      </c>
      <c r="AM95" s="15">
        <v>8</v>
      </c>
      <c r="AN95" s="15">
        <v>3</v>
      </c>
      <c r="AO95" s="15">
        <v>5</v>
      </c>
      <c r="AP95" s="15">
        <v>6</v>
      </c>
      <c r="AQ95" s="15">
        <v>7</v>
      </c>
      <c r="AR95" s="15">
        <v>1</v>
      </c>
      <c r="AS95" s="15">
        <v>6</v>
      </c>
      <c r="AT95" s="15">
        <v>8</v>
      </c>
      <c r="AU95" s="15">
        <v>9</v>
      </c>
      <c r="AV95" s="15">
        <v>2</v>
      </c>
      <c r="AW95" s="15">
        <v>4</v>
      </c>
      <c r="AX95" s="15">
        <v>10</v>
      </c>
      <c r="AY95" s="15">
        <v>9</v>
      </c>
      <c r="AZ95" s="15">
        <v>4</v>
      </c>
      <c r="BA95" s="15">
        <v>2</v>
      </c>
      <c r="BB95" s="15">
        <v>5</v>
      </c>
      <c r="BC95" s="15">
        <v>4</v>
      </c>
      <c r="BD95" s="15">
        <v>0</v>
      </c>
    </row>
    <row r="96" spans="1:56" x14ac:dyDescent="0.35">
      <c r="A96" s="14" t="s">
        <v>188</v>
      </c>
      <c r="B96" s="15">
        <v>20</v>
      </c>
      <c r="C96" s="16">
        <v>45.194676067159286</v>
      </c>
      <c r="D96" s="15">
        <v>1</v>
      </c>
      <c r="E96" s="15">
        <v>0</v>
      </c>
      <c r="F96" s="15">
        <v>0</v>
      </c>
      <c r="G96" s="15">
        <v>0</v>
      </c>
      <c r="H96" s="15">
        <v>0</v>
      </c>
      <c r="I96" s="15">
        <v>0</v>
      </c>
      <c r="J96" s="15">
        <v>0</v>
      </c>
      <c r="K96" s="15">
        <v>0</v>
      </c>
      <c r="L96" s="15">
        <v>0</v>
      </c>
      <c r="M96" s="15">
        <v>0</v>
      </c>
      <c r="N96" s="15">
        <v>0</v>
      </c>
      <c r="O96" s="15">
        <v>0</v>
      </c>
      <c r="P96" s="15">
        <v>0</v>
      </c>
      <c r="Q96" s="15">
        <v>0</v>
      </c>
      <c r="R96" s="15">
        <v>0</v>
      </c>
      <c r="S96" s="15">
        <v>0</v>
      </c>
      <c r="T96" s="15">
        <v>0</v>
      </c>
      <c r="U96" s="15">
        <v>1</v>
      </c>
      <c r="V96" s="15">
        <v>1</v>
      </c>
      <c r="W96" s="15">
        <v>1</v>
      </c>
      <c r="X96" s="15">
        <v>1</v>
      </c>
      <c r="Y96" s="15">
        <v>1</v>
      </c>
      <c r="Z96" s="15">
        <v>0</v>
      </c>
      <c r="AA96" s="15">
        <v>0</v>
      </c>
      <c r="AB96" s="15">
        <v>1</v>
      </c>
      <c r="AC96" s="15">
        <v>2</v>
      </c>
      <c r="AD96" s="15">
        <v>0</v>
      </c>
      <c r="AE96" s="15">
        <v>2</v>
      </c>
      <c r="AF96" s="15">
        <v>1</v>
      </c>
      <c r="AG96" s="15">
        <v>0</v>
      </c>
      <c r="AH96" s="15">
        <v>0</v>
      </c>
      <c r="AI96" s="15">
        <v>1</v>
      </c>
      <c r="AJ96" s="15">
        <v>1</v>
      </c>
      <c r="AK96" s="15">
        <v>2</v>
      </c>
      <c r="AL96" s="15">
        <v>0</v>
      </c>
      <c r="AM96" s="15">
        <v>0</v>
      </c>
      <c r="AN96" s="15">
        <v>0</v>
      </c>
      <c r="AO96" s="15">
        <v>0</v>
      </c>
      <c r="AP96" s="15">
        <v>0</v>
      </c>
      <c r="AQ96" s="15">
        <v>1</v>
      </c>
      <c r="AR96" s="15">
        <v>0</v>
      </c>
      <c r="AS96" s="15">
        <v>0</v>
      </c>
      <c r="AT96" s="15">
        <v>0</v>
      </c>
      <c r="AU96" s="15">
        <v>0</v>
      </c>
      <c r="AV96" s="15">
        <v>1</v>
      </c>
      <c r="AW96" s="15">
        <v>0</v>
      </c>
      <c r="AX96" s="15">
        <v>0</v>
      </c>
      <c r="AY96" s="15">
        <v>1</v>
      </c>
      <c r="AZ96" s="15">
        <v>0</v>
      </c>
      <c r="BA96" s="15">
        <v>1</v>
      </c>
      <c r="BB96" s="15">
        <v>0</v>
      </c>
      <c r="BC96" s="15">
        <v>0</v>
      </c>
      <c r="BD96" s="15">
        <v>0</v>
      </c>
    </row>
    <row r="97" spans="1:56" x14ac:dyDescent="0.35">
      <c r="A97" s="14" t="s">
        <v>189</v>
      </c>
      <c r="B97" s="15">
        <v>109</v>
      </c>
      <c r="C97" s="16">
        <v>501.37994480220789</v>
      </c>
      <c r="D97" s="15">
        <v>0</v>
      </c>
      <c r="E97" s="15">
        <v>1</v>
      </c>
      <c r="F97" s="15">
        <v>1</v>
      </c>
      <c r="G97" s="15">
        <v>8</v>
      </c>
      <c r="H97" s="15">
        <v>0</v>
      </c>
      <c r="I97" s="15">
        <v>2</v>
      </c>
      <c r="J97" s="15">
        <v>2</v>
      </c>
      <c r="K97" s="15">
        <v>3</v>
      </c>
      <c r="L97" s="15">
        <v>0</v>
      </c>
      <c r="M97" s="15">
        <v>1</v>
      </c>
      <c r="N97" s="15">
        <v>1</v>
      </c>
      <c r="O97" s="15">
        <v>2</v>
      </c>
      <c r="P97" s="15">
        <v>1</v>
      </c>
      <c r="Q97" s="15">
        <v>3</v>
      </c>
      <c r="R97" s="15">
        <v>0</v>
      </c>
      <c r="S97" s="15">
        <v>1</v>
      </c>
      <c r="T97" s="15">
        <v>0</v>
      </c>
      <c r="U97" s="15">
        <v>0</v>
      </c>
      <c r="V97" s="15">
        <v>1</v>
      </c>
      <c r="W97" s="15">
        <v>1</v>
      </c>
      <c r="X97" s="15">
        <v>1</v>
      </c>
      <c r="Y97" s="15">
        <v>1</v>
      </c>
      <c r="Z97" s="15">
        <v>0</v>
      </c>
      <c r="AA97" s="15">
        <v>4</v>
      </c>
      <c r="AB97" s="15">
        <v>0</v>
      </c>
      <c r="AC97" s="15">
        <v>4</v>
      </c>
      <c r="AD97" s="15">
        <v>1</v>
      </c>
      <c r="AE97" s="15">
        <v>16</v>
      </c>
      <c r="AF97" s="15">
        <v>7</v>
      </c>
      <c r="AG97" s="15">
        <v>7</v>
      </c>
      <c r="AH97" s="15">
        <v>12</v>
      </c>
      <c r="AI97" s="15">
        <v>6</v>
      </c>
      <c r="AJ97" s="15">
        <v>4</v>
      </c>
      <c r="AK97" s="15">
        <v>3</v>
      </c>
      <c r="AL97" s="15">
        <v>3</v>
      </c>
      <c r="AM97" s="15">
        <v>6</v>
      </c>
      <c r="AN97" s="15">
        <v>0</v>
      </c>
      <c r="AO97" s="15">
        <v>0</v>
      </c>
      <c r="AP97" s="15">
        <v>0</v>
      </c>
      <c r="AQ97" s="15">
        <v>0</v>
      </c>
      <c r="AR97" s="15">
        <v>0</v>
      </c>
      <c r="AS97" s="15">
        <v>0</v>
      </c>
      <c r="AT97" s="15">
        <v>0</v>
      </c>
      <c r="AU97" s="15">
        <v>0</v>
      </c>
      <c r="AV97" s="15">
        <v>1</v>
      </c>
      <c r="AW97" s="15">
        <v>1</v>
      </c>
      <c r="AX97" s="15">
        <v>1</v>
      </c>
      <c r="AY97" s="15">
        <v>0</v>
      </c>
      <c r="AZ97" s="15">
        <v>2</v>
      </c>
      <c r="BA97" s="15">
        <v>0</v>
      </c>
      <c r="BB97" s="15">
        <v>0</v>
      </c>
      <c r="BC97" s="15">
        <v>1</v>
      </c>
      <c r="BD97" s="15">
        <v>0</v>
      </c>
    </row>
    <row r="98" spans="1:56" x14ac:dyDescent="0.35">
      <c r="A98" s="14" t="s">
        <v>190</v>
      </c>
      <c r="B98" s="15">
        <v>667</v>
      </c>
      <c r="C98" s="16">
        <v>1223.6062446111794</v>
      </c>
      <c r="D98" s="15">
        <v>4</v>
      </c>
      <c r="E98" s="15">
        <v>2</v>
      </c>
      <c r="F98" s="15">
        <v>1</v>
      </c>
      <c r="G98" s="15">
        <v>2</v>
      </c>
      <c r="H98" s="15">
        <v>3</v>
      </c>
      <c r="I98" s="15">
        <v>2</v>
      </c>
      <c r="J98" s="15">
        <v>0</v>
      </c>
      <c r="K98" s="15">
        <v>4</v>
      </c>
      <c r="L98" s="15">
        <v>5</v>
      </c>
      <c r="M98" s="15">
        <v>1</v>
      </c>
      <c r="N98" s="15">
        <v>1</v>
      </c>
      <c r="O98" s="15">
        <v>2</v>
      </c>
      <c r="P98" s="15">
        <v>3</v>
      </c>
      <c r="Q98" s="15">
        <v>10</v>
      </c>
      <c r="R98" s="15">
        <v>3</v>
      </c>
      <c r="S98" s="15">
        <v>4</v>
      </c>
      <c r="T98" s="15">
        <v>6</v>
      </c>
      <c r="U98" s="15">
        <v>8</v>
      </c>
      <c r="V98" s="15">
        <v>7</v>
      </c>
      <c r="W98" s="15">
        <v>9</v>
      </c>
      <c r="X98" s="15">
        <v>15</v>
      </c>
      <c r="Y98" s="15">
        <v>39</v>
      </c>
      <c r="Z98" s="15">
        <v>33</v>
      </c>
      <c r="AA98" s="15">
        <v>40</v>
      </c>
      <c r="AB98" s="15">
        <v>50</v>
      </c>
      <c r="AC98" s="15">
        <v>24</v>
      </c>
      <c r="AD98" s="15">
        <v>28</v>
      </c>
      <c r="AE98" s="15">
        <v>44</v>
      </c>
      <c r="AF98" s="15">
        <v>35</v>
      </c>
      <c r="AG98" s="15">
        <v>37</v>
      </c>
      <c r="AH98" s="15">
        <v>25</v>
      </c>
      <c r="AI98" s="15">
        <v>21</v>
      </c>
      <c r="AJ98" s="15">
        <v>19</v>
      </c>
      <c r="AK98" s="15">
        <v>11</v>
      </c>
      <c r="AL98" s="15">
        <v>18</v>
      </c>
      <c r="AM98" s="15">
        <v>7</v>
      </c>
      <c r="AN98" s="15">
        <v>14</v>
      </c>
      <c r="AO98" s="15">
        <v>14</v>
      </c>
      <c r="AP98" s="15">
        <v>21</v>
      </c>
      <c r="AQ98" s="15">
        <v>26</v>
      </c>
      <c r="AR98" s="15">
        <v>9</v>
      </c>
      <c r="AS98" s="15">
        <v>10</v>
      </c>
      <c r="AT98" s="15">
        <v>9</v>
      </c>
      <c r="AU98" s="15">
        <v>8</v>
      </c>
      <c r="AV98" s="15">
        <v>8</v>
      </c>
      <c r="AW98" s="15">
        <v>2</v>
      </c>
      <c r="AX98" s="15">
        <v>5</v>
      </c>
      <c r="AY98" s="15">
        <v>5</v>
      </c>
      <c r="AZ98" s="15">
        <v>5</v>
      </c>
      <c r="BA98" s="15">
        <v>5</v>
      </c>
      <c r="BB98" s="15">
        <v>3</v>
      </c>
      <c r="BC98" s="15">
        <v>0</v>
      </c>
      <c r="BD98" s="15">
        <v>0</v>
      </c>
    </row>
    <row r="99" spans="1:56" x14ac:dyDescent="0.35">
      <c r="A99" s="14" t="s">
        <v>191</v>
      </c>
      <c r="B99" s="15">
        <v>252</v>
      </c>
      <c r="C99" s="16">
        <v>876.70470359031447</v>
      </c>
      <c r="D99" s="15">
        <v>8</v>
      </c>
      <c r="E99" s="15">
        <v>6</v>
      </c>
      <c r="F99" s="15">
        <v>5</v>
      </c>
      <c r="G99" s="15">
        <v>4</v>
      </c>
      <c r="H99" s="15">
        <v>3</v>
      </c>
      <c r="I99" s="15">
        <v>2</v>
      </c>
      <c r="J99" s="15">
        <v>2</v>
      </c>
      <c r="K99" s="15">
        <v>6</v>
      </c>
      <c r="L99" s="15">
        <v>7</v>
      </c>
      <c r="M99" s="15">
        <v>7</v>
      </c>
      <c r="N99" s="15">
        <v>4</v>
      </c>
      <c r="O99" s="15">
        <v>3</v>
      </c>
      <c r="P99" s="15">
        <v>4</v>
      </c>
      <c r="Q99" s="15">
        <v>1</v>
      </c>
      <c r="R99" s="15">
        <v>2</v>
      </c>
      <c r="S99" s="15">
        <v>6</v>
      </c>
      <c r="T99" s="15">
        <v>3</v>
      </c>
      <c r="U99" s="15">
        <v>0</v>
      </c>
      <c r="V99" s="15">
        <v>3</v>
      </c>
      <c r="W99" s="15">
        <v>4</v>
      </c>
      <c r="X99" s="15">
        <v>4</v>
      </c>
      <c r="Y99" s="15">
        <v>4</v>
      </c>
      <c r="Z99" s="15">
        <v>6</v>
      </c>
      <c r="AA99" s="15">
        <v>4</v>
      </c>
      <c r="AB99" s="15">
        <v>11</v>
      </c>
      <c r="AC99" s="15">
        <v>10</v>
      </c>
      <c r="AD99" s="15">
        <v>13</v>
      </c>
      <c r="AE99" s="15">
        <v>16</v>
      </c>
      <c r="AF99" s="15">
        <v>16</v>
      </c>
      <c r="AG99" s="15">
        <v>23</v>
      </c>
      <c r="AH99" s="15">
        <v>15</v>
      </c>
      <c r="AI99" s="15">
        <v>10</v>
      </c>
      <c r="AJ99" s="15">
        <v>11</v>
      </c>
      <c r="AK99" s="15">
        <v>7</v>
      </c>
      <c r="AL99" s="15">
        <v>6</v>
      </c>
      <c r="AM99" s="15">
        <v>1</v>
      </c>
      <c r="AN99" s="15">
        <v>0</v>
      </c>
      <c r="AO99" s="15">
        <v>0</v>
      </c>
      <c r="AP99" s="15">
        <v>0</v>
      </c>
      <c r="AQ99" s="15">
        <v>0</v>
      </c>
      <c r="AR99" s="15">
        <v>2</v>
      </c>
      <c r="AS99" s="15">
        <v>0</v>
      </c>
      <c r="AT99" s="15">
        <v>1</v>
      </c>
      <c r="AU99" s="15">
        <v>2</v>
      </c>
      <c r="AV99" s="15">
        <v>1</v>
      </c>
      <c r="AW99" s="15">
        <v>0</v>
      </c>
      <c r="AX99" s="15">
        <v>2</v>
      </c>
      <c r="AY99" s="15">
        <v>2</v>
      </c>
      <c r="AZ99" s="15">
        <v>0</v>
      </c>
      <c r="BA99" s="15">
        <v>0</v>
      </c>
      <c r="BB99" s="15">
        <v>4</v>
      </c>
      <c r="BC99" s="15">
        <v>1</v>
      </c>
      <c r="BD99" s="15">
        <v>0</v>
      </c>
    </row>
    <row r="100" spans="1:56" x14ac:dyDescent="0.35">
      <c r="A100" s="14" t="s">
        <v>192</v>
      </c>
      <c r="B100" s="15">
        <v>5</v>
      </c>
      <c r="C100" s="16" t="s">
        <v>106</v>
      </c>
      <c r="D100" s="15">
        <v>1</v>
      </c>
      <c r="E100" s="15">
        <v>0</v>
      </c>
      <c r="F100" s="15">
        <v>1</v>
      </c>
      <c r="G100" s="15">
        <v>0</v>
      </c>
      <c r="H100" s="15">
        <v>0</v>
      </c>
      <c r="I100" s="15">
        <v>1</v>
      </c>
      <c r="J100" s="15">
        <v>0</v>
      </c>
      <c r="K100" s="15">
        <v>0</v>
      </c>
      <c r="L100" s="15">
        <v>0</v>
      </c>
      <c r="M100" s="15">
        <v>0</v>
      </c>
      <c r="N100" s="15">
        <v>0</v>
      </c>
      <c r="O100" s="15">
        <v>0</v>
      </c>
      <c r="P100" s="15">
        <v>0</v>
      </c>
      <c r="Q100" s="15">
        <v>0</v>
      </c>
      <c r="R100" s="15">
        <v>0</v>
      </c>
      <c r="S100" s="15">
        <v>0</v>
      </c>
      <c r="T100" s="15">
        <v>0</v>
      </c>
      <c r="U100" s="15">
        <v>0</v>
      </c>
      <c r="V100" s="15">
        <v>0</v>
      </c>
      <c r="W100" s="15">
        <v>0</v>
      </c>
      <c r="X100" s="15">
        <v>0</v>
      </c>
      <c r="Y100" s="15">
        <v>0</v>
      </c>
      <c r="Z100" s="15">
        <v>0</v>
      </c>
      <c r="AA100" s="15">
        <v>0</v>
      </c>
      <c r="AB100" s="15">
        <v>0</v>
      </c>
      <c r="AC100" s="15">
        <v>0</v>
      </c>
      <c r="AD100" s="15">
        <v>0</v>
      </c>
      <c r="AE100" s="15">
        <v>0</v>
      </c>
      <c r="AF100" s="15">
        <v>0</v>
      </c>
      <c r="AG100" s="15">
        <v>0</v>
      </c>
      <c r="AH100" s="15">
        <v>1</v>
      </c>
      <c r="AI100" s="15">
        <v>0</v>
      </c>
      <c r="AJ100" s="15">
        <v>0</v>
      </c>
      <c r="AK100" s="15">
        <v>0</v>
      </c>
      <c r="AL100" s="15">
        <v>0</v>
      </c>
      <c r="AM100" s="15">
        <v>0</v>
      </c>
      <c r="AN100" s="15">
        <v>0</v>
      </c>
      <c r="AO100" s="15">
        <v>0</v>
      </c>
      <c r="AP100" s="15">
        <v>0</v>
      </c>
      <c r="AQ100" s="15">
        <v>1</v>
      </c>
      <c r="AR100" s="15">
        <v>0</v>
      </c>
      <c r="AS100" s="15">
        <v>0</v>
      </c>
      <c r="AT100" s="15">
        <v>0</v>
      </c>
      <c r="AU100" s="15">
        <v>0</v>
      </c>
      <c r="AV100" s="15">
        <v>0</v>
      </c>
      <c r="AW100" s="15">
        <v>0</v>
      </c>
      <c r="AX100" s="15">
        <v>0</v>
      </c>
      <c r="AY100" s="15">
        <v>0</v>
      </c>
      <c r="AZ100" s="15">
        <v>0</v>
      </c>
      <c r="BA100" s="15">
        <v>0</v>
      </c>
      <c r="BB100" s="15">
        <v>0</v>
      </c>
      <c r="BC100" s="15">
        <v>0</v>
      </c>
      <c r="BD100" s="15">
        <v>0</v>
      </c>
    </row>
    <row r="101" spans="1:56" x14ac:dyDescent="0.35">
      <c r="A101" s="14" t="s">
        <v>201</v>
      </c>
      <c r="B101" s="15">
        <v>36</v>
      </c>
      <c r="C101" s="16" t="s">
        <v>106</v>
      </c>
      <c r="D101" s="15">
        <v>0</v>
      </c>
      <c r="E101" s="15">
        <v>0</v>
      </c>
      <c r="F101" s="15">
        <v>1</v>
      </c>
      <c r="G101" s="15">
        <v>1</v>
      </c>
      <c r="H101" s="15">
        <v>0</v>
      </c>
      <c r="I101" s="15">
        <v>0</v>
      </c>
      <c r="J101" s="15">
        <v>0</v>
      </c>
      <c r="K101" s="15">
        <v>0</v>
      </c>
      <c r="L101" s="15">
        <v>1</v>
      </c>
      <c r="M101" s="15">
        <v>1</v>
      </c>
      <c r="N101" s="15">
        <v>0</v>
      </c>
      <c r="O101" s="15">
        <v>0</v>
      </c>
      <c r="P101" s="15">
        <v>0</v>
      </c>
      <c r="Q101" s="15">
        <v>0</v>
      </c>
      <c r="R101" s="15">
        <v>0</v>
      </c>
      <c r="S101" s="15">
        <v>0</v>
      </c>
      <c r="T101" s="15">
        <v>0</v>
      </c>
      <c r="U101" s="15">
        <v>0</v>
      </c>
      <c r="V101" s="15">
        <v>0</v>
      </c>
      <c r="W101" s="15">
        <v>0</v>
      </c>
      <c r="X101" s="15">
        <v>0</v>
      </c>
      <c r="Y101" s="15">
        <v>0</v>
      </c>
      <c r="Z101" s="15">
        <v>0</v>
      </c>
      <c r="AA101" s="15">
        <v>0</v>
      </c>
      <c r="AB101" s="15">
        <v>0</v>
      </c>
      <c r="AC101" s="15">
        <v>2</v>
      </c>
      <c r="AD101" s="15">
        <v>3</v>
      </c>
      <c r="AE101" s="15">
        <v>3</v>
      </c>
      <c r="AF101" s="15">
        <v>1</v>
      </c>
      <c r="AG101" s="15">
        <v>0</v>
      </c>
      <c r="AH101" s="15">
        <v>2</v>
      </c>
      <c r="AI101" s="15">
        <v>1</v>
      </c>
      <c r="AJ101" s="15">
        <v>0</v>
      </c>
      <c r="AK101" s="15">
        <v>2</v>
      </c>
      <c r="AL101" s="15">
        <v>0</v>
      </c>
      <c r="AM101" s="15">
        <v>6</v>
      </c>
      <c r="AN101" s="15">
        <v>1</v>
      </c>
      <c r="AO101" s="15">
        <v>0</v>
      </c>
      <c r="AP101" s="15">
        <v>1</v>
      </c>
      <c r="AQ101" s="15">
        <v>0</v>
      </c>
      <c r="AR101" s="15">
        <v>1</v>
      </c>
      <c r="AS101" s="15">
        <v>0</v>
      </c>
      <c r="AT101" s="15">
        <v>2</v>
      </c>
      <c r="AU101" s="15">
        <v>0</v>
      </c>
      <c r="AV101" s="15">
        <v>2</v>
      </c>
      <c r="AW101" s="15">
        <v>1</v>
      </c>
      <c r="AX101" s="15">
        <v>1</v>
      </c>
      <c r="AY101" s="15">
        <v>2</v>
      </c>
      <c r="AZ101" s="15">
        <v>0</v>
      </c>
      <c r="BA101" s="15">
        <v>0</v>
      </c>
      <c r="BB101" s="15">
        <v>0</v>
      </c>
      <c r="BC101" s="15">
        <v>1</v>
      </c>
      <c r="BD101" s="15">
        <v>0</v>
      </c>
    </row>
    <row r="102" spans="1:56" x14ac:dyDescent="0.35">
      <c r="A102" s="19"/>
      <c r="B102" s="19"/>
      <c r="C102" s="19"/>
      <c r="D102" s="19"/>
      <c r="E102" s="19"/>
      <c r="F102" s="19"/>
      <c r="G102" s="19"/>
      <c r="H102" s="19"/>
      <c r="I102" s="19"/>
      <c r="J102" s="19"/>
      <c r="K102" s="19"/>
      <c r="L102" s="19"/>
      <c r="M102" s="19"/>
      <c r="N102" s="19"/>
      <c r="O102" s="19"/>
      <c r="P102" s="19"/>
      <c r="Q102" s="19"/>
      <c r="R102" s="19"/>
      <c r="S102" s="19"/>
      <c r="T102" s="19"/>
      <c r="U102" s="19"/>
      <c r="V102" s="19"/>
      <c r="W102" s="19"/>
      <c r="X102" s="19"/>
      <c r="Y102" s="19"/>
      <c r="Z102" s="19"/>
      <c r="AA102" s="19"/>
      <c r="AB102" s="19"/>
      <c r="AC102" s="19"/>
      <c r="AD102" s="19"/>
      <c r="AE102" s="19"/>
      <c r="AF102" s="19"/>
      <c r="AG102" s="19"/>
      <c r="AH102" s="19"/>
      <c r="AI102" s="19"/>
      <c r="AJ102" s="19"/>
      <c r="AK102" s="19"/>
      <c r="AL102" s="19"/>
      <c r="AM102" s="19"/>
      <c r="AN102" s="19"/>
      <c r="AO102" s="19"/>
      <c r="AP102" s="19"/>
      <c r="AQ102" s="19"/>
      <c r="AR102" s="19"/>
      <c r="AS102" s="19"/>
      <c r="AT102" s="19"/>
      <c r="AU102" s="19"/>
      <c r="AV102" s="19"/>
      <c r="AW102" s="19"/>
      <c r="AX102" s="19"/>
      <c r="AY102" s="19"/>
      <c r="AZ102" s="19"/>
      <c r="BA102" s="19"/>
      <c r="BB102" s="19"/>
      <c r="BC102" s="19"/>
      <c r="BD102" s="19"/>
    </row>
    <row r="103" spans="1:56" x14ac:dyDescent="0.35">
      <c r="A103" s="1" t="s">
        <v>193</v>
      </c>
      <c r="B103" s="10">
        <v>1378</v>
      </c>
      <c r="C103" s="11">
        <v>287.62862927633637</v>
      </c>
      <c r="D103" s="10">
        <v>68</v>
      </c>
      <c r="E103" s="10">
        <v>57</v>
      </c>
      <c r="F103" s="10">
        <v>47</v>
      </c>
      <c r="G103" s="10">
        <v>48</v>
      </c>
      <c r="H103" s="10">
        <v>44</v>
      </c>
      <c r="I103" s="10">
        <v>46</v>
      </c>
      <c r="J103" s="10">
        <v>41</v>
      </c>
      <c r="K103" s="10">
        <v>43</v>
      </c>
      <c r="L103" s="10">
        <v>44</v>
      </c>
      <c r="M103" s="10">
        <v>36</v>
      </c>
      <c r="N103" s="10">
        <v>37</v>
      </c>
      <c r="O103" s="10">
        <v>33</v>
      </c>
      <c r="P103" s="10">
        <v>23</v>
      </c>
      <c r="Q103" s="10">
        <v>28</v>
      </c>
      <c r="R103" s="10">
        <v>23</v>
      </c>
      <c r="S103" s="10">
        <v>22</v>
      </c>
      <c r="T103" s="10">
        <v>24</v>
      </c>
      <c r="U103" s="10">
        <v>30</v>
      </c>
      <c r="V103" s="10">
        <v>18</v>
      </c>
      <c r="W103" s="10">
        <v>14</v>
      </c>
      <c r="X103" s="10">
        <v>14</v>
      </c>
      <c r="Y103" s="10">
        <v>22</v>
      </c>
      <c r="Z103" s="10">
        <v>22</v>
      </c>
      <c r="AA103" s="10">
        <v>27</v>
      </c>
      <c r="AB103" s="10">
        <v>23</v>
      </c>
      <c r="AC103" s="10">
        <v>15</v>
      </c>
      <c r="AD103" s="10">
        <v>20</v>
      </c>
      <c r="AE103" s="10">
        <v>16</v>
      </c>
      <c r="AF103" s="10">
        <v>31</v>
      </c>
      <c r="AG103" s="10">
        <v>27</v>
      </c>
      <c r="AH103" s="10">
        <v>39</v>
      </c>
      <c r="AI103" s="10">
        <v>28</v>
      </c>
      <c r="AJ103" s="10">
        <v>33</v>
      </c>
      <c r="AK103" s="10">
        <v>33</v>
      </c>
      <c r="AL103" s="10">
        <v>36</v>
      </c>
      <c r="AM103" s="10">
        <v>22</v>
      </c>
      <c r="AN103" s="10">
        <v>14</v>
      </c>
      <c r="AO103" s="10">
        <v>25</v>
      </c>
      <c r="AP103" s="10">
        <v>26</v>
      </c>
      <c r="AQ103" s="10">
        <v>21</v>
      </c>
      <c r="AR103" s="10">
        <v>18</v>
      </c>
      <c r="AS103" s="10">
        <v>21</v>
      </c>
      <c r="AT103" s="10">
        <v>9</v>
      </c>
      <c r="AU103" s="10">
        <v>10</v>
      </c>
      <c r="AV103" s="10">
        <v>16</v>
      </c>
      <c r="AW103" s="10">
        <v>7</v>
      </c>
      <c r="AX103" s="10">
        <v>17</v>
      </c>
      <c r="AY103" s="10">
        <v>18</v>
      </c>
      <c r="AZ103" s="10">
        <v>20</v>
      </c>
      <c r="BA103" s="10">
        <v>13</v>
      </c>
      <c r="BB103" s="10">
        <v>4</v>
      </c>
      <c r="BC103" s="10">
        <v>5</v>
      </c>
      <c r="BD103" s="10">
        <v>0</v>
      </c>
    </row>
    <row r="104" spans="1:56" x14ac:dyDescent="0.35">
      <c r="A104" s="14" t="s">
        <v>194</v>
      </c>
      <c r="B104" s="15">
        <v>116</v>
      </c>
      <c r="C104" s="16">
        <v>115.38614570485021</v>
      </c>
      <c r="D104" s="15">
        <v>8</v>
      </c>
      <c r="E104" s="15">
        <v>12</v>
      </c>
      <c r="F104" s="15">
        <v>5</v>
      </c>
      <c r="G104" s="15">
        <v>1</v>
      </c>
      <c r="H104" s="15">
        <v>1</v>
      </c>
      <c r="I104" s="15">
        <v>5</v>
      </c>
      <c r="J104" s="15">
        <v>3</v>
      </c>
      <c r="K104" s="15">
        <v>4</v>
      </c>
      <c r="L104" s="15">
        <v>1</v>
      </c>
      <c r="M104" s="15">
        <v>3</v>
      </c>
      <c r="N104" s="15">
        <v>2</v>
      </c>
      <c r="O104" s="15">
        <v>3</v>
      </c>
      <c r="P104" s="15">
        <v>4</v>
      </c>
      <c r="Q104" s="15">
        <v>2</v>
      </c>
      <c r="R104" s="15">
        <v>2</v>
      </c>
      <c r="S104" s="15">
        <v>4</v>
      </c>
      <c r="T104" s="15">
        <v>5</v>
      </c>
      <c r="U104" s="15">
        <v>2</v>
      </c>
      <c r="V104" s="15">
        <v>1</v>
      </c>
      <c r="W104" s="15">
        <v>2</v>
      </c>
      <c r="X104" s="15">
        <v>1</v>
      </c>
      <c r="Y104" s="15">
        <v>0</v>
      </c>
      <c r="Z104" s="15">
        <v>0</v>
      </c>
      <c r="AA104" s="15">
        <v>3</v>
      </c>
      <c r="AB104" s="15">
        <v>1</v>
      </c>
      <c r="AC104" s="15">
        <v>0</v>
      </c>
      <c r="AD104" s="15">
        <v>1</v>
      </c>
      <c r="AE104" s="15">
        <v>2</v>
      </c>
      <c r="AF104" s="15">
        <v>3</v>
      </c>
      <c r="AG104" s="15">
        <v>3</v>
      </c>
      <c r="AH104" s="15">
        <v>5</v>
      </c>
      <c r="AI104" s="15">
        <v>0</v>
      </c>
      <c r="AJ104" s="15">
        <v>0</v>
      </c>
      <c r="AK104" s="15">
        <v>3</v>
      </c>
      <c r="AL104" s="15">
        <v>2</v>
      </c>
      <c r="AM104" s="15">
        <v>1</v>
      </c>
      <c r="AN104" s="15">
        <v>1</v>
      </c>
      <c r="AO104" s="15">
        <v>1</v>
      </c>
      <c r="AP104" s="15">
        <v>1</v>
      </c>
      <c r="AQ104" s="15">
        <v>2</v>
      </c>
      <c r="AR104" s="15">
        <v>1</v>
      </c>
      <c r="AS104" s="15">
        <v>0</v>
      </c>
      <c r="AT104" s="15">
        <v>0</v>
      </c>
      <c r="AU104" s="15">
        <v>0</v>
      </c>
      <c r="AV104" s="15">
        <v>2</v>
      </c>
      <c r="AW104" s="15">
        <v>0</v>
      </c>
      <c r="AX104" s="15">
        <v>3</v>
      </c>
      <c r="AY104" s="15">
        <v>3</v>
      </c>
      <c r="AZ104" s="15">
        <v>5</v>
      </c>
      <c r="BA104" s="15">
        <v>1</v>
      </c>
      <c r="BB104" s="15">
        <v>0</v>
      </c>
      <c r="BC104" s="15">
        <v>1</v>
      </c>
      <c r="BD104" s="15">
        <v>0</v>
      </c>
    </row>
    <row r="105" spans="1:56" x14ac:dyDescent="0.35">
      <c r="A105" s="14" t="s">
        <v>195</v>
      </c>
      <c r="B105" s="15">
        <v>401</v>
      </c>
      <c r="C105" s="16">
        <v>252.95694685380857</v>
      </c>
      <c r="D105" s="15">
        <v>17</v>
      </c>
      <c r="E105" s="15">
        <v>9</v>
      </c>
      <c r="F105" s="15">
        <v>11</v>
      </c>
      <c r="G105" s="15">
        <v>13</v>
      </c>
      <c r="H105" s="15">
        <v>10</v>
      </c>
      <c r="I105" s="15">
        <v>20</v>
      </c>
      <c r="J105" s="15">
        <v>12</v>
      </c>
      <c r="K105" s="15">
        <v>13</v>
      </c>
      <c r="L105" s="15">
        <v>17</v>
      </c>
      <c r="M105" s="15">
        <v>12</v>
      </c>
      <c r="N105" s="15">
        <v>10</v>
      </c>
      <c r="O105" s="15">
        <v>8</v>
      </c>
      <c r="P105" s="15">
        <v>3</v>
      </c>
      <c r="Q105" s="15">
        <v>6</v>
      </c>
      <c r="R105" s="15">
        <v>7</v>
      </c>
      <c r="S105" s="15">
        <v>0</v>
      </c>
      <c r="T105" s="15">
        <v>5</v>
      </c>
      <c r="U105" s="15">
        <v>11</v>
      </c>
      <c r="V105" s="15">
        <v>6</v>
      </c>
      <c r="W105" s="15">
        <v>6</v>
      </c>
      <c r="X105" s="15">
        <v>9</v>
      </c>
      <c r="Y105" s="15">
        <v>4</v>
      </c>
      <c r="Z105" s="15">
        <v>9</v>
      </c>
      <c r="AA105" s="15">
        <v>12</v>
      </c>
      <c r="AB105" s="15">
        <v>7</v>
      </c>
      <c r="AC105" s="15">
        <v>6</v>
      </c>
      <c r="AD105" s="15">
        <v>1</v>
      </c>
      <c r="AE105" s="15">
        <v>1</v>
      </c>
      <c r="AF105" s="15">
        <v>15</v>
      </c>
      <c r="AG105" s="15">
        <v>6</v>
      </c>
      <c r="AH105" s="15">
        <v>8</v>
      </c>
      <c r="AI105" s="15">
        <v>8</v>
      </c>
      <c r="AJ105" s="15">
        <v>12</v>
      </c>
      <c r="AK105" s="15">
        <v>14</v>
      </c>
      <c r="AL105" s="15">
        <v>10</v>
      </c>
      <c r="AM105" s="15">
        <v>9</v>
      </c>
      <c r="AN105" s="15">
        <v>4</v>
      </c>
      <c r="AO105" s="15">
        <v>11</v>
      </c>
      <c r="AP105" s="15">
        <v>8</v>
      </c>
      <c r="AQ105" s="15">
        <v>3</v>
      </c>
      <c r="AR105" s="15">
        <v>2</v>
      </c>
      <c r="AS105" s="15">
        <v>6</v>
      </c>
      <c r="AT105" s="15">
        <v>4</v>
      </c>
      <c r="AU105" s="15">
        <v>3</v>
      </c>
      <c r="AV105" s="15">
        <v>6</v>
      </c>
      <c r="AW105" s="15">
        <v>2</v>
      </c>
      <c r="AX105" s="15">
        <v>4</v>
      </c>
      <c r="AY105" s="15">
        <v>3</v>
      </c>
      <c r="AZ105" s="15">
        <v>7</v>
      </c>
      <c r="BA105" s="15">
        <v>11</v>
      </c>
      <c r="BB105" s="15">
        <v>0</v>
      </c>
      <c r="BC105" s="15">
        <v>0</v>
      </c>
      <c r="BD105" s="15">
        <v>0</v>
      </c>
    </row>
    <row r="106" spans="1:56" x14ac:dyDescent="0.35">
      <c r="A106" s="14" t="s">
        <v>196</v>
      </c>
      <c r="B106" s="15">
        <v>287</v>
      </c>
      <c r="C106" s="16">
        <v>432.42428808196473</v>
      </c>
      <c r="D106" s="15">
        <v>19</v>
      </c>
      <c r="E106" s="15">
        <v>14</v>
      </c>
      <c r="F106" s="15">
        <v>11</v>
      </c>
      <c r="G106" s="15">
        <v>16</v>
      </c>
      <c r="H106" s="15">
        <v>14</v>
      </c>
      <c r="I106" s="15">
        <v>11</v>
      </c>
      <c r="J106" s="15">
        <v>7</v>
      </c>
      <c r="K106" s="15">
        <v>8</v>
      </c>
      <c r="L106" s="15">
        <v>6</v>
      </c>
      <c r="M106" s="15">
        <v>5</v>
      </c>
      <c r="N106" s="15">
        <v>10</v>
      </c>
      <c r="O106" s="15">
        <v>10</v>
      </c>
      <c r="P106" s="15">
        <v>7</v>
      </c>
      <c r="Q106" s="15">
        <v>13</v>
      </c>
      <c r="R106" s="15">
        <v>8</v>
      </c>
      <c r="S106" s="15">
        <v>8</v>
      </c>
      <c r="T106" s="15">
        <v>4</v>
      </c>
      <c r="U106" s="15">
        <v>9</v>
      </c>
      <c r="V106" s="15">
        <v>6</v>
      </c>
      <c r="W106" s="15">
        <v>1</v>
      </c>
      <c r="X106" s="15">
        <v>0</v>
      </c>
      <c r="Y106" s="15">
        <v>5</v>
      </c>
      <c r="Z106" s="15">
        <v>5</v>
      </c>
      <c r="AA106" s="15">
        <v>4</v>
      </c>
      <c r="AB106" s="15">
        <v>3</v>
      </c>
      <c r="AC106" s="15">
        <v>0</v>
      </c>
      <c r="AD106" s="15">
        <v>5</v>
      </c>
      <c r="AE106" s="15">
        <v>4</v>
      </c>
      <c r="AF106" s="15">
        <v>3</v>
      </c>
      <c r="AG106" s="15">
        <v>6</v>
      </c>
      <c r="AH106" s="15">
        <v>5</v>
      </c>
      <c r="AI106" s="15">
        <v>6</v>
      </c>
      <c r="AJ106" s="15">
        <v>8</v>
      </c>
      <c r="AK106" s="15">
        <v>0</v>
      </c>
      <c r="AL106" s="15">
        <v>2</v>
      </c>
      <c r="AM106" s="15">
        <v>4</v>
      </c>
      <c r="AN106" s="15">
        <v>1</v>
      </c>
      <c r="AO106" s="15">
        <v>6</v>
      </c>
      <c r="AP106" s="15">
        <v>3</v>
      </c>
      <c r="AQ106" s="15">
        <v>3</v>
      </c>
      <c r="AR106" s="15">
        <v>3</v>
      </c>
      <c r="AS106" s="15">
        <v>2</v>
      </c>
      <c r="AT106" s="15">
        <v>0</v>
      </c>
      <c r="AU106" s="15">
        <v>1</v>
      </c>
      <c r="AV106" s="15">
        <v>1</v>
      </c>
      <c r="AW106" s="15">
        <v>3</v>
      </c>
      <c r="AX106" s="15">
        <v>4</v>
      </c>
      <c r="AY106" s="15">
        <v>6</v>
      </c>
      <c r="AZ106" s="15">
        <v>3</v>
      </c>
      <c r="BA106" s="15">
        <v>1</v>
      </c>
      <c r="BB106" s="15">
        <v>1</v>
      </c>
      <c r="BC106" s="15">
        <v>2</v>
      </c>
      <c r="BD106" s="15">
        <v>0</v>
      </c>
    </row>
    <row r="107" spans="1:56" x14ac:dyDescent="0.35">
      <c r="A107" s="14" t="s">
        <v>197</v>
      </c>
      <c r="B107" s="15">
        <v>136</v>
      </c>
      <c r="C107" s="16">
        <v>293.02766525898477</v>
      </c>
      <c r="D107" s="15">
        <v>0</v>
      </c>
      <c r="E107" s="15">
        <v>2</v>
      </c>
      <c r="F107" s="15">
        <v>0</v>
      </c>
      <c r="G107" s="15">
        <v>3</v>
      </c>
      <c r="H107" s="15">
        <v>2</v>
      </c>
      <c r="I107" s="15">
        <v>1</v>
      </c>
      <c r="J107" s="15">
        <v>2</v>
      </c>
      <c r="K107" s="15">
        <v>4</v>
      </c>
      <c r="L107" s="15">
        <v>3</v>
      </c>
      <c r="M107" s="15">
        <v>1</v>
      </c>
      <c r="N107" s="15">
        <v>1</v>
      </c>
      <c r="O107" s="15">
        <v>0</v>
      </c>
      <c r="P107" s="15">
        <v>0</v>
      </c>
      <c r="Q107" s="15">
        <v>1</v>
      </c>
      <c r="R107" s="15">
        <v>0</v>
      </c>
      <c r="S107" s="15">
        <v>4</v>
      </c>
      <c r="T107" s="15">
        <v>1</v>
      </c>
      <c r="U107" s="15">
        <v>0</v>
      </c>
      <c r="V107" s="15">
        <v>2</v>
      </c>
      <c r="W107" s="15">
        <v>0</v>
      </c>
      <c r="X107" s="15">
        <v>0</v>
      </c>
      <c r="Y107" s="15">
        <v>4</v>
      </c>
      <c r="Z107" s="15">
        <v>2</v>
      </c>
      <c r="AA107" s="15">
        <v>1</v>
      </c>
      <c r="AB107" s="15">
        <v>3</v>
      </c>
      <c r="AC107" s="15">
        <v>0</v>
      </c>
      <c r="AD107" s="15">
        <v>1</v>
      </c>
      <c r="AE107" s="15">
        <v>2</v>
      </c>
      <c r="AF107" s="15">
        <v>7</v>
      </c>
      <c r="AG107" s="15">
        <v>5</v>
      </c>
      <c r="AH107" s="15">
        <v>7</v>
      </c>
      <c r="AI107" s="15">
        <v>4</v>
      </c>
      <c r="AJ107" s="15">
        <v>6</v>
      </c>
      <c r="AK107" s="15">
        <v>5</v>
      </c>
      <c r="AL107" s="15">
        <v>11</v>
      </c>
      <c r="AM107" s="15">
        <v>3</v>
      </c>
      <c r="AN107" s="15">
        <v>3</v>
      </c>
      <c r="AO107" s="15">
        <v>3</v>
      </c>
      <c r="AP107" s="15">
        <v>7</v>
      </c>
      <c r="AQ107" s="15">
        <v>4</v>
      </c>
      <c r="AR107" s="15">
        <v>4</v>
      </c>
      <c r="AS107" s="15">
        <v>5</v>
      </c>
      <c r="AT107" s="15">
        <v>2</v>
      </c>
      <c r="AU107" s="15">
        <v>4</v>
      </c>
      <c r="AV107" s="15">
        <v>5</v>
      </c>
      <c r="AW107" s="15">
        <v>0</v>
      </c>
      <c r="AX107" s="15">
        <v>3</v>
      </c>
      <c r="AY107" s="15">
        <v>4</v>
      </c>
      <c r="AZ107" s="15">
        <v>4</v>
      </c>
      <c r="BA107" s="15">
        <v>0</v>
      </c>
      <c r="BB107" s="15">
        <v>0</v>
      </c>
      <c r="BC107" s="15">
        <v>0</v>
      </c>
      <c r="BD107" s="15">
        <v>0</v>
      </c>
    </row>
    <row r="108" spans="1:56" x14ac:dyDescent="0.35">
      <c r="A108" s="14" t="s">
        <v>198</v>
      </c>
      <c r="B108" s="15">
        <v>154</v>
      </c>
      <c r="C108" s="16">
        <v>318.32651205093225</v>
      </c>
      <c r="D108" s="15">
        <v>5</v>
      </c>
      <c r="E108" s="15">
        <v>4</v>
      </c>
      <c r="F108" s="15">
        <v>3</v>
      </c>
      <c r="G108" s="15">
        <v>4</v>
      </c>
      <c r="H108" s="15">
        <v>4</v>
      </c>
      <c r="I108" s="15">
        <v>5</v>
      </c>
      <c r="J108" s="15">
        <v>5</v>
      </c>
      <c r="K108" s="15">
        <v>5</v>
      </c>
      <c r="L108" s="15">
        <v>5</v>
      </c>
      <c r="M108" s="15">
        <v>4</v>
      </c>
      <c r="N108" s="15">
        <v>6</v>
      </c>
      <c r="O108" s="15">
        <v>5</v>
      </c>
      <c r="P108" s="15">
        <v>4</v>
      </c>
      <c r="Q108" s="15">
        <v>1</v>
      </c>
      <c r="R108" s="15">
        <v>3</v>
      </c>
      <c r="S108" s="15">
        <v>2</v>
      </c>
      <c r="T108" s="15">
        <v>3</v>
      </c>
      <c r="U108" s="15">
        <v>2</v>
      </c>
      <c r="V108" s="15">
        <v>1</v>
      </c>
      <c r="W108" s="15">
        <v>1</v>
      </c>
      <c r="X108" s="15">
        <v>1</v>
      </c>
      <c r="Y108" s="15">
        <v>5</v>
      </c>
      <c r="Z108" s="15">
        <v>1</v>
      </c>
      <c r="AA108" s="15">
        <v>2</v>
      </c>
      <c r="AB108" s="15">
        <v>0</v>
      </c>
      <c r="AC108" s="15">
        <v>2</v>
      </c>
      <c r="AD108" s="15">
        <v>2</v>
      </c>
      <c r="AE108" s="15">
        <v>2</v>
      </c>
      <c r="AF108" s="15">
        <v>0</v>
      </c>
      <c r="AG108" s="15">
        <v>4</v>
      </c>
      <c r="AH108" s="15">
        <v>7</v>
      </c>
      <c r="AI108" s="15">
        <v>4</v>
      </c>
      <c r="AJ108" s="15">
        <v>2</v>
      </c>
      <c r="AK108" s="15">
        <v>10</v>
      </c>
      <c r="AL108" s="15">
        <v>4</v>
      </c>
      <c r="AM108" s="15">
        <v>4</v>
      </c>
      <c r="AN108" s="15">
        <v>3</v>
      </c>
      <c r="AO108" s="15">
        <v>0</v>
      </c>
      <c r="AP108" s="15">
        <v>4</v>
      </c>
      <c r="AQ108" s="15">
        <v>3</v>
      </c>
      <c r="AR108" s="15">
        <v>6</v>
      </c>
      <c r="AS108" s="15">
        <v>6</v>
      </c>
      <c r="AT108" s="15">
        <v>1</v>
      </c>
      <c r="AU108" s="15">
        <v>0</v>
      </c>
      <c r="AV108" s="15">
        <v>2</v>
      </c>
      <c r="AW108" s="15">
        <v>1</v>
      </c>
      <c r="AX108" s="15">
        <v>3</v>
      </c>
      <c r="AY108" s="15">
        <v>2</v>
      </c>
      <c r="AZ108" s="15">
        <v>0</v>
      </c>
      <c r="BA108" s="15">
        <v>0</v>
      </c>
      <c r="BB108" s="15">
        <v>0</v>
      </c>
      <c r="BC108" s="15">
        <v>1</v>
      </c>
      <c r="BD108" s="15">
        <v>0</v>
      </c>
    </row>
    <row r="109" spans="1:56" x14ac:dyDescent="0.35">
      <c r="A109" s="14" t="s">
        <v>199</v>
      </c>
      <c r="B109" s="15">
        <v>284</v>
      </c>
      <c r="C109" s="16">
        <v>482.39430638832744</v>
      </c>
      <c r="D109" s="15">
        <v>19</v>
      </c>
      <c r="E109" s="15">
        <v>16</v>
      </c>
      <c r="F109" s="15">
        <v>17</v>
      </c>
      <c r="G109" s="15">
        <v>11</v>
      </c>
      <c r="H109" s="15">
        <v>13</v>
      </c>
      <c r="I109" s="15">
        <v>4</v>
      </c>
      <c r="J109" s="15">
        <v>12</v>
      </c>
      <c r="K109" s="15">
        <v>9</v>
      </c>
      <c r="L109" s="15">
        <v>12</v>
      </c>
      <c r="M109" s="15">
        <v>11</v>
      </c>
      <c r="N109" s="15">
        <v>8</v>
      </c>
      <c r="O109" s="15">
        <v>7</v>
      </c>
      <c r="P109" s="15">
        <v>5</v>
      </c>
      <c r="Q109" s="15">
        <v>5</v>
      </c>
      <c r="R109" s="15">
        <v>3</v>
      </c>
      <c r="S109" s="15">
        <v>4</v>
      </c>
      <c r="T109" s="15">
        <v>6</v>
      </c>
      <c r="U109" s="15">
        <v>6</v>
      </c>
      <c r="V109" s="15">
        <v>2</v>
      </c>
      <c r="W109" s="15">
        <v>4</v>
      </c>
      <c r="X109" s="15">
        <v>3</v>
      </c>
      <c r="Y109" s="15">
        <v>4</v>
      </c>
      <c r="Z109" s="15">
        <v>5</v>
      </c>
      <c r="AA109" s="15">
        <v>5</v>
      </c>
      <c r="AB109" s="15">
        <v>9</v>
      </c>
      <c r="AC109" s="15">
        <v>7</v>
      </c>
      <c r="AD109" s="15">
        <v>10</v>
      </c>
      <c r="AE109" s="15">
        <v>5</v>
      </c>
      <c r="AF109" s="15">
        <v>3</v>
      </c>
      <c r="AG109" s="15">
        <v>3</v>
      </c>
      <c r="AH109" s="15">
        <v>7</v>
      </c>
      <c r="AI109" s="15">
        <v>6</v>
      </c>
      <c r="AJ109" s="15">
        <v>5</v>
      </c>
      <c r="AK109" s="15">
        <v>1</v>
      </c>
      <c r="AL109" s="15">
        <v>7</v>
      </c>
      <c r="AM109" s="15">
        <v>1</v>
      </c>
      <c r="AN109" s="15">
        <v>2</v>
      </c>
      <c r="AO109" s="15">
        <v>4</v>
      </c>
      <c r="AP109" s="15">
        <v>3</v>
      </c>
      <c r="AQ109" s="15">
        <v>6</v>
      </c>
      <c r="AR109" s="15">
        <v>2</v>
      </c>
      <c r="AS109" s="15">
        <v>2</v>
      </c>
      <c r="AT109" s="15">
        <v>2</v>
      </c>
      <c r="AU109" s="15">
        <v>2</v>
      </c>
      <c r="AV109" s="15">
        <v>0</v>
      </c>
      <c r="AW109" s="15">
        <v>1</v>
      </c>
      <c r="AX109" s="15">
        <v>0</v>
      </c>
      <c r="AY109" s="15">
        <v>0</v>
      </c>
      <c r="AZ109" s="15">
        <v>1</v>
      </c>
      <c r="BA109" s="15">
        <v>0</v>
      </c>
      <c r="BB109" s="15">
        <v>3</v>
      </c>
      <c r="BC109" s="15">
        <v>1</v>
      </c>
      <c r="BD109" s="15">
        <v>0</v>
      </c>
    </row>
    <row r="110" spans="1:56" x14ac:dyDescent="0.35">
      <c r="A110" s="14"/>
      <c r="B110" s="12"/>
      <c r="C110" s="13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  <c r="BD110" s="2"/>
    </row>
    <row r="111" spans="1:56" x14ac:dyDescent="0.35">
      <c r="A111" s="14" t="s">
        <v>98</v>
      </c>
      <c r="B111" s="10">
        <v>0</v>
      </c>
      <c r="C111" s="13"/>
      <c r="D111" s="15">
        <v>0</v>
      </c>
      <c r="E111" s="15">
        <v>0</v>
      </c>
      <c r="F111" s="15">
        <v>0</v>
      </c>
      <c r="G111" s="15">
        <v>0</v>
      </c>
      <c r="H111" s="15">
        <v>0</v>
      </c>
      <c r="I111" s="15">
        <v>0</v>
      </c>
      <c r="J111" s="15">
        <v>0</v>
      </c>
      <c r="K111" s="15">
        <v>0</v>
      </c>
      <c r="L111" s="15">
        <v>0</v>
      </c>
      <c r="M111" s="15">
        <v>0</v>
      </c>
      <c r="N111" s="15">
        <v>0</v>
      </c>
      <c r="O111" s="15">
        <v>0</v>
      </c>
      <c r="P111" s="15">
        <v>0</v>
      </c>
      <c r="Q111" s="15">
        <v>0</v>
      </c>
      <c r="R111" s="15">
        <v>0</v>
      </c>
      <c r="S111" s="15">
        <v>0</v>
      </c>
      <c r="T111" s="15">
        <v>0</v>
      </c>
      <c r="U111" s="15">
        <v>0</v>
      </c>
      <c r="V111" s="15">
        <v>0</v>
      </c>
      <c r="W111" s="15">
        <v>0</v>
      </c>
      <c r="X111" s="15">
        <v>0</v>
      </c>
      <c r="Y111" s="15">
        <v>0</v>
      </c>
      <c r="Z111" s="15">
        <v>0</v>
      </c>
      <c r="AA111" s="15">
        <v>0</v>
      </c>
      <c r="AB111" s="15">
        <v>0</v>
      </c>
      <c r="AC111" s="15">
        <v>0</v>
      </c>
      <c r="AD111" s="15">
        <v>0</v>
      </c>
      <c r="AE111" s="15">
        <v>0</v>
      </c>
      <c r="AF111" s="15">
        <v>0</v>
      </c>
      <c r="AG111" s="15">
        <v>0</v>
      </c>
      <c r="AH111" s="15">
        <v>0</v>
      </c>
      <c r="AI111" s="15">
        <v>0</v>
      </c>
      <c r="AJ111" s="15">
        <v>0</v>
      </c>
      <c r="AK111" s="15">
        <v>0</v>
      </c>
      <c r="AL111" s="15">
        <v>0</v>
      </c>
      <c r="AM111" s="15">
        <v>0</v>
      </c>
      <c r="AN111" s="15">
        <v>0</v>
      </c>
      <c r="AO111" s="15">
        <v>0</v>
      </c>
      <c r="AP111" s="15">
        <v>0</v>
      </c>
      <c r="AQ111" s="15">
        <v>0</v>
      </c>
      <c r="AR111" s="15">
        <v>0</v>
      </c>
      <c r="AS111" s="15">
        <v>0</v>
      </c>
      <c r="AT111" s="15">
        <v>0</v>
      </c>
      <c r="AU111" s="15">
        <v>0</v>
      </c>
      <c r="AV111" s="15">
        <v>0</v>
      </c>
      <c r="AW111" s="15">
        <v>0</v>
      </c>
      <c r="AX111" s="15">
        <v>0</v>
      </c>
      <c r="AY111" s="15">
        <v>0</v>
      </c>
      <c r="AZ111" s="15">
        <v>0</v>
      </c>
      <c r="BA111" s="15">
        <v>0</v>
      </c>
      <c r="BB111" s="15">
        <v>0</v>
      </c>
      <c r="BC111" s="15">
        <v>0</v>
      </c>
      <c r="BD111" s="15">
        <v>0</v>
      </c>
    </row>
    <row r="112" spans="1:56" x14ac:dyDescent="0.35">
      <c r="A112" s="14" t="s">
        <v>99</v>
      </c>
      <c r="B112" s="10">
        <v>0</v>
      </c>
      <c r="C112" s="13"/>
      <c r="D112" s="15">
        <v>0</v>
      </c>
      <c r="E112" s="15">
        <v>0</v>
      </c>
      <c r="F112" s="15">
        <v>0</v>
      </c>
      <c r="G112" s="15">
        <v>0</v>
      </c>
      <c r="H112" s="15">
        <v>0</v>
      </c>
      <c r="I112" s="15">
        <v>0</v>
      </c>
      <c r="J112" s="15">
        <v>0</v>
      </c>
      <c r="K112" s="15">
        <v>0</v>
      </c>
      <c r="L112" s="15">
        <v>0</v>
      </c>
      <c r="M112" s="15">
        <v>0</v>
      </c>
      <c r="N112" s="15">
        <v>0</v>
      </c>
      <c r="O112" s="15">
        <v>0</v>
      </c>
      <c r="P112" s="15">
        <v>0</v>
      </c>
      <c r="Q112" s="15">
        <v>0</v>
      </c>
      <c r="R112" s="15">
        <v>0</v>
      </c>
      <c r="S112" s="15">
        <v>0</v>
      </c>
      <c r="T112" s="15">
        <v>0</v>
      </c>
      <c r="U112" s="15">
        <v>0</v>
      </c>
      <c r="V112" s="15">
        <v>0</v>
      </c>
      <c r="W112" s="15">
        <v>0</v>
      </c>
      <c r="X112" s="15">
        <v>0</v>
      </c>
      <c r="Y112" s="15">
        <v>0</v>
      </c>
      <c r="Z112" s="15">
        <v>0</v>
      </c>
      <c r="AA112" s="15">
        <v>0</v>
      </c>
      <c r="AB112" s="15">
        <v>0</v>
      </c>
      <c r="AC112" s="15">
        <v>0</v>
      </c>
      <c r="AD112" s="15">
        <v>0</v>
      </c>
      <c r="AE112" s="15">
        <v>0</v>
      </c>
      <c r="AF112" s="15">
        <v>0</v>
      </c>
      <c r="AG112" s="15">
        <v>0</v>
      </c>
      <c r="AH112" s="15">
        <v>0</v>
      </c>
      <c r="AI112" s="15">
        <v>0</v>
      </c>
      <c r="AJ112" s="15">
        <v>0</v>
      </c>
      <c r="AK112" s="15">
        <v>0</v>
      </c>
      <c r="AL112" s="15">
        <v>0</v>
      </c>
      <c r="AM112" s="15">
        <v>0</v>
      </c>
      <c r="AN112" s="15">
        <v>0</v>
      </c>
      <c r="AO112" s="15">
        <v>0</v>
      </c>
      <c r="AP112" s="15">
        <v>0</v>
      </c>
      <c r="AQ112" s="15">
        <v>0</v>
      </c>
      <c r="AR112" s="15">
        <v>0</v>
      </c>
      <c r="AS112" s="15">
        <v>0</v>
      </c>
      <c r="AT112" s="15">
        <v>0</v>
      </c>
      <c r="AU112" s="15">
        <v>0</v>
      </c>
      <c r="AV112" s="15">
        <v>0</v>
      </c>
      <c r="AW112" s="15">
        <v>0</v>
      </c>
      <c r="AX112" s="15">
        <v>0</v>
      </c>
      <c r="AY112" s="15">
        <v>0</v>
      </c>
      <c r="AZ112" s="15">
        <v>0</v>
      </c>
      <c r="BA112" s="15">
        <v>0</v>
      </c>
      <c r="BB112" s="15">
        <v>0</v>
      </c>
      <c r="BC112" s="15">
        <v>0</v>
      </c>
      <c r="BD112" s="15">
        <v>0</v>
      </c>
    </row>
    <row r="113" spans="1:56" x14ac:dyDescent="0.35">
      <c r="A113" s="17" t="s">
        <v>100</v>
      </c>
      <c r="B113" s="18"/>
      <c r="C113" s="18"/>
      <c r="D113" s="18"/>
      <c r="E113" s="18"/>
      <c r="F113" s="18"/>
      <c r="G113" s="18"/>
      <c r="H113" s="18"/>
      <c r="I113" s="18"/>
      <c r="J113" s="18"/>
      <c r="K113" s="18"/>
      <c r="L113" s="18"/>
      <c r="M113" s="18"/>
      <c r="N113" s="18"/>
      <c r="O113" s="18"/>
      <c r="P113" s="18"/>
      <c r="Q113" s="18"/>
      <c r="R113" s="18"/>
      <c r="S113" s="18"/>
      <c r="T113" s="18"/>
      <c r="U113" s="18"/>
      <c r="V113" s="18"/>
      <c r="W113" s="18"/>
      <c r="X113" s="18"/>
      <c r="Y113" s="18"/>
      <c r="Z113" s="18"/>
      <c r="AA113" s="18"/>
      <c r="AB113" s="18"/>
      <c r="AC113" s="18"/>
      <c r="AD113" s="18"/>
      <c r="AE113" s="18"/>
      <c r="AF113" s="18"/>
      <c r="AG113" s="18"/>
      <c r="AH113" s="18"/>
      <c r="AI113" s="18"/>
      <c r="AJ113" s="18"/>
      <c r="AK113" s="18"/>
      <c r="AL113" s="18"/>
      <c r="AM113" s="18"/>
      <c r="AN113" s="18"/>
      <c r="AO113" s="18"/>
      <c r="AP113" s="18"/>
      <c r="AQ113" s="18"/>
      <c r="AR113" s="18"/>
      <c r="AS113" s="18"/>
      <c r="AT113" s="18"/>
      <c r="AU113" s="18"/>
      <c r="AV113" s="18"/>
      <c r="AW113" s="18"/>
      <c r="AX113" s="18"/>
      <c r="AY113" s="18"/>
      <c r="AZ113" s="18"/>
      <c r="BA113" s="18"/>
      <c r="BB113" s="18"/>
      <c r="BC113" s="18"/>
      <c r="BD113" s="18"/>
    </row>
    <row r="114" spans="1:56" x14ac:dyDescent="0.35">
      <c r="A114" s="14" t="s">
        <v>103</v>
      </c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2"/>
      <c r="BC114" s="2"/>
      <c r="BD114" s="2"/>
    </row>
    <row r="115" spans="1:56" x14ac:dyDescent="0.35">
      <c r="A115" s="19"/>
      <c r="B115" s="19"/>
      <c r="C115" s="19"/>
      <c r="D115" s="19"/>
      <c r="E115" s="19"/>
      <c r="F115" s="19"/>
      <c r="G115" s="19"/>
      <c r="H115" s="19"/>
      <c r="I115" s="19"/>
      <c r="J115" s="19"/>
      <c r="K115" s="19"/>
      <c r="L115" s="19"/>
      <c r="M115" s="19"/>
      <c r="N115" s="19"/>
      <c r="O115" s="19"/>
      <c r="P115" s="19"/>
      <c r="Q115" s="19"/>
      <c r="R115" s="19"/>
      <c r="S115" s="19"/>
      <c r="T115" s="19"/>
      <c r="U115" s="19"/>
      <c r="V115" s="19"/>
      <c r="W115" s="19"/>
      <c r="X115" s="19"/>
      <c r="Y115" s="19"/>
      <c r="Z115" s="19"/>
      <c r="AA115" s="19"/>
      <c r="AB115" s="19"/>
      <c r="AC115" s="19"/>
      <c r="AD115" s="19"/>
      <c r="AE115" s="19"/>
      <c r="AF115" s="19"/>
      <c r="AG115" s="19"/>
      <c r="AH115" s="19"/>
      <c r="AI115" s="19"/>
      <c r="AJ115" s="19"/>
      <c r="AK115" s="19"/>
      <c r="AL115" s="19"/>
      <c r="AM115" s="19"/>
      <c r="AN115" s="19"/>
      <c r="AO115" s="19"/>
      <c r="AP115" s="19"/>
      <c r="AQ115" s="19"/>
      <c r="AR115" s="19"/>
      <c r="AS115" s="19"/>
      <c r="AT115" s="19"/>
      <c r="AU115" s="19"/>
      <c r="AV115" s="19"/>
      <c r="AW115" s="19"/>
      <c r="AX115" s="19"/>
      <c r="AY115" s="19"/>
      <c r="AZ115" s="19"/>
      <c r="BA115" s="19"/>
      <c r="BB115" s="19"/>
      <c r="BC115" s="19"/>
      <c r="BD115" s="19"/>
    </row>
    <row r="116" spans="1:56" x14ac:dyDescent="0.35">
      <c r="A116" s="14" t="s">
        <v>308</v>
      </c>
      <c r="B116">
        <f>B89+B100</f>
        <v>727</v>
      </c>
      <c r="C116" t="s">
        <v>106</v>
      </c>
      <c r="D116">
        <f t="shared" ref="C116:BD116" si="0">D89+D100</f>
        <v>35</v>
      </c>
      <c r="E116">
        <f t="shared" si="0"/>
        <v>26</v>
      </c>
      <c r="F116">
        <f t="shared" si="0"/>
        <v>40</v>
      </c>
      <c r="G116">
        <f t="shared" si="0"/>
        <v>36</v>
      </c>
      <c r="H116">
        <f t="shared" si="0"/>
        <v>42</v>
      </c>
      <c r="I116">
        <f t="shared" si="0"/>
        <v>50</v>
      </c>
      <c r="J116">
        <f t="shared" si="0"/>
        <v>24</v>
      </c>
      <c r="K116">
        <f t="shared" si="0"/>
        <v>27</v>
      </c>
      <c r="L116">
        <f t="shared" si="0"/>
        <v>17</v>
      </c>
      <c r="M116">
        <f t="shared" si="0"/>
        <v>12</v>
      </c>
      <c r="N116">
        <f t="shared" si="0"/>
        <v>10</v>
      </c>
      <c r="O116">
        <f t="shared" si="0"/>
        <v>9</v>
      </c>
      <c r="P116">
        <f t="shared" si="0"/>
        <v>14</v>
      </c>
      <c r="Q116">
        <f t="shared" si="0"/>
        <v>6</v>
      </c>
      <c r="R116">
        <f t="shared" si="0"/>
        <v>6</v>
      </c>
      <c r="S116">
        <f t="shared" si="0"/>
        <v>3</v>
      </c>
      <c r="T116">
        <f t="shared" si="0"/>
        <v>5</v>
      </c>
      <c r="U116">
        <f t="shared" si="0"/>
        <v>3</v>
      </c>
      <c r="V116">
        <f t="shared" si="0"/>
        <v>7</v>
      </c>
      <c r="W116">
        <f t="shared" si="0"/>
        <v>3</v>
      </c>
      <c r="X116">
        <f t="shared" si="0"/>
        <v>8</v>
      </c>
      <c r="Y116">
        <f t="shared" si="0"/>
        <v>4</v>
      </c>
      <c r="Z116">
        <f t="shared" si="0"/>
        <v>14</v>
      </c>
      <c r="AA116">
        <f t="shared" si="0"/>
        <v>12</v>
      </c>
      <c r="AB116">
        <f t="shared" si="0"/>
        <v>21</v>
      </c>
      <c r="AC116">
        <f t="shared" si="0"/>
        <v>22</v>
      </c>
      <c r="AD116">
        <f t="shared" si="0"/>
        <v>14</v>
      </c>
      <c r="AE116">
        <f t="shared" si="0"/>
        <v>8</v>
      </c>
      <c r="AF116">
        <f t="shared" si="0"/>
        <v>16</v>
      </c>
      <c r="AG116">
        <f t="shared" si="0"/>
        <v>14</v>
      </c>
      <c r="AH116">
        <f t="shared" si="0"/>
        <v>18</v>
      </c>
      <c r="AI116">
        <f t="shared" si="0"/>
        <v>9</v>
      </c>
      <c r="AJ116">
        <f t="shared" si="0"/>
        <v>16</v>
      </c>
      <c r="AK116">
        <f t="shared" si="0"/>
        <v>21</v>
      </c>
      <c r="AL116">
        <f t="shared" si="0"/>
        <v>14</v>
      </c>
      <c r="AM116">
        <f t="shared" si="0"/>
        <v>11</v>
      </c>
      <c r="AN116">
        <f t="shared" si="0"/>
        <v>2</v>
      </c>
      <c r="AO116">
        <f t="shared" si="0"/>
        <v>15</v>
      </c>
      <c r="AP116">
        <f t="shared" si="0"/>
        <v>7</v>
      </c>
      <c r="AQ116">
        <f t="shared" si="0"/>
        <v>10</v>
      </c>
      <c r="AR116">
        <f t="shared" si="0"/>
        <v>11</v>
      </c>
      <c r="AS116">
        <f t="shared" si="0"/>
        <v>5</v>
      </c>
      <c r="AT116">
        <f t="shared" si="0"/>
        <v>17</v>
      </c>
      <c r="AU116">
        <f t="shared" si="0"/>
        <v>9</v>
      </c>
      <c r="AV116">
        <f t="shared" si="0"/>
        <v>4</v>
      </c>
      <c r="AW116">
        <f t="shared" si="0"/>
        <v>8</v>
      </c>
      <c r="AX116">
        <f t="shared" si="0"/>
        <v>6</v>
      </c>
      <c r="AY116">
        <f t="shared" si="0"/>
        <v>5</v>
      </c>
      <c r="AZ116">
        <f t="shared" si="0"/>
        <v>3</v>
      </c>
      <c r="BA116">
        <f t="shared" si="0"/>
        <v>11</v>
      </c>
      <c r="BB116">
        <f t="shared" si="0"/>
        <v>6</v>
      </c>
      <c r="BC116">
        <f t="shared" si="0"/>
        <v>11</v>
      </c>
      <c r="BD116">
        <f t="shared" si="0"/>
        <v>0</v>
      </c>
    </row>
    <row r="117" spans="1:56" x14ac:dyDescent="0.35">
      <c r="A117" s="14" t="s">
        <v>309</v>
      </c>
      <c r="B117">
        <f>B95+B101</f>
        <v>266</v>
      </c>
      <c r="C117" t="s">
        <v>106</v>
      </c>
      <c r="D117">
        <f t="shared" ref="C117:BD117" si="1">D95+D101</f>
        <v>0</v>
      </c>
      <c r="E117">
        <f t="shared" si="1"/>
        <v>2</v>
      </c>
      <c r="F117">
        <f t="shared" si="1"/>
        <v>2</v>
      </c>
      <c r="G117">
        <f t="shared" si="1"/>
        <v>1</v>
      </c>
      <c r="H117">
        <f t="shared" si="1"/>
        <v>0</v>
      </c>
      <c r="I117">
        <f t="shared" si="1"/>
        <v>2</v>
      </c>
      <c r="J117">
        <f t="shared" si="1"/>
        <v>2</v>
      </c>
      <c r="K117">
        <f t="shared" si="1"/>
        <v>4</v>
      </c>
      <c r="L117">
        <f t="shared" si="1"/>
        <v>2</v>
      </c>
      <c r="M117">
        <f t="shared" si="1"/>
        <v>5</v>
      </c>
      <c r="N117">
        <f t="shared" si="1"/>
        <v>1</v>
      </c>
      <c r="O117">
        <f t="shared" si="1"/>
        <v>0</v>
      </c>
      <c r="P117">
        <f t="shared" si="1"/>
        <v>2</v>
      </c>
      <c r="Q117">
        <f t="shared" si="1"/>
        <v>1</v>
      </c>
      <c r="R117">
        <f t="shared" si="1"/>
        <v>0</v>
      </c>
      <c r="S117">
        <f t="shared" si="1"/>
        <v>1</v>
      </c>
      <c r="T117">
        <f t="shared" si="1"/>
        <v>0</v>
      </c>
      <c r="U117">
        <f t="shared" si="1"/>
        <v>0</v>
      </c>
      <c r="V117">
        <f t="shared" si="1"/>
        <v>1</v>
      </c>
      <c r="W117">
        <f t="shared" si="1"/>
        <v>2</v>
      </c>
      <c r="X117">
        <f t="shared" si="1"/>
        <v>2</v>
      </c>
      <c r="Y117">
        <f t="shared" si="1"/>
        <v>4</v>
      </c>
      <c r="Z117">
        <f t="shared" si="1"/>
        <v>5</v>
      </c>
      <c r="AA117">
        <f t="shared" si="1"/>
        <v>1</v>
      </c>
      <c r="AB117">
        <f t="shared" si="1"/>
        <v>9</v>
      </c>
      <c r="AC117">
        <f t="shared" si="1"/>
        <v>11</v>
      </c>
      <c r="AD117">
        <f t="shared" si="1"/>
        <v>8</v>
      </c>
      <c r="AE117">
        <f t="shared" si="1"/>
        <v>6</v>
      </c>
      <c r="AF117">
        <f t="shared" si="1"/>
        <v>11</v>
      </c>
      <c r="AG117">
        <f t="shared" si="1"/>
        <v>19</v>
      </c>
      <c r="AH117">
        <f t="shared" si="1"/>
        <v>11</v>
      </c>
      <c r="AI117">
        <f t="shared" si="1"/>
        <v>11</v>
      </c>
      <c r="AJ117">
        <f t="shared" si="1"/>
        <v>14</v>
      </c>
      <c r="AK117">
        <f t="shared" si="1"/>
        <v>8</v>
      </c>
      <c r="AL117">
        <f t="shared" si="1"/>
        <v>7</v>
      </c>
      <c r="AM117">
        <f t="shared" si="1"/>
        <v>14</v>
      </c>
      <c r="AN117">
        <f t="shared" si="1"/>
        <v>4</v>
      </c>
      <c r="AO117">
        <f t="shared" si="1"/>
        <v>5</v>
      </c>
      <c r="AP117">
        <f t="shared" si="1"/>
        <v>7</v>
      </c>
      <c r="AQ117">
        <f t="shared" si="1"/>
        <v>7</v>
      </c>
      <c r="AR117">
        <f t="shared" si="1"/>
        <v>2</v>
      </c>
      <c r="AS117">
        <f t="shared" si="1"/>
        <v>6</v>
      </c>
      <c r="AT117">
        <f t="shared" si="1"/>
        <v>10</v>
      </c>
      <c r="AU117">
        <f t="shared" si="1"/>
        <v>9</v>
      </c>
      <c r="AV117">
        <f t="shared" si="1"/>
        <v>4</v>
      </c>
      <c r="AW117">
        <f t="shared" si="1"/>
        <v>5</v>
      </c>
      <c r="AX117">
        <f t="shared" si="1"/>
        <v>11</v>
      </c>
      <c r="AY117">
        <f t="shared" si="1"/>
        <v>11</v>
      </c>
      <c r="AZ117">
        <f t="shared" si="1"/>
        <v>4</v>
      </c>
      <c r="BA117">
        <f t="shared" si="1"/>
        <v>2</v>
      </c>
      <c r="BB117">
        <f t="shared" si="1"/>
        <v>5</v>
      </c>
      <c r="BC117">
        <f t="shared" si="1"/>
        <v>5</v>
      </c>
      <c r="BD117">
        <f t="shared" si="1"/>
        <v>0</v>
      </c>
    </row>
  </sheetData>
  <mergeCells count="58">
    <mergeCell ref="BD8:BD9"/>
    <mergeCell ref="AS8:AS9"/>
    <mergeCell ref="AT8:AT9"/>
    <mergeCell ref="AU8:AU9"/>
    <mergeCell ref="AV8:AV9"/>
    <mergeCell ref="AW8:AW9"/>
    <mergeCell ref="AX8:AX9"/>
    <mergeCell ref="AY8:AY9"/>
    <mergeCell ref="AZ8:AZ9"/>
    <mergeCell ref="BA8:BA9"/>
    <mergeCell ref="BB8:BB9"/>
    <mergeCell ref="BC8:BC9"/>
    <mergeCell ref="AR8:AR9"/>
    <mergeCell ref="AG8:AG9"/>
    <mergeCell ref="AH8:AH9"/>
    <mergeCell ref="AI8:AI9"/>
    <mergeCell ref="AJ8:AJ9"/>
    <mergeCell ref="AK8:AK9"/>
    <mergeCell ref="AL8:AL9"/>
    <mergeCell ref="AM8:AM9"/>
    <mergeCell ref="AN8:AN9"/>
    <mergeCell ref="AO8:AO9"/>
    <mergeCell ref="AP8:AP9"/>
    <mergeCell ref="AQ8:AQ9"/>
    <mergeCell ref="S8:S9"/>
    <mergeCell ref="AF8:AF9"/>
    <mergeCell ref="U8:U9"/>
    <mergeCell ref="V8:V9"/>
    <mergeCell ref="W8:W9"/>
    <mergeCell ref="X8:X9"/>
    <mergeCell ref="Y8:Y9"/>
    <mergeCell ref="Z8:Z9"/>
    <mergeCell ref="AA8:AA9"/>
    <mergeCell ref="AB8:AB9"/>
    <mergeCell ref="AC8:AC9"/>
    <mergeCell ref="AD8:AD9"/>
    <mergeCell ref="AE8:AE9"/>
    <mergeCell ref="N8:N9"/>
    <mergeCell ref="O8:O9"/>
    <mergeCell ref="P8:P9"/>
    <mergeCell ref="Q8:Q9"/>
    <mergeCell ref="R8:R9"/>
    <mergeCell ref="A7:A9"/>
    <mergeCell ref="B7:C7"/>
    <mergeCell ref="D7:BD7"/>
    <mergeCell ref="B8:B9"/>
    <mergeCell ref="C8:C9"/>
    <mergeCell ref="D8:D9"/>
    <mergeCell ref="E8:E9"/>
    <mergeCell ref="F8:F9"/>
    <mergeCell ref="G8:G9"/>
    <mergeCell ref="H8:H9"/>
    <mergeCell ref="T8:T9"/>
    <mergeCell ref="I8:I9"/>
    <mergeCell ref="J8:J9"/>
    <mergeCell ref="K8:K9"/>
    <mergeCell ref="L8:L9"/>
    <mergeCell ref="M8:M9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DEE4B3-668B-47EE-B5CC-20293644A9BC}">
  <dimension ref="A1:BD116"/>
  <sheetViews>
    <sheetView tabSelected="1" topLeftCell="A107" workbookViewId="0">
      <selection activeCell="B116" sqref="B116:BD116"/>
    </sheetView>
  </sheetViews>
  <sheetFormatPr baseColWidth="10" defaultColWidth="11.453125" defaultRowHeight="14.5" x14ac:dyDescent="0.35"/>
  <sheetData>
    <row r="1" spans="1:56" x14ac:dyDescent="0.35">
      <c r="A1" s="1"/>
      <c r="B1" s="2"/>
      <c r="C1" s="3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</row>
    <row r="2" spans="1:56" x14ac:dyDescent="0.35">
      <c r="A2" s="1" t="s">
        <v>0</v>
      </c>
      <c r="B2" s="2"/>
      <c r="C2" s="3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</row>
    <row r="3" spans="1:56" x14ac:dyDescent="0.35">
      <c r="A3" s="1" t="s">
        <v>1</v>
      </c>
      <c r="B3" s="2"/>
      <c r="C3" s="3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</row>
    <row r="4" spans="1:56" x14ac:dyDescent="0.35">
      <c r="A4" s="4" t="s">
        <v>2</v>
      </c>
      <c r="B4" s="2"/>
      <c r="C4" s="3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  <c r="AU4" s="2"/>
      <c r="AV4" s="2"/>
      <c r="AW4" s="2"/>
      <c r="AX4" s="2"/>
      <c r="AY4" s="2"/>
      <c r="AZ4" s="2"/>
      <c r="BA4" s="2"/>
      <c r="BB4" s="2"/>
      <c r="BC4" s="2"/>
      <c r="BD4" s="2"/>
    </row>
    <row r="5" spans="1:56" x14ac:dyDescent="0.35">
      <c r="A5" s="1" t="s">
        <v>202</v>
      </c>
      <c r="B5" s="2"/>
      <c r="C5" s="3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  <c r="AN5" s="2"/>
      <c r="AO5" s="2"/>
      <c r="AP5" s="2"/>
      <c r="AQ5" s="2"/>
      <c r="AR5" s="2"/>
      <c r="AS5" s="2"/>
      <c r="AT5" s="2"/>
      <c r="AU5" s="2"/>
      <c r="AV5" s="2"/>
      <c r="AW5" s="2"/>
      <c r="AX5" s="2"/>
      <c r="AY5" s="2"/>
      <c r="AZ5" s="2"/>
      <c r="BA5" s="2"/>
      <c r="BB5" s="2"/>
      <c r="BC5" s="2"/>
      <c r="BD5" s="2"/>
    </row>
    <row r="6" spans="1:56" x14ac:dyDescent="0.35">
      <c r="A6" s="77" t="s">
        <v>4</v>
      </c>
      <c r="B6" s="80" t="s">
        <v>5</v>
      </c>
      <c r="C6" s="80"/>
      <c r="D6" s="81" t="s">
        <v>6</v>
      </c>
      <c r="E6" s="81"/>
      <c r="F6" s="81"/>
      <c r="G6" s="81"/>
      <c r="H6" s="81"/>
      <c r="I6" s="81"/>
      <c r="J6" s="81"/>
      <c r="K6" s="81"/>
      <c r="L6" s="81"/>
      <c r="M6" s="81"/>
      <c r="N6" s="81"/>
      <c r="O6" s="81"/>
      <c r="P6" s="81"/>
      <c r="Q6" s="81"/>
      <c r="R6" s="81"/>
      <c r="S6" s="81"/>
      <c r="T6" s="81"/>
      <c r="U6" s="81"/>
      <c r="V6" s="81"/>
      <c r="W6" s="81"/>
      <c r="X6" s="81"/>
      <c r="Y6" s="81"/>
      <c r="Z6" s="81"/>
      <c r="AA6" s="81"/>
      <c r="AB6" s="81"/>
      <c r="AC6" s="81"/>
      <c r="AD6" s="81"/>
      <c r="AE6" s="81"/>
      <c r="AF6" s="81"/>
      <c r="AG6" s="81"/>
      <c r="AH6" s="81"/>
      <c r="AI6" s="81"/>
      <c r="AJ6" s="81"/>
      <c r="AK6" s="81"/>
      <c r="AL6" s="81"/>
      <c r="AM6" s="81"/>
      <c r="AN6" s="81"/>
      <c r="AO6" s="81"/>
      <c r="AP6" s="81"/>
      <c r="AQ6" s="81"/>
      <c r="AR6" s="81"/>
      <c r="AS6" s="81"/>
      <c r="AT6" s="81"/>
      <c r="AU6" s="81"/>
      <c r="AV6" s="81"/>
      <c r="AW6" s="81"/>
      <c r="AX6" s="81"/>
      <c r="AY6" s="81"/>
      <c r="AZ6" s="81"/>
      <c r="BA6" s="81"/>
      <c r="BB6" s="81"/>
      <c r="BC6" s="81"/>
      <c r="BD6" s="81"/>
    </row>
    <row r="7" spans="1:56" x14ac:dyDescent="0.35">
      <c r="A7" s="78"/>
      <c r="B7" s="82" t="s">
        <v>7</v>
      </c>
      <c r="C7" s="84" t="s">
        <v>8</v>
      </c>
      <c r="D7" s="75">
        <v>1</v>
      </c>
      <c r="E7" s="75">
        <v>2</v>
      </c>
      <c r="F7" s="75">
        <v>3</v>
      </c>
      <c r="G7" s="75">
        <v>4</v>
      </c>
      <c r="H7" s="75">
        <v>5</v>
      </c>
      <c r="I7" s="75">
        <v>6</v>
      </c>
      <c r="J7" s="75">
        <v>7</v>
      </c>
      <c r="K7" s="75">
        <v>8</v>
      </c>
      <c r="L7" s="75">
        <v>9</v>
      </c>
      <c r="M7" s="75">
        <v>10</v>
      </c>
      <c r="N7" s="75">
        <v>11</v>
      </c>
      <c r="O7" s="75">
        <v>12</v>
      </c>
      <c r="P7" s="75">
        <v>13</v>
      </c>
      <c r="Q7" s="75">
        <v>14</v>
      </c>
      <c r="R7" s="75">
        <v>15</v>
      </c>
      <c r="S7" s="75">
        <v>16</v>
      </c>
      <c r="T7" s="75">
        <v>17</v>
      </c>
      <c r="U7" s="75">
        <v>18</v>
      </c>
      <c r="V7" s="75">
        <v>19</v>
      </c>
      <c r="W7" s="75">
        <v>20</v>
      </c>
      <c r="X7" s="75">
        <v>21</v>
      </c>
      <c r="Y7" s="75">
        <v>22</v>
      </c>
      <c r="Z7" s="75">
        <v>23</v>
      </c>
      <c r="AA7" s="75">
        <v>24</v>
      </c>
      <c r="AB7" s="75">
        <v>25</v>
      </c>
      <c r="AC7" s="75">
        <v>26</v>
      </c>
      <c r="AD7" s="75">
        <v>27</v>
      </c>
      <c r="AE7" s="75">
        <v>28</v>
      </c>
      <c r="AF7" s="75">
        <v>29</v>
      </c>
      <c r="AG7" s="75">
        <v>30</v>
      </c>
      <c r="AH7" s="75">
        <v>31</v>
      </c>
      <c r="AI7" s="75">
        <v>32</v>
      </c>
      <c r="AJ7" s="75">
        <v>33</v>
      </c>
      <c r="AK7" s="75">
        <v>34</v>
      </c>
      <c r="AL7" s="75">
        <v>35</v>
      </c>
      <c r="AM7" s="75">
        <v>36</v>
      </c>
      <c r="AN7" s="75">
        <v>37</v>
      </c>
      <c r="AO7" s="75">
        <v>38</v>
      </c>
      <c r="AP7" s="75">
        <v>39</v>
      </c>
      <c r="AQ7" s="75">
        <v>40</v>
      </c>
      <c r="AR7" s="75">
        <v>41</v>
      </c>
      <c r="AS7" s="75">
        <v>42</v>
      </c>
      <c r="AT7" s="75">
        <v>43</v>
      </c>
      <c r="AU7" s="75">
        <v>44</v>
      </c>
      <c r="AV7" s="75">
        <v>45</v>
      </c>
      <c r="AW7" s="75">
        <v>46</v>
      </c>
      <c r="AX7" s="75">
        <v>47</v>
      </c>
      <c r="AY7" s="75">
        <v>48</v>
      </c>
      <c r="AZ7" s="75">
        <v>49</v>
      </c>
      <c r="BA7" s="75">
        <v>50</v>
      </c>
      <c r="BB7" s="75">
        <v>51</v>
      </c>
      <c r="BC7" s="75">
        <v>52</v>
      </c>
      <c r="BD7" s="75">
        <v>53</v>
      </c>
    </row>
    <row r="8" spans="1:56" x14ac:dyDescent="0.35">
      <c r="A8" s="79"/>
      <c r="B8" s="83"/>
      <c r="C8" s="85"/>
      <c r="D8" s="76"/>
      <c r="E8" s="76"/>
      <c r="F8" s="76"/>
      <c r="G8" s="76"/>
      <c r="H8" s="76"/>
      <c r="I8" s="76"/>
      <c r="J8" s="76"/>
      <c r="K8" s="76"/>
      <c r="L8" s="76"/>
      <c r="M8" s="76"/>
      <c r="N8" s="76"/>
      <c r="O8" s="76"/>
      <c r="P8" s="76"/>
      <c r="Q8" s="76"/>
      <c r="R8" s="76"/>
      <c r="S8" s="76"/>
      <c r="T8" s="76"/>
      <c r="U8" s="76"/>
      <c r="V8" s="76"/>
      <c r="W8" s="76"/>
      <c r="X8" s="76"/>
      <c r="Y8" s="76"/>
      <c r="Z8" s="76"/>
      <c r="AA8" s="76"/>
      <c r="AB8" s="76"/>
      <c r="AC8" s="76"/>
      <c r="AD8" s="76"/>
      <c r="AE8" s="76"/>
      <c r="AF8" s="76"/>
      <c r="AG8" s="76"/>
      <c r="AH8" s="76"/>
      <c r="AI8" s="76"/>
      <c r="AJ8" s="76"/>
      <c r="AK8" s="76"/>
      <c r="AL8" s="76"/>
      <c r="AM8" s="76"/>
      <c r="AN8" s="76"/>
      <c r="AO8" s="76"/>
      <c r="AP8" s="76"/>
      <c r="AQ8" s="76"/>
      <c r="AR8" s="76"/>
      <c r="AS8" s="76"/>
      <c r="AT8" s="76"/>
      <c r="AU8" s="76"/>
      <c r="AV8" s="76"/>
      <c r="AW8" s="76"/>
      <c r="AX8" s="76"/>
      <c r="AY8" s="76"/>
      <c r="AZ8" s="76"/>
      <c r="BA8" s="76"/>
      <c r="BB8" s="76"/>
      <c r="BC8" s="76"/>
      <c r="BD8" s="76"/>
    </row>
    <row r="9" spans="1:56" x14ac:dyDescent="0.35">
      <c r="A9" s="8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  <c r="AI9" s="2"/>
      <c r="AJ9" s="2"/>
      <c r="AK9" s="2"/>
      <c r="AL9" s="2"/>
      <c r="AM9" s="2"/>
      <c r="AN9" s="2"/>
      <c r="AO9" s="2"/>
      <c r="AP9" s="2"/>
      <c r="AQ9" s="2"/>
      <c r="AR9" s="2"/>
      <c r="AS9" s="2"/>
      <c r="AT9" s="2"/>
      <c r="AU9" s="2"/>
      <c r="AV9" s="2"/>
      <c r="AW9" s="2"/>
      <c r="AX9" s="2"/>
      <c r="AY9" s="2"/>
      <c r="AZ9" s="2"/>
      <c r="BA9" s="2"/>
      <c r="BB9" s="2"/>
      <c r="BC9" s="2"/>
      <c r="BD9" s="2"/>
    </row>
    <row r="10" spans="1:56" x14ac:dyDescent="0.35">
      <c r="A10" s="9" t="s">
        <v>9</v>
      </c>
      <c r="B10" s="10">
        <f ca="1">SUM(D10:BD10)</f>
        <v>6019</v>
      </c>
      <c r="C10" s="11">
        <f ca="1">IFERROR(B10/[2]Tablas!$B$25*100000,"N/D")</f>
        <v>115.93237053672894</v>
      </c>
      <c r="D10" s="10">
        <f t="shared" ref="D10:BD10" ca="1" si="0">SUM(D12,D34,D52,D62,D74,D87,D102,D110,D111)</f>
        <v>153</v>
      </c>
      <c r="E10" s="10">
        <f t="shared" ca="1" si="0"/>
        <v>130</v>
      </c>
      <c r="F10" s="10">
        <f t="shared" ca="1" si="0"/>
        <v>113</v>
      </c>
      <c r="G10" s="10">
        <f t="shared" ca="1" si="0"/>
        <v>76</v>
      </c>
      <c r="H10" s="10">
        <f t="shared" ca="1" si="0"/>
        <v>72</v>
      </c>
      <c r="I10" s="10">
        <f t="shared" ca="1" si="0"/>
        <v>62</v>
      </c>
      <c r="J10" s="10">
        <f t="shared" ca="1" si="0"/>
        <v>57</v>
      </c>
      <c r="K10" s="10">
        <f t="shared" ca="1" si="0"/>
        <v>72</v>
      </c>
      <c r="L10" s="10">
        <f t="shared" ca="1" si="0"/>
        <v>69</v>
      </c>
      <c r="M10" s="10">
        <f t="shared" ca="1" si="0"/>
        <v>48</v>
      </c>
      <c r="N10" s="10">
        <f t="shared" ca="1" si="0"/>
        <v>55</v>
      </c>
      <c r="O10" s="10">
        <f t="shared" ca="1" si="0"/>
        <v>74</v>
      </c>
      <c r="P10" s="10">
        <f t="shared" ca="1" si="0"/>
        <v>59</v>
      </c>
      <c r="Q10" s="10">
        <f t="shared" ca="1" si="0"/>
        <v>50</v>
      </c>
      <c r="R10" s="10">
        <f t="shared" ca="1" si="0"/>
        <v>30</v>
      </c>
      <c r="S10" s="10">
        <f t="shared" ca="1" si="0"/>
        <v>53</v>
      </c>
      <c r="T10" s="10">
        <f t="shared" ca="1" si="0"/>
        <v>42</v>
      </c>
      <c r="U10" s="10">
        <f t="shared" ca="1" si="0"/>
        <v>40</v>
      </c>
      <c r="V10" s="10">
        <f t="shared" ca="1" si="0"/>
        <v>50</v>
      </c>
      <c r="W10" s="10">
        <f t="shared" ca="1" si="0"/>
        <v>51</v>
      </c>
      <c r="X10" s="10">
        <f t="shared" ca="1" si="0"/>
        <v>35</v>
      </c>
      <c r="Y10" s="10">
        <f t="shared" ca="1" si="0"/>
        <v>49</v>
      </c>
      <c r="Z10" s="10">
        <f t="shared" ca="1" si="0"/>
        <v>41</v>
      </c>
      <c r="AA10" s="10">
        <f t="shared" ca="1" si="0"/>
        <v>59</v>
      </c>
      <c r="AB10" s="10">
        <f t="shared" ca="1" si="0"/>
        <v>70</v>
      </c>
      <c r="AC10" s="10">
        <f t="shared" ca="1" si="0"/>
        <v>67</v>
      </c>
      <c r="AD10" s="10">
        <f t="shared" ca="1" si="0"/>
        <v>89</v>
      </c>
      <c r="AE10" s="10">
        <f t="shared" ca="1" si="0"/>
        <v>109</v>
      </c>
      <c r="AF10" s="10">
        <f t="shared" ca="1" si="0"/>
        <v>105</v>
      </c>
      <c r="AG10" s="10">
        <f t="shared" ca="1" si="0"/>
        <v>133</v>
      </c>
      <c r="AH10" s="10">
        <f t="shared" ca="1" si="0"/>
        <v>145</v>
      </c>
      <c r="AI10" s="10">
        <f t="shared" ca="1" si="0"/>
        <v>147</v>
      </c>
      <c r="AJ10" s="10">
        <f t="shared" ca="1" si="0"/>
        <v>163</v>
      </c>
      <c r="AK10" s="10">
        <f t="shared" ca="1" si="0"/>
        <v>183</v>
      </c>
      <c r="AL10" s="10">
        <f t="shared" ca="1" si="0"/>
        <v>171</v>
      </c>
      <c r="AM10" s="10">
        <f t="shared" ca="1" si="0"/>
        <v>165</v>
      </c>
      <c r="AN10" s="10">
        <f t="shared" ca="1" si="0"/>
        <v>169</v>
      </c>
      <c r="AO10" s="10">
        <f t="shared" ca="1" si="0"/>
        <v>175</v>
      </c>
      <c r="AP10" s="10">
        <f t="shared" ca="1" si="0"/>
        <v>189</v>
      </c>
      <c r="AQ10" s="10">
        <f t="shared" ca="1" si="0"/>
        <v>178</v>
      </c>
      <c r="AR10" s="10">
        <f t="shared" ca="1" si="0"/>
        <v>216</v>
      </c>
      <c r="AS10" s="10">
        <f t="shared" ca="1" si="0"/>
        <v>167</v>
      </c>
      <c r="AT10" s="10">
        <f t="shared" ca="1" si="0"/>
        <v>164</v>
      </c>
      <c r="AU10" s="10">
        <f t="shared" ca="1" si="0"/>
        <v>193</v>
      </c>
      <c r="AV10" s="10">
        <f t="shared" ca="1" si="0"/>
        <v>193</v>
      </c>
      <c r="AW10" s="10">
        <f t="shared" ca="1" si="0"/>
        <v>211</v>
      </c>
      <c r="AX10" s="10">
        <f t="shared" ca="1" si="0"/>
        <v>207</v>
      </c>
      <c r="AY10" s="10">
        <f t="shared" ca="1" si="0"/>
        <v>169</v>
      </c>
      <c r="AZ10" s="10">
        <f t="shared" ca="1" si="0"/>
        <v>190</v>
      </c>
      <c r="BA10" s="10">
        <f t="shared" ca="1" si="0"/>
        <v>220</v>
      </c>
      <c r="BB10" s="10">
        <f t="shared" ca="1" si="0"/>
        <v>181</v>
      </c>
      <c r="BC10" s="10">
        <f t="shared" ca="1" si="0"/>
        <v>110</v>
      </c>
      <c r="BD10" s="10">
        <f t="shared" ca="1" si="0"/>
        <v>0</v>
      </c>
    </row>
    <row r="11" spans="1:56" x14ac:dyDescent="0.35">
      <c r="A11" s="1"/>
      <c r="B11" s="12"/>
      <c r="C11" s="13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  <c r="AL11" s="2"/>
      <c r="AM11" s="2"/>
      <c r="AN11" s="2"/>
      <c r="AO11" s="2"/>
      <c r="AP11" s="2"/>
      <c r="AQ11" s="2"/>
      <c r="AR11" s="2"/>
      <c r="AS11" s="2"/>
      <c r="AT11" s="2"/>
      <c r="AU11" s="2"/>
      <c r="AV11" s="2"/>
      <c r="AW11" s="2"/>
      <c r="AX11" s="2"/>
      <c r="AY11" s="2"/>
      <c r="AZ11" s="2"/>
      <c r="BA11" s="2"/>
      <c r="BB11" s="2"/>
      <c r="BC11" s="2"/>
      <c r="BD11" s="2"/>
    </row>
    <row r="12" spans="1:56" x14ac:dyDescent="0.35">
      <c r="A12" s="1" t="s">
        <v>110</v>
      </c>
      <c r="B12" s="10">
        <f ca="1">SUM(D12:BD12)</f>
        <v>2372</v>
      </c>
      <c r="C12" s="11">
        <f ca="1">IFERROR(B12/[2]Tablas!#REF!*100000,"N/D")</f>
        <v>142.70750796713395</v>
      </c>
      <c r="D12" s="10">
        <f ca="1">SUM(D13:D32)</f>
        <v>79</v>
      </c>
      <c r="E12" s="10">
        <f t="shared" ref="E12:BD12" ca="1" si="1">SUM(E13:E32)</f>
        <v>68</v>
      </c>
      <c r="F12" s="10">
        <f t="shared" ca="1" si="1"/>
        <v>72</v>
      </c>
      <c r="G12" s="10">
        <f t="shared" ca="1" si="1"/>
        <v>45</v>
      </c>
      <c r="H12" s="10">
        <f t="shared" ca="1" si="1"/>
        <v>38</v>
      </c>
      <c r="I12" s="10">
        <f t="shared" ca="1" si="1"/>
        <v>36</v>
      </c>
      <c r="J12" s="10">
        <f t="shared" ca="1" si="1"/>
        <v>24</v>
      </c>
      <c r="K12" s="10">
        <f t="shared" ca="1" si="1"/>
        <v>40</v>
      </c>
      <c r="L12" s="10">
        <f t="shared" ca="1" si="1"/>
        <v>40</v>
      </c>
      <c r="M12" s="10">
        <f t="shared" ca="1" si="1"/>
        <v>24</v>
      </c>
      <c r="N12" s="10">
        <f t="shared" ca="1" si="1"/>
        <v>24</v>
      </c>
      <c r="O12" s="10">
        <f t="shared" ca="1" si="1"/>
        <v>26</v>
      </c>
      <c r="P12" s="10">
        <f t="shared" ca="1" si="1"/>
        <v>27</v>
      </c>
      <c r="Q12" s="10">
        <f t="shared" ca="1" si="1"/>
        <v>13</v>
      </c>
      <c r="R12" s="10">
        <f t="shared" ca="1" si="1"/>
        <v>17</v>
      </c>
      <c r="S12" s="10">
        <f t="shared" ca="1" si="1"/>
        <v>22</v>
      </c>
      <c r="T12" s="10">
        <f t="shared" ca="1" si="1"/>
        <v>18</v>
      </c>
      <c r="U12" s="10">
        <f t="shared" ca="1" si="1"/>
        <v>13</v>
      </c>
      <c r="V12" s="10">
        <f t="shared" ca="1" si="1"/>
        <v>18</v>
      </c>
      <c r="W12" s="10">
        <f t="shared" ca="1" si="1"/>
        <v>18</v>
      </c>
      <c r="X12" s="10">
        <f t="shared" ca="1" si="1"/>
        <v>11</v>
      </c>
      <c r="Y12" s="10">
        <f t="shared" ca="1" si="1"/>
        <v>14</v>
      </c>
      <c r="Z12" s="10">
        <f t="shared" ca="1" si="1"/>
        <v>11</v>
      </c>
      <c r="AA12" s="10">
        <f t="shared" ca="1" si="1"/>
        <v>19</v>
      </c>
      <c r="AB12" s="10">
        <f t="shared" ca="1" si="1"/>
        <v>26</v>
      </c>
      <c r="AC12" s="10">
        <f t="shared" ca="1" si="1"/>
        <v>22</v>
      </c>
      <c r="AD12" s="10">
        <f t="shared" ca="1" si="1"/>
        <v>30</v>
      </c>
      <c r="AE12" s="10">
        <f t="shared" ca="1" si="1"/>
        <v>28</v>
      </c>
      <c r="AF12" s="10">
        <f t="shared" ca="1" si="1"/>
        <v>44</v>
      </c>
      <c r="AG12" s="10">
        <f t="shared" ca="1" si="1"/>
        <v>48</v>
      </c>
      <c r="AH12" s="10">
        <f t="shared" ca="1" si="1"/>
        <v>54</v>
      </c>
      <c r="AI12" s="10">
        <f t="shared" ca="1" si="1"/>
        <v>56</v>
      </c>
      <c r="AJ12" s="10">
        <f t="shared" ca="1" si="1"/>
        <v>62</v>
      </c>
      <c r="AK12" s="10">
        <f t="shared" ca="1" si="1"/>
        <v>88</v>
      </c>
      <c r="AL12" s="10">
        <f t="shared" ca="1" si="1"/>
        <v>80</v>
      </c>
      <c r="AM12" s="10">
        <f t="shared" ca="1" si="1"/>
        <v>74</v>
      </c>
      <c r="AN12" s="10">
        <f t="shared" ca="1" si="1"/>
        <v>99</v>
      </c>
      <c r="AO12" s="10">
        <f t="shared" ca="1" si="1"/>
        <v>89</v>
      </c>
      <c r="AP12" s="10">
        <f t="shared" ca="1" si="1"/>
        <v>90</v>
      </c>
      <c r="AQ12" s="10">
        <f t="shared" ca="1" si="1"/>
        <v>99</v>
      </c>
      <c r="AR12" s="10">
        <f t="shared" ca="1" si="1"/>
        <v>94</v>
      </c>
      <c r="AS12" s="10">
        <f t="shared" ca="1" si="1"/>
        <v>72</v>
      </c>
      <c r="AT12" s="10">
        <f t="shared" ca="1" si="1"/>
        <v>52</v>
      </c>
      <c r="AU12" s="10">
        <f t="shared" ca="1" si="1"/>
        <v>50</v>
      </c>
      <c r="AV12" s="10">
        <f t="shared" ca="1" si="1"/>
        <v>64</v>
      </c>
      <c r="AW12" s="10">
        <f t="shared" ca="1" si="1"/>
        <v>61</v>
      </c>
      <c r="AX12" s="10">
        <f t="shared" ca="1" si="1"/>
        <v>67</v>
      </c>
      <c r="AY12" s="10">
        <f t="shared" ca="1" si="1"/>
        <v>38</v>
      </c>
      <c r="AZ12" s="10">
        <f t="shared" ca="1" si="1"/>
        <v>47</v>
      </c>
      <c r="BA12" s="10">
        <f t="shared" ca="1" si="1"/>
        <v>52</v>
      </c>
      <c r="BB12" s="10">
        <f t="shared" ca="1" si="1"/>
        <v>50</v>
      </c>
      <c r="BC12" s="10">
        <f t="shared" ca="1" si="1"/>
        <v>19</v>
      </c>
      <c r="BD12" s="10">
        <f t="shared" ca="1" si="1"/>
        <v>0</v>
      </c>
    </row>
    <row r="13" spans="1:56" x14ac:dyDescent="0.35">
      <c r="A13" s="14" t="s">
        <v>111</v>
      </c>
      <c r="B13" s="15">
        <f ca="1">SUM(D13:BD13)</f>
        <v>1536</v>
      </c>
      <c r="C13" s="16">
        <f ca="1">IFERROR(B13/[2]Tablas!#REF!*100000,"N/D")</f>
        <v>434.86754376279339</v>
      </c>
      <c r="D13" s="15">
        <f ca="1">IFERROR(GETPIVOTDATA("Cuenta de CANT",Tabla9,"PROV",[2]Tablas!$A$27,"SEFIS",D$52,"CANT",[2]Tablas!#REF!),0)</f>
        <v>43</v>
      </c>
      <c r="E13" s="15">
        <f ca="1">IFERROR(GETPIVOTDATA("Cuenta de CANT",Tabla9,"PROV",[2]Tablas!$A$27,"SEFIS",E$52,"CANT",[2]Tablas!#REF!),0)</f>
        <v>34</v>
      </c>
      <c r="F13" s="15">
        <f ca="1">IFERROR(GETPIVOTDATA("Cuenta de CANT",Tabla9,"PROV",[2]Tablas!$A$27,"SEFIS",F$52,"CANT",[2]Tablas!#REF!),0)</f>
        <v>45</v>
      </c>
      <c r="G13" s="15">
        <f ca="1">IFERROR(GETPIVOTDATA("Cuenta de CANT",Tabla9,"PROV",[2]Tablas!$A$27,"SEFIS",G$52,"CANT",[2]Tablas!#REF!),0)</f>
        <v>30</v>
      </c>
      <c r="H13" s="15">
        <f ca="1">IFERROR(GETPIVOTDATA("Cuenta de CANT",Tabla9,"PROV",[2]Tablas!$A$27,"SEFIS",H$52,"CANT",[2]Tablas!#REF!),0)</f>
        <v>25</v>
      </c>
      <c r="I13" s="15">
        <f ca="1">IFERROR(GETPIVOTDATA("Cuenta de CANT",Tabla9,"PROV",[2]Tablas!$A$27,"SEFIS",I$52,"CANT",[2]Tablas!#REF!),0)</f>
        <v>23</v>
      </c>
      <c r="J13" s="15">
        <f ca="1">IFERROR(GETPIVOTDATA("Cuenta de CANT",Tabla9,"PROV",[2]Tablas!$A$27,"SEFIS",J$52,"CANT",[2]Tablas!#REF!),0)</f>
        <v>11</v>
      </c>
      <c r="K13" s="15">
        <f ca="1">IFERROR(GETPIVOTDATA("Cuenta de CANT",Tabla9,"PROV",[2]Tablas!$A$27,"SEFIS",K$52,"CANT",[2]Tablas!#REF!),0)</f>
        <v>30</v>
      </c>
      <c r="L13" s="15">
        <f ca="1">IFERROR(GETPIVOTDATA("Cuenta de CANT",Tabla9,"PROV",[2]Tablas!$A$27,"SEFIS",L$52,"CANT",[2]Tablas!#REF!),0)</f>
        <v>20</v>
      </c>
      <c r="M13" s="15">
        <f ca="1">IFERROR(GETPIVOTDATA("Cuenta de CANT",Tabla9,"PROV",[2]Tablas!$A$27,"SEFIS",M$52,"CANT",[2]Tablas!#REF!),0)</f>
        <v>15</v>
      </c>
      <c r="N13" s="15">
        <f ca="1">IFERROR(GETPIVOTDATA("Cuenta de CANT",Tabla9,"PROV",[2]Tablas!$A$27,"SEFIS",N$52,"CANT",[2]Tablas!#REF!),0)</f>
        <v>12</v>
      </c>
      <c r="O13" s="15">
        <f ca="1">IFERROR(GETPIVOTDATA("Cuenta de CANT",Tabla9,"PROV",[2]Tablas!$A$27,"SEFIS",O$52,"CANT",[2]Tablas!#REF!),0)</f>
        <v>17</v>
      </c>
      <c r="P13" s="15">
        <f ca="1">IFERROR(GETPIVOTDATA("Cuenta de CANT",Tabla9,"PROV",[2]Tablas!$A$27,"SEFIS",P$52,"CANT",[2]Tablas!#REF!),0)</f>
        <v>20</v>
      </c>
      <c r="Q13" s="15">
        <f ca="1">IFERROR(GETPIVOTDATA("Cuenta de CANT",Tabla9,"PROV",[2]Tablas!$A$27,"SEFIS",Q$52,"CANT",[2]Tablas!#REF!),0)</f>
        <v>9</v>
      </c>
      <c r="R13" s="15">
        <f ca="1">IFERROR(GETPIVOTDATA("Cuenta de CANT",Tabla9,"PROV",[2]Tablas!$A$27,"SEFIS",R$52,"CANT",[2]Tablas!#REF!),0)</f>
        <v>11</v>
      </c>
      <c r="S13" s="15">
        <f ca="1">IFERROR(GETPIVOTDATA("Cuenta de CANT",Tabla9,"PROV",[2]Tablas!$A$27,"SEFIS",S$52,"CANT",[2]Tablas!#REF!),0)</f>
        <v>12</v>
      </c>
      <c r="T13" s="15">
        <f ca="1">IFERROR(GETPIVOTDATA("Cuenta de CANT",Tabla9,"PROV",[2]Tablas!$A$27,"SEFIS",T$52,"CANT",[2]Tablas!#REF!),0)</f>
        <v>11</v>
      </c>
      <c r="U13" s="15">
        <f ca="1">IFERROR(GETPIVOTDATA("Cuenta de CANT",Tabla9,"PROV",[2]Tablas!$A$27,"SEFIS",U$52,"CANT",[2]Tablas!#REF!),0)</f>
        <v>8</v>
      </c>
      <c r="V13" s="15">
        <f ca="1">IFERROR(GETPIVOTDATA("Cuenta de CANT",Tabla9,"PROV",[2]Tablas!$A$27,"SEFIS",V$52,"CANT",[2]Tablas!#REF!),0)</f>
        <v>6</v>
      </c>
      <c r="W13" s="15">
        <f ca="1">IFERROR(GETPIVOTDATA("Cuenta de CANT",Tabla9,"PROV",[2]Tablas!$A$27,"SEFIS",W$52,"CANT",[2]Tablas!#REF!),0)</f>
        <v>5</v>
      </c>
      <c r="X13" s="15">
        <f ca="1">IFERROR(GETPIVOTDATA("Cuenta de CANT",Tabla9,"PROV",[2]Tablas!$A$27,"SEFIS",X$52,"CANT",[2]Tablas!#REF!),0)</f>
        <v>7</v>
      </c>
      <c r="Y13" s="15">
        <f ca="1">IFERROR(GETPIVOTDATA("Cuenta de CANT",Tabla9,"PROV",[2]Tablas!$A$27,"SEFIS",Y$52,"CANT",[2]Tablas!#REF!),0)</f>
        <v>8</v>
      </c>
      <c r="Z13" s="15">
        <f ca="1">IFERROR(GETPIVOTDATA("Cuenta de CANT",Tabla9,"PROV",[2]Tablas!$A$27,"SEFIS",Z$52,"CANT",[2]Tablas!#REF!),0)</f>
        <v>7</v>
      </c>
      <c r="AA13" s="15">
        <f ca="1">IFERROR(GETPIVOTDATA("Cuenta de CANT",Tabla9,"PROV",[2]Tablas!$A$27,"SEFIS",AA$52,"CANT",[2]Tablas!#REF!),0)</f>
        <v>7</v>
      </c>
      <c r="AB13" s="15">
        <f ca="1">IFERROR(GETPIVOTDATA("Cuenta de CANT",Tabla9,"PROV",[2]Tablas!$A$27,"SEFIS",AB$52,"CANT",[2]Tablas!#REF!),0)</f>
        <v>10</v>
      </c>
      <c r="AC13" s="15">
        <f ca="1">IFERROR(GETPIVOTDATA("Cuenta de CANT",Tabla9,"PROV",[2]Tablas!$A$27,"SEFIS",AC$52,"CANT",[2]Tablas!#REF!),0)</f>
        <v>13</v>
      </c>
      <c r="AD13" s="15">
        <f ca="1">IFERROR(GETPIVOTDATA("Cuenta de CANT",Tabla9,"PROV",[2]Tablas!$A$27,"SEFIS",AD$52,"CANT",[2]Tablas!#REF!),0)</f>
        <v>17</v>
      </c>
      <c r="AE13" s="15">
        <f ca="1">IFERROR(GETPIVOTDATA("Cuenta de CANT",Tabla9,"PROV",[2]Tablas!$A$27,"SEFIS",AE$52,"CANT",[2]Tablas!#REF!),0)</f>
        <v>18</v>
      </c>
      <c r="AF13" s="15">
        <f ca="1">IFERROR(GETPIVOTDATA("Cuenta de CANT",Tabla9,"PROV",[2]Tablas!$A$27,"SEFIS",AF$52,"CANT",[2]Tablas!#REF!),0)</f>
        <v>29</v>
      </c>
      <c r="AG13" s="15">
        <f ca="1">IFERROR(GETPIVOTDATA("Cuenta de CANT",Tabla9,"PROV",[2]Tablas!$A$27,"SEFIS",AG$52,"CANT",[2]Tablas!#REF!),0)</f>
        <v>31</v>
      </c>
      <c r="AH13" s="15">
        <f ca="1">IFERROR(GETPIVOTDATA("Cuenta de CANT",Tabla9,"PROV",[2]Tablas!$A$27,"SEFIS",AH$52,"CANT",[2]Tablas!#REF!),0)</f>
        <v>40</v>
      </c>
      <c r="AI13" s="15">
        <f ca="1">IFERROR(GETPIVOTDATA("Cuenta de CANT",Tabla9,"PROV",[2]Tablas!$A$27,"SEFIS",AI$52,"CANT",[2]Tablas!#REF!),0)</f>
        <v>36</v>
      </c>
      <c r="AJ13" s="15">
        <f ca="1">IFERROR(GETPIVOTDATA("Cuenta de CANT",Tabla9,"PROV",[2]Tablas!$A$27,"SEFIS",AJ$52,"CANT",[2]Tablas!#REF!),0)</f>
        <v>42</v>
      </c>
      <c r="AK13" s="15">
        <f ca="1">IFERROR(GETPIVOTDATA("Cuenta de CANT",Tabla9,"PROV",[2]Tablas!$A$27,"SEFIS",AK$52,"CANT",[2]Tablas!#REF!),0)</f>
        <v>65</v>
      </c>
      <c r="AL13" s="15">
        <f ca="1">IFERROR(GETPIVOTDATA("Cuenta de CANT",Tabla9,"PROV",[2]Tablas!$A$27,"SEFIS",AL$52,"CANT",[2]Tablas!#REF!),0)</f>
        <v>57</v>
      </c>
      <c r="AM13" s="15">
        <f ca="1">IFERROR(GETPIVOTDATA("Cuenta de CANT",Tabla9,"PROV",[2]Tablas!$A$27,"SEFIS",AM$52,"CANT",[2]Tablas!#REF!),0)</f>
        <v>52</v>
      </c>
      <c r="AN13" s="15">
        <f ca="1">IFERROR(GETPIVOTDATA("Cuenta de CANT",Tabla9,"PROV",[2]Tablas!$A$27,"SEFIS",AN$52,"CANT",[2]Tablas!#REF!),0)</f>
        <v>71</v>
      </c>
      <c r="AO13" s="15">
        <f ca="1">IFERROR(GETPIVOTDATA("Cuenta de CANT",Tabla9,"PROV",[2]Tablas!$A$27,"SEFIS",AO$52,"CANT",[2]Tablas!#REF!),0)</f>
        <v>69</v>
      </c>
      <c r="AP13" s="15">
        <f ca="1">IFERROR(GETPIVOTDATA("Cuenta de CANT",Tabla9,"PROV",[2]Tablas!$A$27,"SEFIS",AP$52,"CANT",[2]Tablas!#REF!),0)</f>
        <v>69</v>
      </c>
      <c r="AQ13" s="15">
        <f ca="1">IFERROR(GETPIVOTDATA("Cuenta de CANT",Tabla9,"PROV",[2]Tablas!$A$27,"SEFIS",AQ$52,"CANT",[2]Tablas!#REF!),0)</f>
        <v>68</v>
      </c>
      <c r="AR13" s="15">
        <f ca="1">IFERROR(GETPIVOTDATA("Cuenta de CANT",Tabla9,"PROV",[2]Tablas!$A$27,"SEFIS",AR$52,"CANT",[2]Tablas!#REF!),0)</f>
        <v>68</v>
      </c>
      <c r="AS13" s="15">
        <f ca="1">IFERROR(GETPIVOTDATA("Cuenta de CANT",Tabla9,"PROV",[2]Tablas!$A$27,"SEFIS",AS$52,"CANT",[2]Tablas!#REF!),0)</f>
        <v>44</v>
      </c>
      <c r="AT13" s="15">
        <f ca="1">IFERROR(GETPIVOTDATA("Cuenta de CANT",Tabla9,"PROV",[2]Tablas!$A$27,"SEFIS",AT$52,"CANT",[2]Tablas!#REF!),0)</f>
        <v>32</v>
      </c>
      <c r="AU13" s="15">
        <f ca="1">IFERROR(GETPIVOTDATA("Cuenta de CANT",Tabla9,"PROV",[2]Tablas!$A$27,"SEFIS",AU$52,"CANT",[2]Tablas!#REF!),0)</f>
        <v>31</v>
      </c>
      <c r="AV13" s="15">
        <f ca="1">IFERROR(GETPIVOTDATA("Cuenta de CANT",Tabla9,"PROV",[2]Tablas!$A$27,"SEFIS",AV$52,"CANT",[2]Tablas!#REF!),0)</f>
        <v>47</v>
      </c>
      <c r="AW13" s="15">
        <f ca="1">IFERROR(GETPIVOTDATA("Cuenta de CANT",Tabla9,"PROV",[2]Tablas!$A$27,"SEFIS",AW$52,"CANT",[2]Tablas!#REF!),0)</f>
        <v>42</v>
      </c>
      <c r="AX13" s="15">
        <f ca="1">IFERROR(GETPIVOTDATA("Cuenta de CANT",Tabla9,"PROV",[2]Tablas!$A$27,"SEFIS",AX$52,"CANT",[2]Tablas!#REF!),0)</f>
        <v>44</v>
      </c>
      <c r="AY13" s="15">
        <f ca="1">IFERROR(GETPIVOTDATA("Cuenta de CANT",Tabla9,"PROV",[2]Tablas!$A$27,"SEFIS",AY$52,"CANT",[2]Tablas!#REF!),0)</f>
        <v>24</v>
      </c>
      <c r="AZ13" s="15">
        <f ca="1">IFERROR(GETPIVOTDATA("Cuenta de CANT",Tabla9,"PROV",[2]Tablas!$A$27,"SEFIS",AZ$52,"CANT",[2]Tablas!#REF!),0)</f>
        <v>31</v>
      </c>
      <c r="BA13" s="15">
        <f ca="1">IFERROR(GETPIVOTDATA("Cuenta de CANT",Tabla9,"PROV",[2]Tablas!$A$27,"SEFIS",BA$52,"CANT",[2]Tablas!#REF!),0)</f>
        <v>36</v>
      </c>
      <c r="BB13" s="15">
        <f ca="1">IFERROR(GETPIVOTDATA("Cuenta de CANT",Tabla9,"PROV",[2]Tablas!$A$27,"SEFIS",BB$52,"CANT",[2]Tablas!#REF!),0)</f>
        <v>29</v>
      </c>
      <c r="BC13" s="15">
        <f ca="1">IFERROR(GETPIVOTDATA("Cuenta de CANT",Tabla9,"PROV",[2]Tablas!$A$27,"SEFIS",BC$52,"CANT",[2]Tablas!#REF!),0)</f>
        <v>5</v>
      </c>
      <c r="BD13" s="15">
        <f ca="1">IFERROR(GETPIVOTDATA("Cuenta de CANT",Tabla9,"PROV",[2]Tablas!$A$27,"SEFIS",BD$52,"CANT",[2]Tablas!#REF!),0)</f>
        <v>0</v>
      </c>
    </row>
    <row r="14" spans="1:56" x14ac:dyDescent="0.35">
      <c r="A14" s="14" t="s">
        <v>112</v>
      </c>
      <c r="B14" s="15">
        <f t="shared" ref="B14:B32" ca="1" si="2">SUM(D14:BD14)</f>
        <v>53</v>
      </c>
      <c r="C14" s="16">
        <f ca="1">IFERROR(B14/[2]Tablas!#REF!*100000,"N/D")</f>
        <v>74.43611134518693</v>
      </c>
      <c r="D14" s="15">
        <f ca="1">IFERROR(GETPIVOTDATA("Cuenta de CANT",Tabla9,"PROV",[2]Tablas!$A$27,"SEFIS",D$52,"CANT",[2]Tablas!#REF!),0)</f>
        <v>2</v>
      </c>
      <c r="E14" s="15">
        <f ca="1">IFERROR(GETPIVOTDATA("Cuenta de CANT",Tabla9,"PROV",[2]Tablas!$A$27,"SEFIS",E$52,"CANT",[2]Tablas!#REF!),0)</f>
        <v>2</v>
      </c>
      <c r="F14" s="15">
        <f ca="1">IFERROR(GETPIVOTDATA("Cuenta de CANT",Tabla9,"PROV",[2]Tablas!$A$27,"SEFIS",F$52,"CANT",[2]Tablas!#REF!),0)</f>
        <v>0</v>
      </c>
      <c r="G14" s="15">
        <f ca="1">IFERROR(GETPIVOTDATA("Cuenta de CANT",Tabla9,"PROV",[2]Tablas!$A$27,"SEFIS",G$52,"CANT",[2]Tablas!#REF!),0)</f>
        <v>3</v>
      </c>
      <c r="H14" s="15">
        <f ca="1">IFERROR(GETPIVOTDATA("Cuenta de CANT",Tabla9,"PROV",[2]Tablas!$A$27,"SEFIS",H$52,"CANT",[2]Tablas!#REF!),0)</f>
        <v>1</v>
      </c>
      <c r="I14" s="15">
        <f ca="1">IFERROR(GETPIVOTDATA("Cuenta de CANT",Tabla9,"PROV",[2]Tablas!$A$27,"SEFIS",I$52,"CANT",[2]Tablas!#REF!),0)</f>
        <v>0</v>
      </c>
      <c r="J14" s="15">
        <f ca="1">IFERROR(GETPIVOTDATA("Cuenta de CANT",Tabla9,"PROV",[2]Tablas!$A$27,"SEFIS",J$52,"CANT",[2]Tablas!#REF!),0)</f>
        <v>0</v>
      </c>
      <c r="K14" s="15">
        <f ca="1">IFERROR(GETPIVOTDATA("Cuenta de CANT",Tabla9,"PROV",[2]Tablas!$A$27,"SEFIS",K$52,"CANT",[2]Tablas!#REF!),0)</f>
        <v>0</v>
      </c>
      <c r="L14" s="15">
        <f ca="1">IFERROR(GETPIVOTDATA("Cuenta de CANT",Tabla9,"PROV",[2]Tablas!$A$27,"SEFIS",L$52,"CANT",[2]Tablas!#REF!),0)</f>
        <v>1</v>
      </c>
      <c r="M14" s="15">
        <f ca="1">IFERROR(GETPIVOTDATA("Cuenta de CANT",Tabla9,"PROV",[2]Tablas!$A$27,"SEFIS",M$52,"CANT",[2]Tablas!#REF!),0)</f>
        <v>0</v>
      </c>
      <c r="N14" s="15">
        <f ca="1">IFERROR(GETPIVOTDATA("Cuenta de CANT",Tabla9,"PROV",[2]Tablas!$A$27,"SEFIS",N$52,"CANT",[2]Tablas!#REF!),0)</f>
        <v>2</v>
      </c>
      <c r="O14" s="15">
        <f ca="1">IFERROR(GETPIVOTDATA("Cuenta de CANT",Tabla9,"PROV",[2]Tablas!$A$27,"SEFIS",O$52,"CANT",[2]Tablas!#REF!),0)</f>
        <v>0</v>
      </c>
      <c r="P14" s="15">
        <f ca="1">IFERROR(GETPIVOTDATA("Cuenta de CANT",Tabla9,"PROV",[2]Tablas!$A$27,"SEFIS",P$52,"CANT",[2]Tablas!#REF!),0)</f>
        <v>1</v>
      </c>
      <c r="Q14" s="15">
        <f ca="1">IFERROR(GETPIVOTDATA("Cuenta de CANT",Tabla9,"PROV",[2]Tablas!$A$27,"SEFIS",Q$52,"CANT",[2]Tablas!#REF!),0)</f>
        <v>0</v>
      </c>
      <c r="R14" s="15">
        <f ca="1">IFERROR(GETPIVOTDATA("Cuenta de CANT",Tabla9,"PROV",[2]Tablas!$A$27,"SEFIS",R$52,"CANT",[2]Tablas!#REF!),0)</f>
        <v>0</v>
      </c>
      <c r="S14" s="15">
        <f ca="1">IFERROR(GETPIVOTDATA("Cuenta de CANT",Tabla9,"PROV",[2]Tablas!$A$27,"SEFIS",S$52,"CANT",[2]Tablas!#REF!),0)</f>
        <v>0</v>
      </c>
      <c r="T14" s="15">
        <f ca="1">IFERROR(GETPIVOTDATA("Cuenta de CANT",Tabla9,"PROV",[2]Tablas!$A$27,"SEFIS",T$52,"CANT",[2]Tablas!#REF!),0)</f>
        <v>0</v>
      </c>
      <c r="U14" s="15">
        <f ca="1">IFERROR(GETPIVOTDATA("Cuenta de CANT",Tabla9,"PROV",[2]Tablas!$A$27,"SEFIS",U$52,"CANT",[2]Tablas!#REF!),0)</f>
        <v>0</v>
      </c>
      <c r="V14" s="15">
        <f ca="1">IFERROR(GETPIVOTDATA("Cuenta de CANT",Tabla9,"PROV",[2]Tablas!$A$27,"SEFIS",V$52,"CANT",[2]Tablas!#REF!),0)</f>
        <v>2</v>
      </c>
      <c r="W14" s="15">
        <f ca="1">IFERROR(GETPIVOTDATA("Cuenta de CANT",Tabla9,"PROV",[2]Tablas!$A$27,"SEFIS",W$52,"CANT",[2]Tablas!#REF!),0)</f>
        <v>1</v>
      </c>
      <c r="X14" s="15">
        <f ca="1">IFERROR(GETPIVOTDATA("Cuenta de CANT",Tabla9,"PROV",[2]Tablas!$A$27,"SEFIS",X$52,"CANT",[2]Tablas!#REF!),0)</f>
        <v>0</v>
      </c>
      <c r="Y14" s="15">
        <f ca="1">IFERROR(GETPIVOTDATA("Cuenta de CANT",Tabla9,"PROV",[2]Tablas!$A$27,"SEFIS",Y$52,"CANT",[2]Tablas!#REF!),0)</f>
        <v>1</v>
      </c>
      <c r="Z14" s="15">
        <f ca="1">IFERROR(GETPIVOTDATA("Cuenta de CANT",Tabla9,"PROV",[2]Tablas!$A$27,"SEFIS",Z$52,"CANT",[2]Tablas!#REF!),0)</f>
        <v>0</v>
      </c>
      <c r="AA14" s="15">
        <f ca="1">IFERROR(GETPIVOTDATA("Cuenta de CANT",Tabla9,"PROV",[2]Tablas!$A$27,"SEFIS",AA$52,"CANT",[2]Tablas!#REF!),0)</f>
        <v>0</v>
      </c>
      <c r="AB14" s="15">
        <f ca="1">IFERROR(GETPIVOTDATA("Cuenta de CANT",Tabla9,"PROV",[2]Tablas!$A$27,"SEFIS",AB$52,"CANT",[2]Tablas!#REF!),0)</f>
        <v>0</v>
      </c>
      <c r="AC14" s="15">
        <f ca="1">IFERROR(GETPIVOTDATA("Cuenta de CANT",Tabla9,"PROV",[2]Tablas!$A$27,"SEFIS",AC$52,"CANT",[2]Tablas!#REF!),0)</f>
        <v>0</v>
      </c>
      <c r="AD14" s="15">
        <f ca="1">IFERROR(GETPIVOTDATA("Cuenta de CANT",Tabla9,"PROV",[2]Tablas!$A$27,"SEFIS",AD$52,"CANT",[2]Tablas!#REF!),0)</f>
        <v>0</v>
      </c>
      <c r="AE14" s="15">
        <f ca="1">IFERROR(GETPIVOTDATA("Cuenta de CANT",Tabla9,"PROV",[2]Tablas!$A$27,"SEFIS",AE$52,"CANT",[2]Tablas!#REF!),0)</f>
        <v>0</v>
      </c>
      <c r="AF14" s="15">
        <f ca="1">IFERROR(GETPIVOTDATA("Cuenta de CANT",Tabla9,"PROV",[2]Tablas!$A$27,"SEFIS",AF$52,"CANT",[2]Tablas!#REF!),0)</f>
        <v>0</v>
      </c>
      <c r="AG14" s="15">
        <f ca="1">IFERROR(GETPIVOTDATA("Cuenta de CANT",Tabla9,"PROV",[2]Tablas!$A$27,"SEFIS",AG$52,"CANT",[2]Tablas!#REF!),0)</f>
        <v>3</v>
      </c>
      <c r="AH14" s="15">
        <f ca="1">IFERROR(GETPIVOTDATA("Cuenta de CANT",Tabla9,"PROV",[2]Tablas!$A$27,"SEFIS",AH$52,"CANT",[2]Tablas!#REF!),0)</f>
        <v>1</v>
      </c>
      <c r="AI14" s="15">
        <f ca="1">IFERROR(GETPIVOTDATA("Cuenta de CANT",Tabla9,"PROV",[2]Tablas!$A$27,"SEFIS",AI$52,"CANT",[2]Tablas!#REF!),0)</f>
        <v>4</v>
      </c>
      <c r="AJ14" s="15">
        <f ca="1">IFERROR(GETPIVOTDATA("Cuenta de CANT",Tabla9,"PROV",[2]Tablas!$A$27,"SEFIS",AJ$52,"CANT",[2]Tablas!#REF!),0)</f>
        <v>1</v>
      </c>
      <c r="AK14" s="15">
        <f ca="1">IFERROR(GETPIVOTDATA("Cuenta de CANT",Tabla9,"PROV",[2]Tablas!$A$27,"SEFIS",AK$52,"CANT",[2]Tablas!#REF!),0)</f>
        <v>4</v>
      </c>
      <c r="AL14" s="15">
        <f ca="1">IFERROR(GETPIVOTDATA("Cuenta de CANT",Tabla9,"PROV",[2]Tablas!$A$27,"SEFIS",AL$52,"CANT",[2]Tablas!#REF!),0)</f>
        <v>0</v>
      </c>
      <c r="AM14" s="15">
        <f ca="1">IFERROR(GETPIVOTDATA("Cuenta de CANT",Tabla9,"PROV",[2]Tablas!$A$27,"SEFIS",AM$52,"CANT",[2]Tablas!#REF!),0)</f>
        <v>2</v>
      </c>
      <c r="AN14" s="15">
        <f ca="1">IFERROR(GETPIVOTDATA("Cuenta de CANT",Tabla9,"PROV",[2]Tablas!$A$27,"SEFIS",AN$52,"CANT",[2]Tablas!#REF!),0)</f>
        <v>4</v>
      </c>
      <c r="AO14" s="15">
        <f ca="1">IFERROR(GETPIVOTDATA("Cuenta de CANT",Tabla9,"PROV",[2]Tablas!$A$27,"SEFIS",AO$52,"CANT",[2]Tablas!#REF!),0)</f>
        <v>0</v>
      </c>
      <c r="AP14" s="15">
        <f ca="1">IFERROR(GETPIVOTDATA("Cuenta de CANT",Tabla9,"PROV",[2]Tablas!$A$27,"SEFIS",AP$52,"CANT",[2]Tablas!#REF!),0)</f>
        <v>0</v>
      </c>
      <c r="AQ14" s="15">
        <f ca="1">IFERROR(GETPIVOTDATA("Cuenta de CANT",Tabla9,"PROV",[2]Tablas!$A$27,"SEFIS",AQ$52,"CANT",[2]Tablas!#REF!),0)</f>
        <v>2</v>
      </c>
      <c r="AR14" s="15">
        <f ca="1">IFERROR(GETPIVOTDATA("Cuenta de CANT",Tabla9,"PROV",[2]Tablas!$A$27,"SEFIS",AR$52,"CANT",[2]Tablas!#REF!),0)</f>
        <v>5</v>
      </c>
      <c r="AS14" s="15">
        <f ca="1">IFERROR(GETPIVOTDATA("Cuenta de CANT",Tabla9,"PROV",[2]Tablas!$A$27,"SEFIS",AS$52,"CANT",[2]Tablas!#REF!),0)</f>
        <v>1</v>
      </c>
      <c r="AT14" s="15">
        <f ca="1">IFERROR(GETPIVOTDATA("Cuenta de CANT",Tabla9,"PROV",[2]Tablas!$A$27,"SEFIS",AT$52,"CANT",[2]Tablas!#REF!),0)</f>
        <v>1</v>
      </c>
      <c r="AU14" s="15">
        <f ca="1">IFERROR(GETPIVOTDATA("Cuenta de CANT",Tabla9,"PROV",[2]Tablas!$A$27,"SEFIS",AU$52,"CANT",[2]Tablas!#REF!),0)</f>
        <v>1</v>
      </c>
      <c r="AV14" s="15">
        <f ca="1">IFERROR(GETPIVOTDATA("Cuenta de CANT",Tabla9,"PROV",[2]Tablas!$A$27,"SEFIS",AV$52,"CANT",[2]Tablas!#REF!),0)</f>
        <v>2</v>
      </c>
      <c r="AW14" s="15">
        <f ca="1">IFERROR(GETPIVOTDATA("Cuenta de CANT",Tabla9,"PROV",[2]Tablas!$A$27,"SEFIS",AW$52,"CANT",[2]Tablas!#REF!),0)</f>
        <v>0</v>
      </c>
      <c r="AX14" s="15">
        <f ca="1">IFERROR(GETPIVOTDATA("Cuenta de CANT",Tabla9,"PROV",[2]Tablas!$A$27,"SEFIS",AX$52,"CANT",[2]Tablas!#REF!),0)</f>
        <v>1</v>
      </c>
      <c r="AY14" s="15">
        <f ca="1">IFERROR(GETPIVOTDATA("Cuenta de CANT",Tabla9,"PROV",[2]Tablas!$A$27,"SEFIS",AY$52,"CANT",[2]Tablas!#REF!),0)</f>
        <v>2</v>
      </c>
      <c r="AZ14" s="15">
        <f ca="1">IFERROR(GETPIVOTDATA("Cuenta de CANT",Tabla9,"PROV",[2]Tablas!$A$27,"SEFIS",AZ$52,"CANT",[2]Tablas!#REF!),0)</f>
        <v>3</v>
      </c>
      <c r="BA14" s="15">
        <f ca="1">IFERROR(GETPIVOTDATA("Cuenta de CANT",Tabla9,"PROV",[2]Tablas!$A$27,"SEFIS",BA$52,"CANT",[2]Tablas!#REF!),0)</f>
        <v>0</v>
      </c>
      <c r="BB14" s="15">
        <f ca="1">IFERROR(GETPIVOTDATA("Cuenta de CANT",Tabla9,"PROV",[2]Tablas!$A$27,"SEFIS",BB$52,"CANT",[2]Tablas!#REF!),0)</f>
        <v>0</v>
      </c>
      <c r="BC14" s="15">
        <f ca="1">IFERROR(GETPIVOTDATA("Cuenta de CANT",Tabla9,"PROV",[2]Tablas!$A$27,"SEFIS",BC$52,"CANT",[2]Tablas!#REF!),0)</f>
        <v>0</v>
      </c>
      <c r="BD14" s="15">
        <f ca="1">IFERROR(GETPIVOTDATA("Cuenta de CANT",Tabla9,"PROV",[2]Tablas!$A$27,"SEFIS",BD$52,"CANT",[2]Tablas!#REF!),0)</f>
        <v>0</v>
      </c>
    </row>
    <row r="15" spans="1:56" x14ac:dyDescent="0.35">
      <c r="A15" s="14" t="s">
        <v>113</v>
      </c>
      <c r="B15" s="15">
        <f t="shared" ca="1" si="2"/>
        <v>119</v>
      </c>
      <c r="C15" s="16">
        <f ca="1">IFERROR(B15/[2]Tablas!#REF!*100000,"N/D")</f>
        <v>48.546461819635617</v>
      </c>
      <c r="D15" s="15">
        <f ca="1">IFERROR(GETPIVOTDATA("Cuenta de CANT",Tabla9,"PROV",[2]Tablas!$A$27,"SEFIS",D$52,"CANT",[2]Tablas!#REF!),0)</f>
        <v>12</v>
      </c>
      <c r="E15" s="15">
        <f ca="1">IFERROR(GETPIVOTDATA("Cuenta de CANT",Tabla9,"PROV",[2]Tablas!$A$27,"SEFIS",E$52,"CANT",[2]Tablas!#REF!),0)</f>
        <v>6</v>
      </c>
      <c r="F15" s="15">
        <f ca="1">IFERROR(GETPIVOTDATA("Cuenta de CANT",Tabla9,"PROV",[2]Tablas!$A$27,"SEFIS",F$52,"CANT",[2]Tablas!#REF!),0)</f>
        <v>10</v>
      </c>
      <c r="G15" s="15">
        <f ca="1">IFERROR(GETPIVOTDATA("Cuenta de CANT",Tabla9,"PROV",[2]Tablas!$A$27,"SEFIS",G$52,"CANT",[2]Tablas!#REF!),0)</f>
        <v>5</v>
      </c>
      <c r="H15" s="15">
        <f ca="1">IFERROR(GETPIVOTDATA("Cuenta de CANT",Tabla9,"PROV",[2]Tablas!$A$27,"SEFIS",H$52,"CANT",[2]Tablas!#REF!),0)</f>
        <v>4</v>
      </c>
      <c r="I15" s="15">
        <f ca="1">IFERROR(GETPIVOTDATA("Cuenta de CANT",Tabla9,"PROV",[2]Tablas!$A$27,"SEFIS",I$52,"CANT",[2]Tablas!#REF!),0)</f>
        <v>2</v>
      </c>
      <c r="J15" s="15">
        <f ca="1">IFERROR(GETPIVOTDATA("Cuenta de CANT",Tabla9,"PROV",[2]Tablas!$A$27,"SEFIS",J$52,"CANT",[2]Tablas!#REF!),0)</f>
        <v>0</v>
      </c>
      <c r="K15" s="15">
        <f ca="1">IFERROR(GETPIVOTDATA("Cuenta de CANT",Tabla9,"PROV",[2]Tablas!$A$27,"SEFIS",K$52,"CANT",[2]Tablas!#REF!),0)</f>
        <v>1</v>
      </c>
      <c r="L15" s="15">
        <f ca="1">IFERROR(GETPIVOTDATA("Cuenta de CANT",Tabla9,"PROV",[2]Tablas!$A$27,"SEFIS",L$52,"CANT",[2]Tablas!#REF!),0)</f>
        <v>1</v>
      </c>
      <c r="M15" s="15">
        <f ca="1">IFERROR(GETPIVOTDATA("Cuenta de CANT",Tabla9,"PROV",[2]Tablas!$A$27,"SEFIS",M$52,"CANT",[2]Tablas!#REF!),0)</f>
        <v>1</v>
      </c>
      <c r="N15" s="15">
        <f ca="1">IFERROR(GETPIVOTDATA("Cuenta de CANT",Tabla9,"PROV",[2]Tablas!$A$27,"SEFIS",N$52,"CANT",[2]Tablas!#REF!),0)</f>
        <v>1</v>
      </c>
      <c r="O15" s="15">
        <f ca="1">IFERROR(GETPIVOTDATA("Cuenta de CANT",Tabla9,"PROV",[2]Tablas!$A$27,"SEFIS",O$52,"CANT",[2]Tablas!#REF!),0)</f>
        <v>0</v>
      </c>
      <c r="P15" s="15">
        <f ca="1">IFERROR(GETPIVOTDATA("Cuenta de CANT",Tabla9,"PROV",[2]Tablas!$A$27,"SEFIS",P$52,"CANT",[2]Tablas!#REF!),0)</f>
        <v>0</v>
      </c>
      <c r="Q15" s="15">
        <f ca="1">IFERROR(GETPIVOTDATA("Cuenta de CANT",Tabla9,"PROV",[2]Tablas!$A$27,"SEFIS",Q$52,"CANT",[2]Tablas!#REF!),0)</f>
        <v>1</v>
      </c>
      <c r="R15" s="15">
        <f ca="1">IFERROR(GETPIVOTDATA("Cuenta de CANT",Tabla9,"PROV",[2]Tablas!$A$27,"SEFIS",R$52,"CANT",[2]Tablas!#REF!),0)</f>
        <v>2</v>
      </c>
      <c r="S15" s="15">
        <f ca="1">IFERROR(GETPIVOTDATA("Cuenta de CANT",Tabla9,"PROV",[2]Tablas!$A$27,"SEFIS",S$52,"CANT",[2]Tablas!#REF!),0)</f>
        <v>0</v>
      </c>
      <c r="T15" s="15">
        <f ca="1">IFERROR(GETPIVOTDATA("Cuenta de CANT",Tabla9,"PROV",[2]Tablas!$A$27,"SEFIS",T$52,"CANT",[2]Tablas!#REF!),0)</f>
        <v>0</v>
      </c>
      <c r="U15" s="15">
        <f ca="1">IFERROR(GETPIVOTDATA("Cuenta de CANT",Tabla9,"PROV",[2]Tablas!$A$27,"SEFIS",U$52,"CANT",[2]Tablas!#REF!),0)</f>
        <v>0</v>
      </c>
      <c r="V15" s="15">
        <f ca="1">IFERROR(GETPIVOTDATA("Cuenta de CANT",Tabla9,"PROV",[2]Tablas!$A$27,"SEFIS",V$52,"CANT",[2]Tablas!#REF!),0)</f>
        <v>0</v>
      </c>
      <c r="W15" s="15">
        <f ca="1">IFERROR(GETPIVOTDATA("Cuenta de CANT",Tabla9,"PROV",[2]Tablas!$A$27,"SEFIS",W$52,"CANT",[2]Tablas!#REF!),0)</f>
        <v>0</v>
      </c>
      <c r="X15" s="15">
        <f ca="1">IFERROR(GETPIVOTDATA("Cuenta de CANT",Tabla9,"PROV",[2]Tablas!$A$27,"SEFIS",X$52,"CANT",[2]Tablas!#REF!),0)</f>
        <v>0</v>
      </c>
      <c r="Y15" s="15">
        <f ca="1">IFERROR(GETPIVOTDATA("Cuenta de CANT",Tabla9,"PROV",[2]Tablas!$A$27,"SEFIS",Y$52,"CANT",[2]Tablas!#REF!),0)</f>
        <v>0</v>
      </c>
      <c r="Z15" s="15">
        <f ca="1">IFERROR(GETPIVOTDATA("Cuenta de CANT",Tabla9,"PROV",[2]Tablas!$A$27,"SEFIS",Z$52,"CANT",[2]Tablas!#REF!),0)</f>
        <v>1</v>
      </c>
      <c r="AA15" s="15">
        <f ca="1">IFERROR(GETPIVOTDATA("Cuenta de CANT",Tabla9,"PROV",[2]Tablas!$A$27,"SEFIS",AA$52,"CANT",[2]Tablas!#REF!),0)</f>
        <v>2</v>
      </c>
      <c r="AB15" s="15">
        <f ca="1">IFERROR(GETPIVOTDATA("Cuenta de CANT",Tabla9,"PROV",[2]Tablas!$A$27,"SEFIS",AB$52,"CANT",[2]Tablas!#REF!),0)</f>
        <v>4</v>
      </c>
      <c r="AC15" s="15">
        <f ca="1">IFERROR(GETPIVOTDATA("Cuenta de CANT",Tabla9,"PROV",[2]Tablas!$A$27,"SEFIS",AC$52,"CANT",[2]Tablas!#REF!),0)</f>
        <v>1</v>
      </c>
      <c r="AD15" s="15">
        <f ca="1">IFERROR(GETPIVOTDATA("Cuenta de CANT",Tabla9,"PROV",[2]Tablas!$A$27,"SEFIS",AD$52,"CANT",[2]Tablas!#REF!),0)</f>
        <v>1</v>
      </c>
      <c r="AE15" s="15">
        <f ca="1">IFERROR(GETPIVOTDATA("Cuenta de CANT",Tabla9,"PROV",[2]Tablas!$A$27,"SEFIS",AE$52,"CANT",[2]Tablas!#REF!),0)</f>
        <v>3</v>
      </c>
      <c r="AF15" s="15">
        <f ca="1">IFERROR(GETPIVOTDATA("Cuenta de CANT",Tabla9,"PROV",[2]Tablas!$A$27,"SEFIS",AF$52,"CANT",[2]Tablas!#REF!),0)</f>
        <v>5</v>
      </c>
      <c r="AG15" s="15">
        <f ca="1">IFERROR(GETPIVOTDATA("Cuenta de CANT",Tabla9,"PROV",[2]Tablas!$A$27,"SEFIS",AG$52,"CANT",[2]Tablas!#REF!),0)</f>
        <v>2</v>
      </c>
      <c r="AH15" s="15">
        <f ca="1">IFERROR(GETPIVOTDATA("Cuenta de CANT",Tabla9,"PROV",[2]Tablas!$A$27,"SEFIS",AH$52,"CANT",[2]Tablas!#REF!),0)</f>
        <v>2</v>
      </c>
      <c r="AI15" s="15">
        <f ca="1">IFERROR(GETPIVOTDATA("Cuenta de CANT",Tabla9,"PROV",[2]Tablas!$A$27,"SEFIS",AI$52,"CANT",[2]Tablas!#REF!),0)</f>
        <v>3</v>
      </c>
      <c r="AJ15" s="15">
        <f ca="1">IFERROR(GETPIVOTDATA("Cuenta de CANT",Tabla9,"PROV",[2]Tablas!$A$27,"SEFIS",AJ$52,"CANT",[2]Tablas!#REF!),0)</f>
        <v>2</v>
      </c>
      <c r="AK15" s="15">
        <f ca="1">IFERROR(GETPIVOTDATA("Cuenta de CANT",Tabla9,"PROV",[2]Tablas!$A$27,"SEFIS",AK$52,"CANT",[2]Tablas!#REF!),0)</f>
        <v>3</v>
      </c>
      <c r="AL15" s="15">
        <f ca="1">IFERROR(GETPIVOTDATA("Cuenta de CANT",Tabla9,"PROV",[2]Tablas!$A$27,"SEFIS",AL$52,"CANT",[2]Tablas!#REF!),0)</f>
        <v>5</v>
      </c>
      <c r="AM15" s="15">
        <f ca="1">IFERROR(GETPIVOTDATA("Cuenta de CANT",Tabla9,"PROV",[2]Tablas!$A$27,"SEFIS",AM$52,"CANT",[2]Tablas!#REF!),0)</f>
        <v>4</v>
      </c>
      <c r="AN15" s="15">
        <f ca="1">IFERROR(GETPIVOTDATA("Cuenta de CANT",Tabla9,"PROV",[2]Tablas!$A$27,"SEFIS",AN$52,"CANT",[2]Tablas!#REF!),0)</f>
        <v>3</v>
      </c>
      <c r="AO15" s="15">
        <f ca="1">IFERROR(GETPIVOTDATA("Cuenta de CANT",Tabla9,"PROV",[2]Tablas!$A$27,"SEFIS",AO$52,"CANT",[2]Tablas!#REF!),0)</f>
        <v>4</v>
      </c>
      <c r="AP15" s="15">
        <f ca="1">IFERROR(GETPIVOTDATA("Cuenta de CANT",Tabla9,"PROV",[2]Tablas!$A$27,"SEFIS",AP$52,"CANT",[2]Tablas!#REF!),0)</f>
        <v>3</v>
      </c>
      <c r="AQ15" s="15">
        <f ca="1">IFERROR(GETPIVOTDATA("Cuenta de CANT",Tabla9,"PROV",[2]Tablas!$A$27,"SEFIS",AQ$52,"CANT",[2]Tablas!#REF!),0)</f>
        <v>6</v>
      </c>
      <c r="AR15" s="15">
        <f ca="1">IFERROR(GETPIVOTDATA("Cuenta de CANT",Tabla9,"PROV",[2]Tablas!$A$27,"SEFIS",AR$52,"CANT",[2]Tablas!#REF!),0)</f>
        <v>4</v>
      </c>
      <c r="AS15" s="15">
        <f ca="1">IFERROR(GETPIVOTDATA("Cuenta de CANT",Tabla9,"PROV",[2]Tablas!$A$27,"SEFIS",AS$52,"CANT",[2]Tablas!#REF!),0)</f>
        <v>4</v>
      </c>
      <c r="AT15" s="15">
        <f ca="1">IFERROR(GETPIVOTDATA("Cuenta de CANT",Tabla9,"PROV",[2]Tablas!$A$27,"SEFIS",AT$52,"CANT",[2]Tablas!#REF!),0)</f>
        <v>0</v>
      </c>
      <c r="AU15" s="15">
        <f ca="1">IFERROR(GETPIVOTDATA("Cuenta de CANT",Tabla9,"PROV",[2]Tablas!$A$27,"SEFIS",AU$52,"CANT",[2]Tablas!#REF!),0)</f>
        <v>1</v>
      </c>
      <c r="AV15" s="15">
        <f ca="1">IFERROR(GETPIVOTDATA("Cuenta de CANT",Tabla9,"PROV",[2]Tablas!$A$27,"SEFIS",AV$52,"CANT",[2]Tablas!#REF!),0)</f>
        <v>0</v>
      </c>
      <c r="AW15" s="15">
        <f ca="1">IFERROR(GETPIVOTDATA("Cuenta de CANT",Tabla9,"PROV",[2]Tablas!$A$27,"SEFIS",AW$52,"CANT",[2]Tablas!#REF!),0)</f>
        <v>2</v>
      </c>
      <c r="AX15" s="15">
        <f ca="1">IFERROR(GETPIVOTDATA("Cuenta de CANT",Tabla9,"PROV",[2]Tablas!$A$27,"SEFIS",AX$52,"CANT",[2]Tablas!#REF!),0)</f>
        <v>1</v>
      </c>
      <c r="AY15" s="15">
        <f ca="1">IFERROR(GETPIVOTDATA("Cuenta de CANT",Tabla9,"PROV",[2]Tablas!$A$27,"SEFIS",AY$52,"CANT",[2]Tablas!#REF!),0)</f>
        <v>1</v>
      </c>
      <c r="AZ15" s="15">
        <f ca="1">IFERROR(GETPIVOTDATA("Cuenta de CANT",Tabla9,"PROV",[2]Tablas!$A$27,"SEFIS",AZ$52,"CANT",[2]Tablas!#REF!),0)</f>
        <v>3</v>
      </c>
      <c r="BA15" s="15">
        <f ca="1">IFERROR(GETPIVOTDATA("Cuenta de CANT",Tabla9,"PROV",[2]Tablas!$A$27,"SEFIS",BA$52,"CANT",[2]Tablas!#REF!),0)</f>
        <v>2</v>
      </c>
      <c r="BB15" s="15">
        <f ca="1">IFERROR(GETPIVOTDATA("Cuenta de CANT",Tabla9,"PROV",[2]Tablas!$A$27,"SEFIS",BB$52,"CANT",[2]Tablas!#REF!),0)</f>
        <v>0</v>
      </c>
      <c r="BC15" s="15">
        <f ca="1">IFERROR(GETPIVOTDATA("Cuenta de CANT",Tabla9,"PROV",[2]Tablas!$A$27,"SEFIS",BC$52,"CANT",[2]Tablas!#REF!),0)</f>
        <v>1</v>
      </c>
      <c r="BD15" s="15">
        <f ca="1">IFERROR(GETPIVOTDATA("Cuenta de CANT",Tabla9,"PROV",[2]Tablas!$A$27,"SEFIS",BD$52,"CANT",[2]Tablas!#REF!),0)</f>
        <v>0</v>
      </c>
    </row>
    <row r="16" spans="1:56" x14ac:dyDescent="0.35">
      <c r="A16" s="14" t="s">
        <v>114</v>
      </c>
      <c r="B16" s="15">
        <f t="shared" ca="1" si="2"/>
        <v>10</v>
      </c>
      <c r="C16" s="16">
        <f ca="1">IFERROR(B16/[2]Tablas!#REF!*100000,"N/D")</f>
        <v>25.496545218122943</v>
      </c>
      <c r="D16" s="15">
        <f ca="1">IFERROR(GETPIVOTDATA("Cuenta de CANT",Tabla9,"PROV",[2]Tablas!$A$27,"SEFIS",D$52,"CANT",[2]Tablas!#REF!),0)</f>
        <v>0</v>
      </c>
      <c r="E16" s="15">
        <f ca="1">IFERROR(GETPIVOTDATA("Cuenta de CANT",Tabla9,"PROV",[2]Tablas!$A$27,"SEFIS",E$52,"CANT",[2]Tablas!#REF!),0)</f>
        <v>0</v>
      </c>
      <c r="F16" s="15">
        <f ca="1">IFERROR(GETPIVOTDATA("Cuenta de CANT",Tabla9,"PROV",[2]Tablas!$A$27,"SEFIS",F$52,"CANT",[2]Tablas!#REF!),0)</f>
        <v>0</v>
      </c>
      <c r="G16" s="15">
        <f ca="1">IFERROR(GETPIVOTDATA("Cuenta de CANT",Tabla9,"PROV",[2]Tablas!$A$27,"SEFIS",G$52,"CANT",[2]Tablas!#REF!),0)</f>
        <v>0</v>
      </c>
      <c r="H16" s="15">
        <f ca="1">IFERROR(GETPIVOTDATA("Cuenta de CANT",Tabla9,"PROV",[2]Tablas!$A$27,"SEFIS",H$52,"CANT",[2]Tablas!#REF!),0)</f>
        <v>0</v>
      </c>
      <c r="I16" s="15">
        <f ca="1">IFERROR(GETPIVOTDATA("Cuenta de CANT",Tabla9,"PROV",[2]Tablas!$A$27,"SEFIS",I$52,"CANT",[2]Tablas!#REF!),0)</f>
        <v>0</v>
      </c>
      <c r="J16" s="15">
        <f ca="1">IFERROR(GETPIVOTDATA("Cuenta de CANT",Tabla9,"PROV",[2]Tablas!$A$27,"SEFIS",J$52,"CANT",[2]Tablas!#REF!),0)</f>
        <v>0</v>
      </c>
      <c r="K16" s="15">
        <f ca="1">IFERROR(GETPIVOTDATA("Cuenta de CANT",Tabla9,"PROV",[2]Tablas!$A$27,"SEFIS",K$52,"CANT",[2]Tablas!#REF!),0)</f>
        <v>0</v>
      </c>
      <c r="L16" s="15">
        <f ca="1">IFERROR(GETPIVOTDATA("Cuenta de CANT",Tabla9,"PROV",[2]Tablas!$A$27,"SEFIS",L$52,"CANT",[2]Tablas!#REF!),0)</f>
        <v>0</v>
      </c>
      <c r="M16" s="15">
        <f ca="1">IFERROR(GETPIVOTDATA("Cuenta de CANT",Tabla9,"PROV",[2]Tablas!$A$27,"SEFIS",M$52,"CANT",[2]Tablas!#REF!),0)</f>
        <v>1</v>
      </c>
      <c r="N16" s="15">
        <f ca="1">IFERROR(GETPIVOTDATA("Cuenta de CANT",Tabla9,"PROV",[2]Tablas!$A$27,"SEFIS",N$52,"CANT",[2]Tablas!#REF!),0)</f>
        <v>1</v>
      </c>
      <c r="O16" s="15">
        <f ca="1">IFERROR(GETPIVOTDATA("Cuenta de CANT",Tabla9,"PROV",[2]Tablas!$A$27,"SEFIS",O$52,"CANT",[2]Tablas!#REF!),0)</f>
        <v>1</v>
      </c>
      <c r="P16" s="15">
        <f ca="1">IFERROR(GETPIVOTDATA("Cuenta de CANT",Tabla9,"PROV",[2]Tablas!$A$27,"SEFIS",P$52,"CANT",[2]Tablas!#REF!),0)</f>
        <v>0</v>
      </c>
      <c r="Q16" s="15">
        <f ca="1">IFERROR(GETPIVOTDATA("Cuenta de CANT",Tabla9,"PROV",[2]Tablas!$A$27,"SEFIS",Q$52,"CANT",[2]Tablas!#REF!),0)</f>
        <v>0</v>
      </c>
      <c r="R16" s="15">
        <f ca="1">IFERROR(GETPIVOTDATA("Cuenta de CANT",Tabla9,"PROV",[2]Tablas!$A$27,"SEFIS",R$52,"CANT",[2]Tablas!#REF!),0)</f>
        <v>0</v>
      </c>
      <c r="S16" s="15">
        <f ca="1">IFERROR(GETPIVOTDATA("Cuenta de CANT",Tabla9,"PROV",[2]Tablas!$A$27,"SEFIS",S$52,"CANT",[2]Tablas!#REF!),0)</f>
        <v>0</v>
      </c>
      <c r="T16" s="15">
        <f ca="1">IFERROR(GETPIVOTDATA("Cuenta de CANT",Tabla9,"PROV",[2]Tablas!$A$27,"SEFIS",T$52,"CANT",[2]Tablas!#REF!),0)</f>
        <v>1</v>
      </c>
      <c r="U16" s="15">
        <f ca="1">IFERROR(GETPIVOTDATA("Cuenta de CANT",Tabla9,"PROV",[2]Tablas!$A$27,"SEFIS",U$52,"CANT",[2]Tablas!#REF!),0)</f>
        <v>0</v>
      </c>
      <c r="V16" s="15">
        <f ca="1">IFERROR(GETPIVOTDATA("Cuenta de CANT",Tabla9,"PROV",[2]Tablas!$A$27,"SEFIS",V$52,"CANT",[2]Tablas!#REF!),0)</f>
        <v>0</v>
      </c>
      <c r="W16" s="15">
        <f ca="1">IFERROR(GETPIVOTDATA("Cuenta de CANT",Tabla9,"PROV",[2]Tablas!$A$27,"SEFIS",W$52,"CANT",[2]Tablas!#REF!),0)</f>
        <v>0</v>
      </c>
      <c r="X16" s="15">
        <f ca="1">IFERROR(GETPIVOTDATA("Cuenta de CANT",Tabla9,"PROV",[2]Tablas!$A$27,"SEFIS",X$52,"CANT",[2]Tablas!#REF!),0)</f>
        <v>0</v>
      </c>
      <c r="Y16" s="15">
        <f ca="1">IFERROR(GETPIVOTDATA("Cuenta de CANT",Tabla9,"PROV",[2]Tablas!$A$27,"SEFIS",Y$52,"CANT",[2]Tablas!#REF!),0)</f>
        <v>1</v>
      </c>
      <c r="Z16" s="15">
        <f ca="1">IFERROR(GETPIVOTDATA("Cuenta de CANT",Tabla9,"PROV",[2]Tablas!$A$27,"SEFIS",Z$52,"CANT",[2]Tablas!#REF!),0)</f>
        <v>0</v>
      </c>
      <c r="AA16" s="15">
        <f ca="1">IFERROR(GETPIVOTDATA("Cuenta de CANT",Tabla9,"PROV",[2]Tablas!$A$27,"SEFIS",AA$52,"CANT",[2]Tablas!#REF!),0)</f>
        <v>1</v>
      </c>
      <c r="AB16" s="15">
        <f ca="1">IFERROR(GETPIVOTDATA("Cuenta de CANT",Tabla9,"PROV",[2]Tablas!$A$27,"SEFIS",AB$52,"CANT",[2]Tablas!#REF!),0)</f>
        <v>0</v>
      </c>
      <c r="AC16" s="15">
        <f ca="1">IFERROR(GETPIVOTDATA("Cuenta de CANT",Tabla9,"PROV",[2]Tablas!$A$27,"SEFIS",AC$52,"CANT",[2]Tablas!#REF!),0)</f>
        <v>0</v>
      </c>
      <c r="AD16" s="15">
        <f ca="1">IFERROR(GETPIVOTDATA("Cuenta de CANT",Tabla9,"PROV",[2]Tablas!$A$27,"SEFIS",AD$52,"CANT",[2]Tablas!#REF!),0)</f>
        <v>0</v>
      </c>
      <c r="AE16" s="15">
        <f ca="1">IFERROR(GETPIVOTDATA("Cuenta de CANT",Tabla9,"PROV",[2]Tablas!$A$27,"SEFIS",AE$52,"CANT",[2]Tablas!#REF!),0)</f>
        <v>0</v>
      </c>
      <c r="AF16" s="15">
        <f ca="1">IFERROR(GETPIVOTDATA("Cuenta de CANT",Tabla9,"PROV",[2]Tablas!$A$27,"SEFIS",AF$52,"CANT",[2]Tablas!#REF!),0)</f>
        <v>0</v>
      </c>
      <c r="AG16" s="15">
        <f ca="1">IFERROR(GETPIVOTDATA("Cuenta de CANT",Tabla9,"PROV",[2]Tablas!$A$27,"SEFIS",AG$52,"CANT",[2]Tablas!#REF!),0)</f>
        <v>0</v>
      </c>
      <c r="AH16" s="15">
        <f ca="1">IFERROR(GETPIVOTDATA("Cuenta de CANT",Tabla9,"PROV",[2]Tablas!$A$27,"SEFIS",AH$52,"CANT",[2]Tablas!#REF!),0)</f>
        <v>0</v>
      </c>
      <c r="AI16" s="15">
        <f ca="1">IFERROR(GETPIVOTDATA("Cuenta de CANT",Tabla9,"PROV",[2]Tablas!$A$27,"SEFIS",AI$52,"CANT",[2]Tablas!#REF!),0)</f>
        <v>0</v>
      </c>
      <c r="AJ16" s="15">
        <f ca="1">IFERROR(GETPIVOTDATA("Cuenta de CANT",Tabla9,"PROV",[2]Tablas!$A$27,"SEFIS",AJ$52,"CANT",[2]Tablas!#REF!),0)</f>
        <v>0</v>
      </c>
      <c r="AK16" s="15">
        <f ca="1">IFERROR(GETPIVOTDATA("Cuenta de CANT",Tabla9,"PROV",[2]Tablas!$A$27,"SEFIS",AK$52,"CANT",[2]Tablas!#REF!),0)</f>
        <v>0</v>
      </c>
      <c r="AL16" s="15">
        <f ca="1">IFERROR(GETPIVOTDATA("Cuenta de CANT",Tabla9,"PROV",[2]Tablas!$A$27,"SEFIS",AL$52,"CANT",[2]Tablas!#REF!),0)</f>
        <v>0</v>
      </c>
      <c r="AM16" s="15">
        <f ca="1">IFERROR(GETPIVOTDATA("Cuenta de CANT",Tabla9,"PROV",[2]Tablas!$A$27,"SEFIS",AM$52,"CANT",[2]Tablas!#REF!),0)</f>
        <v>0</v>
      </c>
      <c r="AN16" s="15">
        <f ca="1">IFERROR(GETPIVOTDATA("Cuenta de CANT",Tabla9,"PROV",[2]Tablas!$A$27,"SEFIS",AN$52,"CANT",[2]Tablas!#REF!),0)</f>
        <v>0</v>
      </c>
      <c r="AO16" s="15">
        <f ca="1">IFERROR(GETPIVOTDATA("Cuenta de CANT",Tabla9,"PROV",[2]Tablas!$A$27,"SEFIS",AO$52,"CANT",[2]Tablas!#REF!),0)</f>
        <v>1</v>
      </c>
      <c r="AP16" s="15">
        <f ca="1">IFERROR(GETPIVOTDATA("Cuenta de CANT",Tabla9,"PROV",[2]Tablas!$A$27,"SEFIS",AP$52,"CANT",[2]Tablas!#REF!),0)</f>
        <v>0</v>
      </c>
      <c r="AQ16" s="15">
        <f ca="1">IFERROR(GETPIVOTDATA("Cuenta de CANT",Tabla9,"PROV",[2]Tablas!$A$27,"SEFIS",AQ$52,"CANT",[2]Tablas!#REF!),0)</f>
        <v>0</v>
      </c>
      <c r="AR16" s="15">
        <f ca="1">IFERROR(GETPIVOTDATA("Cuenta de CANT",Tabla9,"PROV",[2]Tablas!$A$27,"SEFIS",AR$52,"CANT",[2]Tablas!#REF!),0)</f>
        <v>0</v>
      </c>
      <c r="AS16" s="15">
        <f ca="1">IFERROR(GETPIVOTDATA("Cuenta de CANT",Tabla9,"PROV",[2]Tablas!$A$27,"SEFIS",AS$52,"CANT",[2]Tablas!#REF!),0)</f>
        <v>0</v>
      </c>
      <c r="AT16" s="15">
        <f ca="1">IFERROR(GETPIVOTDATA("Cuenta de CANT",Tabla9,"PROV",[2]Tablas!$A$27,"SEFIS",AT$52,"CANT",[2]Tablas!#REF!),0)</f>
        <v>0</v>
      </c>
      <c r="AU16" s="15">
        <f ca="1">IFERROR(GETPIVOTDATA("Cuenta de CANT",Tabla9,"PROV",[2]Tablas!$A$27,"SEFIS",AU$52,"CANT",[2]Tablas!#REF!),0)</f>
        <v>1</v>
      </c>
      <c r="AV16" s="15">
        <f ca="1">IFERROR(GETPIVOTDATA("Cuenta de CANT",Tabla9,"PROV",[2]Tablas!$A$27,"SEFIS",AV$52,"CANT",[2]Tablas!#REF!),0)</f>
        <v>2</v>
      </c>
      <c r="AW16" s="15">
        <f ca="1">IFERROR(GETPIVOTDATA("Cuenta de CANT",Tabla9,"PROV",[2]Tablas!$A$27,"SEFIS",AW$52,"CANT",[2]Tablas!#REF!),0)</f>
        <v>0</v>
      </c>
      <c r="AX16" s="15">
        <f ca="1">IFERROR(GETPIVOTDATA("Cuenta de CANT",Tabla9,"PROV",[2]Tablas!$A$27,"SEFIS",AX$52,"CANT",[2]Tablas!#REF!),0)</f>
        <v>0</v>
      </c>
      <c r="AY16" s="15">
        <f ca="1">IFERROR(GETPIVOTDATA("Cuenta de CANT",Tabla9,"PROV",[2]Tablas!$A$27,"SEFIS",AY$52,"CANT",[2]Tablas!#REF!),0)</f>
        <v>0</v>
      </c>
      <c r="AZ16" s="15">
        <f ca="1">IFERROR(GETPIVOTDATA("Cuenta de CANT",Tabla9,"PROV",[2]Tablas!$A$27,"SEFIS",AZ$52,"CANT",[2]Tablas!#REF!),0)</f>
        <v>0</v>
      </c>
      <c r="BA16" s="15">
        <f ca="1">IFERROR(GETPIVOTDATA("Cuenta de CANT",Tabla9,"PROV",[2]Tablas!$A$27,"SEFIS",BA$52,"CANT",[2]Tablas!#REF!),0)</f>
        <v>0</v>
      </c>
      <c r="BB16" s="15">
        <f ca="1">IFERROR(GETPIVOTDATA("Cuenta de CANT",Tabla9,"PROV",[2]Tablas!$A$27,"SEFIS",BB$52,"CANT",[2]Tablas!#REF!),0)</f>
        <v>0</v>
      </c>
      <c r="BC16" s="15">
        <f ca="1">IFERROR(GETPIVOTDATA("Cuenta de CANT",Tabla9,"PROV",[2]Tablas!$A$27,"SEFIS",BC$52,"CANT",[2]Tablas!#REF!),0)</f>
        <v>0</v>
      </c>
      <c r="BD16" s="15">
        <f ca="1">IFERROR(GETPIVOTDATA("Cuenta de CANT",Tabla9,"PROV",[2]Tablas!$A$27,"SEFIS",BD$52,"CANT",[2]Tablas!#REF!),0)</f>
        <v>0</v>
      </c>
    </row>
    <row r="17" spans="1:56" x14ac:dyDescent="0.35">
      <c r="A17" s="14" t="s">
        <v>115</v>
      </c>
      <c r="B17" s="15">
        <f t="shared" ca="1" si="2"/>
        <v>3</v>
      </c>
      <c r="C17" s="16">
        <f ca="1">IFERROR(B17/[2]Tablas!#REF!*100000,"N/D")</f>
        <v>16.654638316771223</v>
      </c>
      <c r="D17" s="15">
        <f ca="1">IFERROR(GETPIVOTDATA("Cuenta de CANT",Tabla9,"PROV",[2]Tablas!$A$27,"SEFIS",D$52,"CANT",[2]Tablas!#REF!),0)</f>
        <v>0</v>
      </c>
      <c r="E17" s="15">
        <f ca="1">IFERROR(GETPIVOTDATA("Cuenta de CANT",Tabla9,"PROV",[2]Tablas!$A$27,"SEFIS",E$52,"CANT",[2]Tablas!#REF!),0)</f>
        <v>0</v>
      </c>
      <c r="F17" s="15">
        <f ca="1">IFERROR(GETPIVOTDATA("Cuenta de CANT",Tabla9,"PROV",[2]Tablas!$A$27,"SEFIS",F$52,"CANT",[2]Tablas!#REF!),0)</f>
        <v>0</v>
      </c>
      <c r="G17" s="15">
        <f ca="1">IFERROR(GETPIVOTDATA("Cuenta de CANT",Tabla9,"PROV",[2]Tablas!$A$27,"SEFIS",G$52,"CANT",[2]Tablas!#REF!),0)</f>
        <v>0</v>
      </c>
      <c r="H17" s="15">
        <f ca="1">IFERROR(GETPIVOTDATA("Cuenta de CANT",Tabla9,"PROV",[2]Tablas!$A$27,"SEFIS",H$52,"CANT",[2]Tablas!#REF!),0)</f>
        <v>0</v>
      </c>
      <c r="I17" s="15">
        <f ca="1">IFERROR(GETPIVOTDATA("Cuenta de CANT",Tabla9,"PROV",[2]Tablas!$A$27,"SEFIS",I$52,"CANT",[2]Tablas!#REF!),0)</f>
        <v>0</v>
      </c>
      <c r="J17" s="15">
        <f ca="1">IFERROR(GETPIVOTDATA("Cuenta de CANT",Tabla9,"PROV",[2]Tablas!$A$27,"SEFIS",J$52,"CANT",[2]Tablas!#REF!),0)</f>
        <v>0</v>
      </c>
      <c r="K17" s="15">
        <f ca="1">IFERROR(GETPIVOTDATA("Cuenta de CANT",Tabla9,"PROV",[2]Tablas!$A$27,"SEFIS",K$52,"CANT",[2]Tablas!#REF!),0)</f>
        <v>0</v>
      </c>
      <c r="L17" s="15">
        <f ca="1">IFERROR(GETPIVOTDATA("Cuenta de CANT",Tabla9,"PROV",[2]Tablas!$A$27,"SEFIS",L$52,"CANT",[2]Tablas!#REF!),0)</f>
        <v>1</v>
      </c>
      <c r="M17" s="15">
        <f ca="1">IFERROR(GETPIVOTDATA("Cuenta de CANT",Tabla9,"PROV",[2]Tablas!$A$27,"SEFIS",M$52,"CANT",[2]Tablas!#REF!),0)</f>
        <v>0</v>
      </c>
      <c r="N17" s="15">
        <f ca="1">IFERROR(GETPIVOTDATA("Cuenta de CANT",Tabla9,"PROV",[2]Tablas!$A$27,"SEFIS",N$52,"CANT",[2]Tablas!#REF!),0)</f>
        <v>0</v>
      </c>
      <c r="O17" s="15">
        <f ca="1">IFERROR(GETPIVOTDATA("Cuenta de CANT",Tabla9,"PROV",[2]Tablas!$A$27,"SEFIS",O$52,"CANT",[2]Tablas!#REF!),0)</f>
        <v>0</v>
      </c>
      <c r="P17" s="15">
        <f ca="1">IFERROR(GETPIVOTDATA("Cuenta de CANT",Tabla9,"PROV",[2]Tablas!$A$27,"SEFIS",P$52,"CANT",[2]Tablas!#REF!),0)</f>
        <v>1</v>
      </c>
      <c r="Q17" s="15">
        <f ca="1">IFERROR(GETPIVOTDATA("Cuenta de CANT",Tabla9,"PROV",[2]Tablas!$A$27,"SEFIS",Q$52,"CANT",[2]Tablas!#REF!),0)</f>
        <v>0</v>
      </c>
      <c r="R17" s="15">
        <f ca="1">IFERROR(GETPIVOTDATA("Cuenta de CANT",Tabla9,"PROV",[2]Tablas!$A$27,"SEFIS",R$52,"CANT",[2]Tablas!#REF!),0)</f>
        <v>0</v>
      </c>
      <c r="S17" s="15">
        <f ca="1">IFERROR(GETPIVOTDATA("Cuenta de CANT",Tabla9,"PROV",[2]Tablas!$A$27,"SEFIS",S$52,"CANT",[2]Tablas!#REF!),0)</f>
        <v>0</v>
      </c>
      <c r="T17" s="15">
        <f ca="1">IFERROR(GETPIVOTDATA("Cuenta de CANT",Tabla9,"PROV",[2]Tablas!$A$27,"SEFIS",T$52,"CANT",[2]Tablas!#REF!),0)</f>
        <v>0</v>
      </c>
      <c r="U17" s="15">
        <f ca="1">IFERROR(GETPIVOTDATA("Cuenta de CANT",Tabla9,"PROV",[2]Tablas!$A$27,"SEFIS",U$52,"CANT",[2]Tablas!#REF!),0)</f>
        <v>0</v>
      </c>
      <c r="V17" s="15">
        <f ca="1">IFERROR(GETPIVOTDATA("Cuenta de CANT",Tabla9,"PROV",[2]Tablas!$A$27,"SEFIS",V$52,"CANT",[2]Tablas!#REF!),0)</f>
        <v>0</v>
      </c>
      <c r="W17" s="15">
        <f ca="1">IFERROR(GETPIVOTDATA("Cuenta de CANT",Tabla9,"PROV",[2]Tablas!$A$27,"SEFIS",W$52,"CANT",[2]Tablas!#REF!),0)</f>
        <v>0</v>
      </c>
      <c r="X17" s="15">
        <f ca="1">IFERROR(GETPIVOTDATA("Cuenta de CANT",Tabla9,"PROV",[2]Tablas!$A$27,"SEFIS",X$52,"CANT",[2]Tablas!#REF!),0)</f>
        <v>0</v>
      </c>
      <c r="Y17" s="15">
        <f ca="1">IFERROR(GETPIVOTDATA("Cuenta de CANT",Tabla9,"PROV",[2]Tablas!$A$27,"SEFIS",Y$52,"CANT",[2]Tablas!#REF!),0)</f>
        <v>0</v>
      </c>
      <c r="Z17" s="15">
        <f ca="1">IFERROR(GETPIVOTDATA("Cuenta de CANT",Tabla9,"PROV",[2]Tablas!$A$27,"SEFIS",Z$52,"CANT",[2]Tablas!#REF!),0)</f>
        <v>0</v>
      </c>
      <c r="AA17" s="15">
        <f ca="1">IFERROR(GETPIVOTDATA("Cuenta de CANT",Tabla9,"PROV",[2]Tablas!$A$27,"SEFIS",AA$52,"CANT",[2]Tablas!#REF!),0)</f>
        <v>0</v>
      </c>
      <c r="AB17" s="15">
        <f ca="1">IFERROR(GETPIVOTDATA("Cuenta de CANT",Tabla9,"PROV",[2]Tablas!$A$27,"SEFIS",AB$52,"CANT",[2]Tablas!#REF!),0)</f>
        <v>0</v>
      </c>
      <c r="AC17" s="15">
        <f ca="1">IFERROR(GETPIVOTDATA("Cuenta de CANT",Tabla9,"PROV",[2]Tablas!$A$27,"SEFIS",AC$52,"CANT",[2]Tablas!#REF!),0)</f>
        <v>0</v>
      </c>
      <c r="AD17" s="15">
        <f ca="1">IFERROR(GETPIVOTDATA("Cuenta de CANT",Tabla9,"PROV",[2]Tablas!$A$27,"SEFIS",AD$52,"CANT",[2]Tablas!#REF!),0)</f>
        <v>0</v>
      </c>
      <c r="AE17" s="15">
        <f ca="1">IFERROR(GETPIVOTDATA("Cuenta de CANT",Tabla9,"PROV",[2]Tablas!$A$27,"SEFIS",AE$52,"CANT",[2]Tablas!#REF!),0)</f>
        <v>0</v>
      </c>
      <c r="AF17" s="15">
        <f ca="1">IFERROR(GETPIVOTDATA("Cuenta de CANT",Tabla9,"PROV",[2]Tablas!$A$27,"SEFIS",AF$52,"CANT",[2]Tablas!#REF!),0)</f>
        <v>0</v>
      </c>
      <c r="AG17" s="15">
        <f ca="1">IFERROR(GETPIVOTDATA("Cuenta de CANT",Tabla9,"PROV",[2]Tablas!$A$27,"SEFIS",AG$52,"CANT",[2]Tablas!#REF!),0)</f>
        <v>0</v>
      </c>
      <c r="AH17" s="15">
        <f ca="1">IFERROR(GETPIVOTDATA("Cuenta de CANT",Tabla9,"PROV",[2]Tablas!$A$27,"SEFIS",AH$52,"CANT",[2]Tablas!#REF!),0)</f>
        <v>0</v>
      </c>
      <c r="AI17" s="15">
        <f ca="1">IFERROR(GETPIVOTDATA("Cuenta de CANT",Tabla9,"PROV",[2]Tablas!$A$27,"SEFIS",AI$52,"CANT",[2]Tablas!#REF!),0)</f>
        <v>0</v>
      </c>
      <c r="AJ17" s="15">
        <f ca="1">IFERROR(GETPIVOTDATA("Cuenta de CANT",Tabla9,"PROV",[2]Tablas!$A$27,"SEFIS",AJ$52,"CANT",[2]Tablas!#REF!),0)</f>
        <v>0</v>
      </c>
      <c r="AK17" s="15">
        <f ca="1">IFERROR(GETPIVOTDATA("Cuenta de CANT",Tabla9,"PROV",[2]Tablas!$A$27,"SEFIS",AK$52,"CANT",[2]Tablas!#REF!),0)</f>
        <v>0</v>
      </c>
      <c r="AL17" s="15">
        <f ca="1">IFERROR(GETPIVOTDATA("Cuenta de CANT",Tabla9,"PROV",[2]Tablas!$A$27,"SEFIS",AL$52,"CANT",[2]Tablas!#REF!),0)</f>
        <v>0</v>
      </c>
      <c r="AM17" s="15">
        <f ca="1">IFERROR(GETPIVOTDATA("Cuenta de CANT",Tabla9,"PROV",[2]Tablas!$A$27,"SEFIS",AM$52,"CANT",[2]Tablas!#REF!),0)</f>
        <v>0</v>
      </c>
      <c r="AN17" s="15">
        <f ca="1">IFERROR(GETPIVOTDATA("Cuenta de CANT",Tabla9,"PROV",[2]Tablas!$A$27,"SEFIS",AN$52,"CANT",[2]Tablas!#REF!),0)</f>
        <v>0</v>
      </c>
      <c r="AO17" s="15">
        <f ca="1">IFERROR(GETPIVOTDATA("Cuenta de CANT",Tabla9,"PROV",[2]Tablas!$A$27,"SEFIS",AO$52,"CANT",[2]Tablas!#REF!),0)</f>
        <v>0</v>
      </c>
      <c r="AP17" s="15">
        <f ca="1">IFERROR(GETPIVOTDATA("Cuenta de CANT",Tabla9,"PROV",[2]Tablas!$A$27,"SEFIS",AP$52,"CANT",[2]Tablas!#REF!),0)</f>
        <v>0</v>
      </c>
      <c r="AQ17" s="15">
        <f ca="1">IFERROR(GETPIVOTDATA("Cuenta de CANT",Tabla9,"PROV",[2]Tablas!$A$27,"SEFIS",AQ$52,"CANT",[2]Tablas!#REF!),0)</f>
        <v>0</v>
      </c>
      <c r="AR17" s="15">
        <f ca="1">IFERROR(GETPIVOTDATA("Cuenta de CANT",Tabla9,"PROV",[2]Tablas!$A$27,"SEFIS",AR$52,"CANT",[2]Tablas!#REF!),0)</f>
        <v>0</v>
      </c>
      <c r="AS17" s="15">
        <f ca="1">IFERROR(GETPIVOTDATA("Cuenta de CANT",Tabla9,"PROV",[2]Tablas!$A$27,"SEFIS",AS$52,"CANT",[2]Tablas!#REF!),0)</f>
        <v>0</v>
      </c>
      <c r="AT17" s="15">
        <f ca="1">IFERROR(GETPIVOTDATA("Cuenta de CANT",Tabla9,"PROV",[2]Tablas!$A$27,"SEFIS",AT$52,"CANT",[2]Tablas!#REF!),0)</f>
        <v>0</v>
      </c>
      <c r="AU17" s="15">
        <f ca="1">IFERROR(GETPIVOTDATA("Cuenta de CANT",Tabla9,"PROV",[2]Tablas!$A$27,"SEFIS",AU$52,"CANT",[2]Tablas!#REF!),0)</f>
        <v>0</v>
      </c>
      <c r="AV17" s="15">
        <f ca="1">IFERROR(GETPIVOTDATA("Cuenta de CANT",Tabla9,"PROV",[2]Tablas!$A$27,"SEFIS",AV$52,"CANT",[2]Tablas!#REF!),0)</f>
        <v>0</v>
      </c>
      <c r="AW17" s="15">
        <f ca="1">IFERROR(GETPIVOTDATA("Cuenta de CANT",Tabla9,"PROV",[2]Tablas!$A$27,"SEFIS",AW$52,"CANT",[2]Tablas!#REF!),0)</f>
        <v>0</v>
      </c>
      <c r="AX17" s="15">
        <f ca="1">IFERROR(GETPIVOTDATA("Cuenta de CANT",Tabla9,"PROV",[2]Tablas!$A$27,"SEFIS",AX$52,"CANT",[2]Tablas!#REF!),0)</f>
        <v>0</v>
      </c>
      <c r="AY17" s="15">
        <f ca="1">IFERROR(GETPIVOTDATA("Cuenta de CANT",Tabla9,"PROV",[2]Tablas!$A$27,"SEFIS",AY$52,"CANT",[2]Tablas!#REF!),0)</f>
        <v>1</v>
      </c>
      <c r="AZ17" s="15">
        <f ca="1">IFERROR(GETPIVOTDATA("Cuenta de CANT",Tabla9,"PROV",[2]Tablas!$A$27,"SEFIS",AZ$52,"CANT",[2]Tablas!#REF!),0)</f>
        <v>0</v>
      </c>
      <c r="BA17" s="15">
        <f ca="1">IFERROR(GETPIVOTDATA("Cuenta de CANT",Tabla9,"PROV",[2]Tablas!$A$27,"SEFIS",BA$52,"CANT",[2]Tablas!#REF!),0)</f>
        <v>0</v>
      </c>
      <c r="BB17" s="15">
        <f ca="1">IFERROR(GETPIVOTDATA("Cuenta de CANT",Tabla9,"PROV",[2]Tablas!$A$27,"SEFIS",BB$52,"CANT",[2]Tablas!#REF!),0)</f>
        <v>0</v>
      </c>
      <c r="BC17" s="15">
        <f ca="1">IFERROR(GETPIVOTDATA("Cuenta de CANT",Tabla9,"PROV",[2]Tablas!$A$27,"SEFIS",BC$52,"CANT",[2]Tablas!#REF!),0)</f>
        <v>0</v>
      </c>
      <c r="BD17" s="15">
        <f ca="1">IFERROR(GETPIVOTDATA("Cuenta de CANT",Tabla9,"PROV",[2]Tablas!$A$27,"SEFIS",BD$52,"CANT",[2]Tablas!#REF!),0)</f>
        <v>0</v>
      </c>
    </row>
    <row r="18" spans="1:56" x14ac:dyDescent="0.35">
      <c r="A18" s="14" t="s">
        <v>116</v>
      </c>
      <c r="B18" s="15">
        <f t="shared" ca="1" si="2"/>
        <v>22</v>
      </c>
      <c r="C18" s="16">
        <f ca="1">IFERROR(B18/[2]Tablas!#REF!*100000,"N/D")</f>
        <v>35.000636375206824</v>
      </c>
      <c r="D18" s="15">
        <f ca="1">IFERROR(GETPIVOTDATA("Cuenta de CANT",Tabla9,"PROV",[2]Tablas!$A$27,"SEFIS",D$52,"CANT",[2]Tablas!#REF!),0)</f>
        <v>0</v>
      </c>
      <c r="E18" s="15">
        <f ca="1">IFERROR(GETPIVOTDATA("Cuenta de CANT",Tabla9,"PROV",[2]Tablas!$A$27,"SEFIS",E$52,"CANT",[2]Tablas!#REF!),0)</f>
        <v>1</v>
      </c>
      <c r="F18" s="15">
        <f ca="1">IFERROR(GETPIVOTDATA("Cuenta de CANT",Tabla9,"PROV",[2]Tablas!$A$27,"SEFIS",F$52,"CANT",[2]Tablas!#REF!),0)</f>
        <v>1</v>
      </c>
      <c r="G18" s="15">
        <f ca="1">IFERROR(GETPIVOTDATA("Cuenta de CANT",Tabla9,"PROV",[2]Tablas!$A$27,"SEFIS",G$52,"CANT",[2]Tablas!#REF!),0)</f>
        <v>1</v>
      </c>
      <c r="H18" s="15">
        <f ca="1">IFERROR(GETPIVOTDATA("Cuenta de CANT",Tabla9,"PROV",[2]Tablas!$A$27,"SEFIS",H$52,"CANT",[2]Tablas!#REF!),0)</f>
        <v>0</v>
      </c>
      <c r="I18" s="15">
        <f ca="1">IFERROR(GETPIVOTDATA("Cuenta de CANT",Tabla9,"PROV",[2]Tablas!$A$27,"SEFIS",I$52,"CANT",[2]Tablas!#REF!),0)</f>
        <v>0</v>
      </c>
      <c r="J18" s="15">
        <f ca="1">IFERROR(GETPIVOTDATA("Cuenta de CANT",Tabla9,"PROV",[2]Tablas!$A$27,"SEFIS",J$52,"CANT",[2]Tablas!#REF!),0)</f>
        <v>1</v>
      </c>
      <c r="K18" s="15">
        <f ca="1">IFERROR(GETPIVOTDATA("Cuenta de CANT",Tabla9,"PROV",[2]Tablas!$A$27,"SEFIS",K$52,"CANT",[2]Tablas!#REF!),0)</f>
        <v>1</v>
      </c>
      <c r="L18" s="15">
        <f ca="1">IFERROR(GETPIVOTDATA("Cuenta de CANT",Tabla9,"PROV",[2]Tablas!$A$27,"SEFIS",L$52,"CANT",[2]Tablas!#REF!),0)</f>
        <v>2</v>
      </c>
      <c r="M18" s="15">
        <f ca="1">IFERROR(GETPIVOTDATA("Cuenta de CANT",Tabla9,"PROV",[2]Tablas!$A$27,"SEFIS",M$52,"CANT",[2]Tablas!#REF!),0)</f>
        <v>1</v>
      </c>
      <c r="N18" s="15">
        <f ca="1">IFERROR(GETPIVOTDATA("Cuenta de CANT",Tabla9,"PROV",[2]Tablas!$A$27,"SEFIS",N$52,"CANT",[2]Tablas!#REF!),0)</f>
        <v>0</v>
      </c>
      <c r="O18" s="15">
        <f ca="1">IFERROR(GETPIVOTDATA("Cuenta de CANT",Tabla9,"PROV",[2]Tablas!$A$27,"SEFIS",O$52,"CANT",[2]Tablas!#REF!),0)</f>
        <v>0</v>
      </c>
      <c r="P18" s="15">
        <f ca="1">IFERROR(GETPIVOTDATA("Cuenta de CANT",Tabla9,"PROV",[2]Tablas!$A$27,"SEFIS",P$52,"CANT",[2]Tablas!#REF!),0)</f>
        <v>0</v>
      </c>
      <c r="Q18" s="15">
        <f ca="1">IFERROR(GETPIVOTDATA("Cuenta de CANT",Tabla9,"PROV",[2]Tablas!$A$27,"SEFIS",Q$52,"CANT",[2]Tablas!#REF!),0)</f>
        <v>0</v>
      </c>
      <c r="R18" s="15">
        <f ca="1">IFERROR(GETPIVOTDATA("Cuenta de CANT",Tabla9,"PROV",[2]Tablas!$A$27,"SEFIS",R$52,"CANT",[2]Tablas!#REF!),0)</f>
        <v>0</v>
      </c>
      <c r="S18" s="15">
        <f ca="1">IFERROR(GETPIVOTDATA("Cuenta de CANT",Tabla9,"PROV",[2]Tablas!$A$27,"SEFIS",S$52,"CANT",[2]Tablas!#REF!),0)</f>
        <v>1</v>
      </c>
      <c r="T18" s="15">
        <f ca="1">IFERROR(GETPIVOTDATA("Cuenta de CANT",Tabla9,"PROV",[2]Tablas!$A$27,"SEFIS",T$52,"CANT",[2]Tablas!#REF!),0)</f>
        <v>1</v>
      </c>
      <c r="U18" s="15">
        <f ca="1">IFERROR(GETPIVOTDATA("Cuenta de CANT",Tabla9,"PROV",[2]Tablas!$A$27,"SEFIS",U$52,"CANT",[2]Tablas!#REF!),0)</f>
        <v>0</v>
      </c>
      <c r="V18" s="15">
        <f ca="1">IFERROR(GETPIVOTDATA("Cuenta de CANT",Tabla9,"PROV",[2]Tablas!$A$27,"SEFIS",V$52,"CANT",[2]Tablas!#REF!),0)</f>
        <v>0</v>
      </c>
      <c r="W18" s="15">
        <f ca="1">IFERROR(GETPIVOTDATA("Cuenta de CANT",Tabla9,"PROV",[2]Tablas!$A$27,"SEFIS",W$52,"CANT",[2]Tablas!#REF!),0)</f>
        <v>0</v>
      </c>
      <c r="X18" s="15">
        <f ca="1">IFERROR(GETPIVOTDATA("Cuenta de CANT",Tabla9,"PROV",[2]Tablas!$A$27,"SEFIS",X$52,"CANT",[2]Tablas!#REF!),0)</f>
        <v>0</v>
      </c>
      <c r="Y18" s="15">
        <f ca="1">IFERROR(GETPIVOTDATA("Cuenta de CANT",Tabla9,"PROV",[2]Tablas!$A$27,"SEFIS",Y$52,"CANT",[2]Tablas!#REF!),0)</f>
        <v>0</v>
      </c>
      <c r="Z18" s="15">
        <f ca="1">IFERROR(GETPIVOTDATA("Cuenta de CANT",Tabla9,"PROV",[2]Tablas!$A$27,"SEFIS",Z$52,"CANT",[2]Tablas!#REF!),0)</f>
        <v>0</v>
      </c>
      <c r="AA18" s="15">
        <f ca="1">IFERROR(GETPIVOTDATA("Cuenta de CANT",Tabla9,"PROV",[2]Tablas!$A$27,"SEFIS",AA$52,"CANT",[2]Tablas!#REF!),0)</f>
        <v>0</v>
      </c>
      <c r="AB18" s="15">
        <f ca="1">IFERROR(GETPIVOTDATA("Cuenta de CANT",Tabla9,"PROV",[2]Tablas!$A$27,"SEFIS",AB$52,"CANT",[2]Tablas!#REF!),0)</f>
        <v>0</v>
      </c>
      <c r="AC18" s="15">
        <f ca="1">IFERROR(GETPIVOTDATA("Cuenta de CANT",Tabla9,"PROV",[2]Tablas!$A$27,"SEFIS",AC$52,"CANT",[2]Tablas!#REF!),0)</f>
        <v>0</v>
      </c>
      <c r="AD18" s="15">
        <f ca="1">IFERROR(GETPIVOTDATA("Cuenta de CANT",Tabla9,"PROV",[2]Tablas!$A$27,"SEFIS",AD$52,"CANT",[2]Tablas!#REF!),0)</f>
        <v>2</v>
      </c>
      <c r="AE18" s="15">
        <f ca="1">IFERROR(GETPIVOTDATA("Cuenta de CANT",Tabla9,"PROV",[2]Tablas!$A$27,"SEFIS",AE$52,"CANT",[2]Tablas!#REF!),0)</f>
        <v>0</v>
      </c>
      <c r="AF18" s="15">
        <f ca="1">IFERROR(GETPIVOTDATA("Cuenta de CANT",Tabla9,"PROV",[2]Tablas!$A$27,"SEFIS",AF$52,"CANT",[2]Tablas!#REF!),0)</f>
        <v>0</v>
      </c>
      <c r="AG18" s="15">
        <f ca="1">IFERROR(GETPIVOTDATA("Cuenta de CANT",Tabla9,"PROV",[2]Tablas!$A$27,"SEFIS",AG$52,"CANT",[2]Tablas!#REF!),0)</f>
        <v>0</v>
      </c>
      <c r="AH18" s="15">
        <f ca="1">IFERROR(GETPIVOTDATA("Cuenta de CANT",Tabla9,"PROV",[2]Tablas!$A$27,"SEFIS",AH$52,"CANT",[2]Tablas!#REF!),0)</f>
        <v>0</v>
      </c>
      <c r="AI18" s="15">
        <f ca="1">IFERROR(GETPIVOTDATA("Cuenta de CANT",Tabla9,"PROV",[2]Tablas!$A$27,"SEFIS",AI$52,"CANT",[2]Tablas!#REF!),0)</f>
        <v>0</v>
      </c>
      <c r="AJ18" s="15">
        <f ca="1">IFERROR(GETPIVOTDATA("Cuenta de CANT",Tabla9,"PROV",[2]Tablas!$A$27,"SEFIS",AJ$52,"CANT",[2]Tablas!#REF!),0)</f>
        <v>0</v>
      </c>
      <c r="AK18" s="15">
        <f ca="1">IFERROR(GETPIVOTDATA("Cuenta de CANT",Tabla9,"PROV",[2]Tablas!$A$27,"SEFIS",AK$52,"CANT",[2]Tablas!#REF!),0)</f>
        <v>2</v>
      </c>
      <c r="AL18" s="15">
        <f ca="1">IFERROR(GETPIVOTDATA("Cuenta de CANT",Tabla9,"PROV",[2]Tablas!$A$27,"SEFIS",AL$52,"CANT",[2]Tablas!#REF!),0)</f>
        <v>1</v>
      </c>
      <c r="AM18" s="15">
        <f ca="1">IFERROR(GETPIVOTDATA("Cuenta de CANT",Tabla9,"PROV",[2]Tablas!$A$27,"SEFIS",AM$52,"CANT",[2]Tablas!#REF!),0)</f>
        <v>1</v>
      </c>
      <c r="AN18" s="15">
        <f ca="1">IFERROR(GETPIVOTDATA("Cuenta de CANT",Tabla9,"PROV",[2]Tablas!$A$27,"SEFIS",AN$52,"CANT",[2]Tablas!#REF!),0)</f>
        <v>0</v>
      </c>
      <c r="AO18" s="15">
        <f ca="1">IFERROR(GETPIVOTDATA("Cuenta de CANT",Tabla9,"PROV",[2]Tablas!$A$27,"SEFIS",AO$52,"CANT",[2]Tablas!#REF!),0)</f>
        <v>0</v>
      </c>
      <c r="AP18" s="15">
        <f ca="1">IFERROR(GETPIVOTDATA("Cuenta de CANT",Tabla9,"PROV",[2]Tablas!$A$27,"SEFIS",AP$52,"CANT",[2]Tablas!#REF!),0)</f>
        <v>0</v>
      </c>
      <c r="AQ18" s="15">
        <f ca="1">IFERROR(GETPIVOTDATA("Cuenta de CANT",Tabla9,"PROV",[2]Tablas!$A$27,"SEFIS",AQ$52,"CANT",[2]Tablas!#REF!),0)</f>
        <v>0</v>
      </c>
      <c r="AR18" s="15">
        <f ca="1">IFERROR(GETPIVOTDATA("Cuenta de CANT",Tabla9,"PROV",[2]Tablas!$A$27,"SEFIS",AR$52,"CANT",[2]Tablas!#REF!),0)</f>
        <v>0</v>
      </c>
      <c r="AS18" s="15">
        <f ca="1">IFERROR(GETPIVOTDATA("Cuenta de CANT",Tabla9,"PROV",[2]Tablas!$A$27,"SEFIS",AS$52,"CANT",[2]Tablas!#REF!),0)</f>
        <v>1</v>
      </c>
      <c r="AT18" s="15">
        <f ca="1">IFERROR(GETPIVOTDATA("Cuenta de CANT",Tabla9,"PROV",[2]Tablas!$A$27,"SEFIS",AT$52,"CANT",[2]Tablas!#REF!),0)</f>
        <v>0</v>
      </c>
      <c r="AU18" s="15">
        <f ca="1">IFERROR(GETPIVOTDATA("Cuenta de CANT",Tabla9,"PROV",[2]Tablas!$A$27,"SEFIS",AU$52,"CANT",[2]Tablas!#REF!),0)</f>
        <v>0</v>
      </c>
      <c r="AV18" s="15">
        <f ca="1">IFERROR(GETPIVOTDATA("Cuenta de CANT",Tabla9,"PROV",[2]Tablas!$A$27,"SEFIS",AV$52,"CANT",[2]Tablas!#REF!),0)</f>
        <v>0</v>
      </c>
      <c r="AW18" s="15">
        <f ca="1">IFERROR(GETPIVOTDATA("Cuenta de CANT",Tabla9,"PROV",[2]Tablas!$A$27,"SEFIS",AW$52,"CANT",[2]Tablas!#REF!),0)</f>
        <v>0</v>
      </c>
      <c r="AX18" s="15">
        <f ca="1">IFERROR(GETPIVOTDATA("Cuenta de CANT",Tabla9,"PROV",[2]Tablas!$A$27,"SEFIS",AX$52,"CANT",[2]Tablas!#REF!),0)</f>
        <v>1</v>
      </c>
      <c r="AY18" s="15">
        <f ca="1">IFERROR(GETPIVOTDATA("Cuenta de CANT",Tabla9,"PROV",[2]Tablas!$A$27,"SEFIS",AY$52,"CANT",[2]Tablas!#REF!),0)</f>
        <v>1</v>
      </c>
      <c r="AZ18" s="15">
        <f ca="1">IFERROR(GETPIVOTDATA("Cuenta de CANT",Tabla9,"PROV",[2]Tablas!$A$27,"SEFIS",AZ$52,"CANT",[2]Tablas!#REF!),0)</f>
        <v>1</v>
      </c>
      <c r="BA18" s="15">
        <f ca="1">IFERROR(GETPIVOTDATA("Cuenta de CANT",Tabla9,"PROV",[2]Tablas!$A$27,"SEFIS",BA$52,"CANT",[2]Tablas!#REF!),0)</f>
        <v>1</v>
      </c>
      <c r="BB18" s="15">
        <f ca="1">IFERROR(GETPIVOTDATA("Cuenta de CANT",Tabla9,"PROV",[2]Tablas!$A$27,"SEFIS",BB$52,"CANT",[2]Tablas!#REF!),0)</f>
        <v>0</v>
      </c>
      <c r="BC18" s="15">
        <f ca="1">IFERROR(GETPIVOTDATA("Cuenta de CANT",Tabla9,"PROV",[2]Tablas!$A$27,"SEFIS",BC$52,"CANT",[2]Tablas!#REF!),0)</f>
        <v>1</v>
      </c>
      <c r="BD18" s="15">
        <f ca="1">IFERROR(GETPIVOTDATA("Cuenta de CANT",Tabla9,"PROV",[2]Tablas!$A$27,"SEFIS",BD$52,"CANT",[2]Tablas!#REF!),0)</f>
        <v>0</v>
      </c>
    </row>
    <row r="19" spans="1:56" x14ac:dyDescent="0.35">
      <c r="A19" s="14" t="s">
        <v>117</v>
      </c>
      <c r="B19" s="15">
        <f t="shared" ca="1" si="2"/>
        <v>20</v>
      </c>
      <c r="C19" s="16">
        <f ca="1">IFERROR(B19/[2]Tablas!#REF!*100000,"N/D")</f>
        <v>69.432390210032978</v>
      </c>
      <c r="D19" s="15">
        <f ca="1">IFERROR(GETPIVOTDATA("Cuenta de CANT",Tabla9,"PROV",[2]Tablas!$A$27,"SEFIS",D$52,"CANT",[2]Tablas!#REF!),0)</f>
        <v>1</v>
      </c>
      <c r="E19" s="15">
        <f ca="1">IFERROR(GETPIVOTDATA("Cuenta de CANT",Tabla9,"PROV",[2]Tablas!$A$27,"SEFIS",E$52,"CANT",[2]Tablas!#REF!),0)</f>
        <v>3</v>
      </c>
      <c r="F19" s="15">
        <f ca="1">IFERROR(GETPIVOTDATA("Cuenta de CANT",Tabla9,"PROV",[2]Tablas!$A$27,"SEFIS",F$52,"CANT",[2]Tablas!#REF!),0)</f>
        <v>0</v>
      </c>
      <c r="G19" s="15">
        <f ca="1">IFERROR(GETPIVOTDATA("Cuenta de CANT",Tabla9,"PROV",[2]Tablas!$A$27,"SEFIS",G$52,"CANT",[2]Tablas!#REF!),0)</f>
        <v>0</v>
      </c>
      <c r="H19" s="15">
        <f ca="1">IFERROR(GETPIVOTDATA("Cuenta de CANT",Tabla9,"PROV",[2]Tablas!$A$27,"SEFIS",H$52,"CANT",[2]Tablas!#REF!),0)</f>
        <v>0</v>
      </c>
      <c r="I19" s="15">
        <f ca="1">IFERROR(GETPIVOTDATA("Cuenta de CANT",Tabla9,"PROV",[2]Tablas!$A$27,"SEFIS",I$52,"CANT",[2]Tablas!#REF!),0)</f>
        <v>1</v>
      </c>
      <c r="J19" s="15">
        <f ca="1">IFERROR(GETPIVOTDATA("Cuenta de CANT",Tabla9,"PROV",[2]Tablas!$A$27,"SEFIS",J$52,"CANT",[2]Tablas!#REF!),0)</f>
        <v>0</v>
      </c>
      <c r="K19" s="15">
        <f ca="1">IFERROR(GETPIVOTDATA("Cuenta de CANT",Tabla9,"PROV",[2]Tablas!$A$27,"SEFIS",K$52,"CANT",[2]Tablas!#REF!),0)</f>
        <v>2</v>
      </c>
      <c r="L19" s="15">
        <f ca="1">IFERROR(GETPIVOTDATA("Cuenta de CANT",Tabla9,"PROV",[2]Tablas!$A$27,"SEFIS",L$52,"CANT",[2]Tablas!#REF!),0)</f>
        <v>2</v>
      </c>
      <c r="M19" s="15">
        <f ca="1">IFERROR(GETPIVOTDATA("Cuenta de CANT",Tabla9,"PROV",[2]Tablas!$A$27,"SEFIS",M$52,"CANT",[2]Tablas!#REF!),0)</f>
        <v>0</v>
      </c>
      <c r="N19" s="15">
        <f ca="1">IFERROR(GETPIVOTDATA("Cuenta de CANT",Tabla9,"PROV",[2]Tablas!$A$27,"SEFIS",N$52,"CANT",[2]Tablas!#REF!),0)</f>
        <v>0</v>
      </c>
      <c r="O19" s="15">
        <f ca="1">IFERROR(GETPIVOTDATA("Cuenta de CANT",Tabla9,"PROV",[2]Tablas!$A$27,"SEFIS",O$52,"CANT",[2]Tablas!#REF!),0)</f>
        <v>1</v>
      </c>
      <c r="P19" s="15">
        <f ca="1">IFERROR(GETPIVOTDATA("Cuenta de CANT",Tabla9,"PROV",[2]Tablas!$A$27,"SEFIS",P$52,"CANT",[2]Tablas!#REF!),0)</f>
        <v>0</v>
      </c>
      <c r="Q19" s="15">
        <f ca="1">IFERROR(GETPIVOTDATA("Cuenta de CANT",Tabla9,"PROV",[2]Tablas!$A$27,"SEFIS",Q$52,"CANT",[2]Tablas!#REF!),0)</f>
        <v>1</v>
      </c>
      <c r="R19" s="15">
        <f ca="1">IFERROR(GETPIVOTDATA("Cuenta de CANT",Tabla9,"PROV",[2]Tablas!$A$27,"SEFIS",R$52,"CANT",[2]Tablas!#REF!),0)</f>
        <v>0</v>
      </c>
      <c r="S19" s="15">
        <f ca="1">IFERROR(GETPIVOTDATA("Cuenta de CANT",Tabla9,"PROV",[2]Tablas!$A$27,"SEFIS",S$52,"CANT",[2]Tablas!#REF!),0)</f>
        <v>0</v>
      </c>
      <c r="T19" s="15">
        <f ca="1">IFERROR(GETPIVOTDATA("Cuenta de CANT",Tabla9,"PROV",[2]Tablas!$A$27,"SEFIS",T$52,"CANT",[2]Tablas!#REF!),0)</f>
        <v>0</v>
      </c>
      <c r="U19" s="15">
        <f ca="1">IFERROR(GETPIVOTDATA("Cuenta de CANT",Tabla9,"PROV",[2]Tablas!$A$27,"SEFIS",U$52,"CANT",[2]Tablas!#REF!),0)</f>
        <v>0</v>
      </c>
      <c r="V19" s="15">
        <f ca="1">IFERROR(GETPIVOTDATA("Cuenta de CANT",Tabla9,"PROV",[2]Tablas!$A$27,"SEFIS",V$52,"CANT",[2]Tablas!#REF!),0)</f>
        <v>0</v>
      </c>
      <c r="W19" s="15">
        <f ca="1">IFERROR(GETPIVOTDATA("Cuenta de CANT",Tabla9,"PROV",[2]Tablas!$A$27,"SEFIS",W$52,"CANT",[2]Tablas!#REF!),0)</f>
        <v>1</v>
      </c>
      <c r="X19" s="15">
        <f ca="1">IFERROR(GETPIVOTDATA("Cuenta de CANT",Tabla9,"PROV",[2]Tablas!$A$27,"SEFIS",X$52,"CANT",[2]Tablas!#REF!),0)</f>
        <v>0</v>
      </c>
      <c r="Y19" s="15">
        <f ca="1">IFERROR(GETPIVOTDATA("Cuenta de CANT",Tabla9,"PROV",[2]Tablas!$A$27,"SEFIS",Y$52,"CANT",[2]Tablas!#REF!),0)</f>
        <v>0</v>
      </c>
      <c r="Z19" s="15">
        <f ca="1">IFERROR(GETPIVOTDATA("Cuenta de CANT",Tabla9,"PROV",[2]Tablas!$A$27,"SEFIS",Z$52,"CANT",[2]Tablas!#REF!),0)</f>
        <v>0</v>
      </c>
      <c r="AA19" s="15">
        <f ca="1">IFERROR(GETPIVOTDATA("Cuenta de CANT",Tabla9,"PROV",[2]Tablas!$A$27,"SEFIS",AA$52,"CANT",[2]Tablas!#REF!),0)</f>
        <v>0</v>
      </c>
      <c r="AB19" s="15">
        <f ca="1">IFERROR(GETPIVOTDATA("Cuenta de CANT",Tabla9,"PROV",[2]Tablas!$A$27,"SEFIS",AB$52,"CANT",[2]Tablas!#REF!),0)</f>
        <v>0</v>
      </c>
      <c r="AC19" s="15">
        <f ca="1">IFERROR(GETPIVOTDATA("Cuenta de CANT",Tabla9,"PROV",[2]Tablas!$A$27,"SEFIS",AC$52,"CANT",[2]Tablas!#REF!),0)</f>
        <v>1</v>
      </c>
      <c r="AD19" s="15">
        <f ca="1">IFERROR(GETPIVOTDATA("Cuenta de CANT",Tabla9,"PROV",[2]Tablas!$A$27,"SEFIS",AD$52,"CANT",[2]Tablas!#REF!),0)</f>
        <v>0</v>
      </c>
      <c r="AE19" s="15">
        <f ca="1">IFERROR(GETPIVOTDATA("Cuenta de CANT",Tabla9,"PROV",[2]Tablas!$A$27,"SEFIS",AE$52,"CANT",[2]Tablas!#REF!),0)</f>
        <v>0</v>
      </c>
      <c r="AF19" s="15">
        <f ca="1">IFERROR(GETPIVOTDATA("Cuenta de CANT",Tabla9,"PROV",[2]Tablas!$A$27,"SEFIS",AF$52,"CANT",[2]Tablas!#REF!),0)</f>
        <v>0</v>
      </c>
      <c r="AG19" s="15">
        <f ca="1">IFERROR(GETPIVOTDATA("Cuenta de CANT",Tabla9,"PROV",[2]Tablas!$A$27,"SEFIS",AG$52,"CANT",[2]Tablas!#REF!),0)</f>
        <v>0</v>
      </c>
      <c r="AH19" s="15">
        <f ca="1">IFERROR(GETPIVOTDATA("Cuenta de CANT",Tabla9,"PROV",[2]Tablas!$A$27,"SEFIS",AH$52,"CANT",[2]Tablas!#REF!),0)</f>
        <v>0</v>
      </c>
      <c r="AI19" s="15">
        <f ca="1">IFERROR(GETPIVOTDATA("Cuenta de CANT",Tabla9,"PROV",[2]Tablas!$A$27,"SEFIS",AI$52,"CANT",[2]Tablas!#REF!),0)</f>
        <v>0</v>
      </c>
      <c r="AJ19" s="15">
        <f ca="1">IFERROR(GETPIVOTDATA("Cuenta de CANT",Tabla9,"PROV",[2]Tablas!$A$27,"SEFIS",AJ$52,"CANT",[2]Tablas!#REF!),0)</f>
        <v>0</v>
      </c>
      <c r="AK19" s="15">
        <f ca="1">IFERROR(GETPIVOTDATA("Cuenta de CANT",Tabla9,"PROV",[2]Tablas!$A$27,"SEFIS",AK$52,"CANT",[2]Tablas!#REF!),0)</f>
        <v>0</v>
      </c>
      <c r="AL19" s="15">
        <f ca="1">IFERROR(GETPIVOTDATA("Cuenta de CANT",Tabla9,"PROV",[2]Tablas!$A$27,"SEFIS",AL$52,"CANT",[2]Tablas!#REF!),0)</f>
        <v>0</v>
      </c>
      <c r="AM19" s="15">
        <f ca="1">IFERROR(GETPIVOTDATA("Cuenta de CANT",Tabla9,"PROV",[2]Tablas!$A$27,"SEFIS",AM$52,"CANT",[2]Tablas!#REF!),0)</f>
        <v>0</v>
      </c>
      <c r="AN19" s="15">
        <f ca="1">IFERROR(GETPIVOTDATA("Cuenta de CANT",Tabla9,"PROV",[2]Tablas!$A$27,"SEFIS",AN$52,"CANT",[2]Tablas!#REF!),0)</f>
        <v>0</v>
      </c>
      <c r="AO19" s="15">
        <f ca="1">IFERROR(GETPIVOTDATA("Cuenta de CANT",Tabla9,"PROV",[2]Tablas!$A$27,"SEFIS",AO$52,"CANT",[2]Tablas!#REF!),0)</f>
        <v>1</v>
      </c>
      <c r="AP19" s="15">
        <f ca="1">IFERROR(GETPIVOTDATA("Cuenta de CANT",Tabla9,"PROV",[2]Tablas!$A$27,"SEFIS",AP$52,"CANT",[2]Tablas!#REF!),0)</f>
        <v>0</v>
      </c>
      <c r="AQ19" s="15">
        <f ca="1">IFERROR(GETPIVOTDATA("Cuenta de CANT",Tabla9,"PROV",[2]Tablas!$A$27,"SEFIS",AQ$52,"CANT",[2]Tablas!#REF!),0)</f>
        <v>0</v>
      </c>
      <c r="AR19" s="15">
        <f ca="1">IFERROR(GETPIVOTDATA("Cuenta de CANT",Tabla9,"PROV",[2]Tablas!$A$27,"SEFIS",AR$52,"CANT",[2]Tablas!#REF!),0)</f>
        <v>1</v>
      </c>
      <c r="AS19" s="15">
        <f ca="1">IFERROR(GETPIVOTDATA("Cuenta de CANT",Tabla9,"PROV",[2]Tablas!$A$27,"SEFIS",AS$52,"CANT",[2]Tablas!#REF!),0)</f>
        <v>0</v>
      </c>
      <c r="AT19" s="15">
        <f ca="1">IFERROR(GETPIVOTDATA("Cuenta de CANT",Tabla9,"PROV",[2]Tablas!$A$27,"SEFIS",AT$52,"CANT",[2]Tablas!#REF!),0)</f>
        <v>0</v>
      </c>
      <c r="AU19" s="15">
        <f ca="1">IFERROR(GETPIVOTDATA("Cuenta de CANT",Tabla9,"PROV",[2]Tablas!$A$27,"SEFIS",AU$52,"CANT",[2]Tablas!#REF!),0)</f>
        <v>0</v>
      </c>
      <c r="AV19" s="15">
        <f ca="1">IFERROR(GETPIVOTDATA("Cuenta de CANT",Tabla9,"PROV",[2]Tablas!$A$27,"SEFIS",AV$52,"CANT",[2]Tablas!#REF!),0)</f>
        <v>0</v>
      </c>
      <c r="AW19" s="15">
        <f ca="1">IFERROR(GETPIVOTDATA("Cuenta de CANT",Tabla9,"PROV",[2]Tablas!$A$27,"SEFIS",AW$52,"CANT",[2]Tablas!#REF!),0)</f>
        <v>1</v>
      </c>
      <c r="AX19" s="15">
        <f ca="1">IFERROR(GETPIVOTDATA("Cuenta de CANT",Tabla9,"PROV",[2]Tablas!$A$27,"SEFIS",AX$52,"CANT",[2]Tablas!#REF!),0)</f>
        <v>1</v>
      </c>
      <c r="AY19" s="15">
        <f ca="1">IFERROR(GETPIVOTDATA("Cuenta de CANT",Tabla9,"PROV",[2]Tablas!$A$27,"SEFIS",AY$52,"CANT",[2]Tablas!#REF!),0)</f>
        <v>0</v>
      </c>
      <c r="AZ19" s="15">
        <f ca="1">IFERROR(GETPIVOTDATA("Cuenta de CANT",Tabla9,"PROV",[2]Tablas!$A$27,"SEFIS",AZ$52,"CANT",[2]Tablas!#REF!),0)</f>
        <v>0</v>
      </c>
      <c r="BA19" s="15">
        <f ca="1">IFERROR(GETPIVOTDATA("Cuenta de CANT",Tabla9,"PROV",[2]Tablas!$A$27,"SEFIS",BA$52,"CANT",[2]Tablas!#REF!),0)</f>
        <v>0</v>
      </c>
      <c r="BB19" s="15">
        <f ca="1">IFERROR(GETPIVOTDATA("Cuenta de CANT",Tabla9,"PROV",[2]Tablas!$A$27,"SEFIS",BB$52,"CANT",[2]Tablas!#REF!),0)</f>
        <v>0</v>
      </c>
      <c r="BC19" s="15">
        <f ca="1">IFERROR(GETPIVOTDATA("Cuenta de CANT",Tabla9,"PROV",[2]Tablas!$A$27,"SEFIS",BC$52,"CANT",[2]Tablas!#REF!),0)</f>
        <v>3</v>
      </c>
      <c r="BD19" s="15">
        <f ca="1">IFERROR(GETPIVOTDATA("Cuenta de CANT",Tabla9,"PROV",[2]Tablas!$A$27,"SEFIS",BD$52,"CANT",[2]Tablas!#REF!),0)</f>
        <v>0</v>
      </c>
    </row>
    <row r="20" spans="1:56" x14ac:dyDescent="0.35">
      <c r="A20" s="14" t="s">
        <v>118</v>
      </c>
      <c r="B20" s="15">
        <f t="shared" ca="1" si="2"/>
        <v>36</v>
      </c>
      <c r="C20" s="16">
        <f ca="1">IFERROR(B20/[2]Tablas!#REF!*100000,"N/D")</f>
        <v>25.681999771715557</v>
      </c>
      <c r="D20" s="15">
        <f ca="1">IFERROR(GETPIVOTDATA("Cuenta de CANT",Tabla9,"PROV",[2]Tablas!$A$27,"SEFIS",D$52,"CANT",[2]Tablas!#REF!),0)</f>
        <v>1</v>
      </c>
      <c r="E20" s="15">
        <f ca="1">IFERROR(GETPIVOTDATA("Cuenta de CANT",Tabla9,"PROV",[2]Tablas!$A$27,"SEFIS",E$52,"CANT",[2]Tablas!#REF!),0)</f>
        <v>4</v>
      </c>
      <c r="F20" s="15">
        <f ca="1">IFERROR(GETPIVOTDATA("Cuenta de CANT",Tabla9,"PROV",[2]Tablas!$A$27,"SEFIS",F$52,"CANT",[2]Tablas!#REF!),0)</f>
        <v>4</v>
      </c>
      <c r="G20" s="15">
        <f ca="1">IFERROR(GETPIVOTDATA("Cuenta de CANT",Tabla9,"PROV",[2]Tablas!$A$27,"SEFIS",G$52,"CANT",[2]Tablas!#REF!),0)</f>
        <v>0</v>
      </c>
      <c r="H20" s="15">
        <f ca="1">IFERROR(GETPIVOTDATA("Cuenta de CANT",Tabla9,"PROV",[2]Tablas!$A$27,"SEFIS",H$52,"CANT",[2]Tablas!#REF!),0)</f>
        <v>1</v>
      </c>
      <c r="I20" s="15">
        <f ca="1">IFERROR(GETPIVOTDATA("Cuenta de CANT",Tabla9,"PROV",[2]Tablas!$A$27,"SEFIS",I$52,"CANT",[2]Tablas!#REF!),0)</f>
        <v>1</v>
      </c>
      <c r="J20" s="15">
        <f ca="1">IFERROR(GETPIVOTDATA("Cuenta de CANT",Tabla9,"PROV",[2]Tablas!$A$27,"SEFIS",J$52,"CANT",[2]Tablas!#REF!),0)</f>
        <v>0</v>
      </c>
      <c r="K20" s="15">
        <f ca="1">IFERROR(GETPIVOTDATA("Cuenta de CANT",Tabla9,"PROV",[2]Tablas!$A$27,"SEFIS",K$52,"CANT",[2]Tablas!#REF!),0)</f>
        <v>0</v>
      </c>
      <c r="L20" s="15">
        <f ca="1">IFERROR(GETPIVOTDATA("Cuenta de CANT",Tabla9,"PROV",[2]Tablas!$A$27,"SEFIS",L$52,"CANT",[2]Tablas!#REF!),0)</f>
        <v>1</v>
      </c>
      <c r="M20" s="15">
        <f ca="1">IFERROR(GETPIVOTDATA("Cuenta de CANT",Tabla9,"PROV",[2]Tablas!$A$27,"SEFIS",M$52,"CANT",[2]Tablas!#REF!),0)</f>
        <v>1</v>
      </c>
      <c r="N20" s="15">
        <f ca="1">IFERROR(GETPIVOTDATA("Cuenta de CANT",Tabla9,"PROV",[2]Tablas!$A$27,"SEFIS",N$52,"CANT",[2]Tablas!#REF!),0)</f>
        <v>1</v>
      </c>
      <c r="O20" s="15">
        <f ca="1">IFERROR(GETPIVOTDATA("Cuenta de CANT",Tabla9,"PROV",[2]Tablas!$A$27,"SEFIS",O$52,"CANT",[2]Tablas!#REF!),0)</f>
        <v>0</v>
      </c>
      <c r="P20" s="15">
        <f ca="1">IFERROR(GETPIVOTDATA("Cuenta de CANT",Tabla9,"PROV",[2]Tablas!$A$27,"SEFIS",P$52,"CANT",[2]Tablas!#REF!),0)</f>
        <v>0</v>
      </c>
      <c r="Q20" s="15">
        <f ca="1">IFERROR(GETPIVOTDATA("Cuenta de CANT",Tabla9,"PROV",[2]Tablas!$A$27,"SEFIS",Q$52,"CANT",[2]Tablas!#REF!),0)</f>
        <v>1</v>
      </c>
      <c r="R20" s="15">
        <f ca="1">IFERROR(GETPIVOTDATA("Cuenta de CANT",Tabla9,"PROV",[2]Tablas!$A$27,"SEFIS",R$52,"CANT",[2]Tablas!#REF!),0)</f>
        <v>1</v>
      </c>
      <c r="S20" s="15">
        <f ca="1">IFERROR(GETPIVOTDATA("Cuenta de CANT",Tabla9,"PROV",[2]Tablas!$A$27,"SEFIS",S$52,"CANT",[2]Tablas!#REF!),0)</f>
        <v>0</v>
      </c>
      <c r="T20" s="15">
        <f ca="1">IFERROR(GETPIVOTDATA("Cuenta de CANT",Tabla9,"PROV",[2]Tablas!$A$27,"SEFIS",T$52,"CANT",[2]Tablas!#REF!),0)</f>
        <v>1</v>
      </c>
      <c r="U20" s="15">
        <f ca="1">IFERROR(GETPIVOTDATA("Cuenta de CANT",Tabla9,"PROV",[2]Tablas!$A$27,"SEFIS",U$52,"CANT",[2]Tablas!#REF!),0)</f>
        <v>0</v>
      </c>
      <c r="V20" s="15">
        <f ca="1">IFERROR(GETPIVOTDATA("Cuenta de CANT",Tabla9,"PROV",[2]Tablas!$A$27,"SEFIS",V$52,"CANT",[2]Tablas!#REF!),0)</f>
        <v>0</v>
      </c>
      <c r="W20" s="15">
        <f ca="1">IFERROR(GETPIVOTDATA("Cuenta de CANT",Tabla9,"PROV",[2]Tablas!$A$27,"SEFIS",W$52,"CANT",[2]Tablas!#REF!),0)</f>
        <v>1</v>
      </c>
      <c r="X20" s="15">
        <f ca="1">IFERROR(GETPIVOTDATA("Cuenta de CANT",Tabla9,"PROV",[2]Tablas!$A$27,"SEFIS",X$52,"CANT",[2]Tablas!#REF!),0)</f>
        <v>0</v>
      </c>
      <c r="Y20" s="15">
        <f ca="1">IFERROR(GETPIVOTDATA("Cuenta de CANT",Tabla9,"PROV",[2]Tablas!$A$27,"SEFIS",Y$52,"CANT",[2]Tablas!#REF!),0)</f>
        <v>1</v>
      </c>
      <c r="Z20" s="15">
        <f ca="1">IFERROR(GETPIVOTDATA("Cuenta de CANT",Tabla9,"PROV",[2]Tablas!$A$27,"SEFIS",Z$52,"CANT",[2]Tablas!#REF!),0)</f>
        <v>0</v>
      </c>
      <c r="AA20" s="15">
        <f ca="1">IFERROR(GETPIVOTDATA("Cuenta de CANT",Tabla9,"PROV",[2]Tablas!$A$27,"SEFIS",AA$52,"CANT",[2]Tablas!#REF!),0)</f>
        <v>0</v>
      </c>
      <c r="AB20" s="15">
        <f ca="1">IFERROR(GETPIVOTDATA("Cuenta de CANT",Tabla9,"PROV",[2]Tablas!$A$27,"SEFIS",AB$52,"CANT",[2]Tablas!#REF!),0)</f>
        <v>0</v>
      </c>
      <c r="AC20" s="15">
        <f ca="1">IFERROR(GETPIVOTDATA("Cuenta de CANT",Tabla9,"PROV",[2]Tablas!$A$27,"SEFIS",AC$52,"CANT",[2]Tablas!#REF!),0)</f>
        <v>1</v>
      </c>
      <c r="AD20" s="15">
        <f ca="1">IFERROR(GETPIVOTDATA("Cuenta de CANT",Tabla9,"PROV",[2]Tablas!$A$27,"SEFIS",AD$52,"CANT",[2]Tablas!#REF!),0)</f>
        <v>1</v>
      </c>
      <c r="AE20" s="15">
        <f ca="1">IFERROR(GETPIVOTDATA("Cuenta de CANT",Tabla9,"PROV",[2]Tablas!$A$27,"SEFIS",AE$52,"CANT",[2]Tablas!#REF!),0)</f>
        <v>0</v>
      </c>
      <c r="AF20" s="15">
        <f ca="1">IFERROR(GETPIVOTDATA("Cuenta de CANT",Tabla9,"PROV",[2]Tablas!$A$27,"SEFIS",AF$52,"CANT",[2]Tablas!#REF!),0)</f>
        <v>0</v>
      </c>
      <c r="AG20" s="15">
        <f ca="1">IFERROR(GETPIVOTDATA("Cuenta de CANT",Tabla9,"PROV",[2]Tablas!$A$27,"SEFIS",AG$52,"CANT",[2]Tablas!#REF!),0)</f>
        <v>0</v>
      </c>
      <c r="AH20" s="15">
        <f ca="1">IFERROR(GETPIVOTDATA("Cuenta de CANT",Tabla9,"PROV",[2]Tablas!$A$27,"SEFIS",AH$52,"CANT",[2]Tablas!#REF!),0)</f>
        <v>0</v>
      </c>
      <c r="AI20" s="15">
        <f ca="1">IFERROR(GETPIVOTDATA("Cuenta de CANT",Tabla9,"PROV",[2]Tablas!$A$27,"SEFIS",AI$52,"CANT",[2]Tablas!#REF!),0)</f>
        <v>1</v>
      </c>
      <c r="AJ20" s="15">
        <f ca="1">IFERROR(GETPIVOTDATA("Cuenta de CANT",Tabla9,"PROV",[2]Tablas!$A$27,"SEFIS",AJ$52,"CANT",[2]Tablas!#REF!),0)</f>
        <v>1</v>
      </c>
      <c r="AK20" s="15">
        <f ca="1">IFERROR(GETPIVOTDATA("Cuenta de CANT",Tabla9,"PROV",[2]Tablas!$A$27,"SEFIS",AK$52,"CANT",[2]Tablas!#REF!),0)</f>
        <v>0</v>
      </c>
      <c r="AL20" s="15">
        <f ca="1">IFERROR(GETPIVOTDATA("Cuenta de CANT",Tabla9,"PROV",[2]Tablas!$A$27,"SEFIS",AL$52,"CANT",[2]Tablas!#REF!),0)</f>
        <v>1</v>
      </c>
      <c r="AM20" s="15">
        <f ca="1">IFERROR(GETPIVOTDATA("Cuenta de CANT",Tabla9,"PROV",[2]Tablas!$A$27,"SEFIS",AM$52,"CANT",[2]Tablas!#REF!),0)</f>
        <v>0</v>
      </c>
      <c r="AN20" s="15">
        <f ca="1">IFERROR(GETPIVOTDATA("Cuenta de CANT",Tabla9,"PROV",[2]Tablas!$A$27,"SEFIS",AN$52,"CANT",[2]Tablas!#REF!),0)</f>
        <v>0</v>
      </c>
      <c r="AO20" s="15">
        <f ca="1">IFERROR(GETPIVOTDATA("Cuenta de CANT",Tabla9,"PROV",[2]Tablas!$A$27,"SEFIS",AO$52,"CANT",[2]Tablas!#REF!),0)</f>
        <v>3</v>
      </c>
      <c r="AP20" s="15">
        <f ca="1">IFERROR(GETPIVOTDATA("Cuenta de CANT",Tabla9,"PROV",[2]Tablas!$A$27,"SEFIS",AP$52,"CANT",[2]Tablas!#REF!),0)</f>
        <v>1</v>
      </c>
      <c r="AQ20" s="15">
        <f ca="1">IFERROR(GETPIVOTDATA("Cuenta de CANT",Tabla9,"PROV",[2]Tablas!$A$27,"SEFIS",AQ$52,"CANT",[2]Tablas!#REF!),0)</f>
        <v>0</v>
      </c>
      <c r="AR20" s="15">
        <f ca="1">IFERROR(GETPIVOTDATA("Cuenta de CANT",Tabla9,"PROV",[2]Tablas!$A$27,"SEFIS",AR$52,"CANT",[2]Tablas!#REF!),0)</f>
        <v>0</v>
      </c>
      <c r="AS20" s="15">
        <f ca="1">IFERROR(GETPIVOTDATA("Cuenta de CANT",Tabla9,"PROV",[2]Tablas!$A$27,"SEFIS",AS$52,"CANT",[2]Tablas!#REF!),0)</f>
        <v>1</v>
      </c>
      <c r="AT20" s="15">
        <f ca="1">IFERROR(GETPIVOTDATA("Cuenta de CANT",Tabla9,"PROV",[2]Tablas!$A$27,"SEFIS",AT$52,"CANT",[2]Tablas!#REF!),0)</f>
        <v>1</v>
      </c>
      <c r="AU20" s="15">
        <f ca="1">IFERROR(GETPIVOTDATA("Cuenta de CANT",Tabla9,"PROV",[2]Tablas!$A$27,"SEFIS",AU$52,"CANT",[2]Tablas!#REF!),0)</f>
        <v>0</v>
      </c>
      <c r="AV20" s="15">
        <f ca="1">IFERROR(GETPIVOTDATA("Cuenta de CANT",Tabla9,"PROV",[2]Tablas!$A$27,"SEFIS",AV$52,"CANT",[2]Tablas!#REF!),0)</f>
        <v>0</v>
      </c>
      <c r="AW20" s="15">
        <f ca="1">IFERROR(GETPIVOTDATA("Cuenta de CANT",Tabla9,"PROV",[2]Tablas!$A$27,"SEFIS",AW$52,"CANT",[2]Tablas!#REF!),0)</f>
        <v>1</v>
      </c>
      <c r="AX20" s="15">
        <f ca="1">IFERROR(GETPIVOTDATA("Cuenta de CANT",Tabla9,"PROV",[2]Tablas!$A$27,"SEFIS",AX$52,"CANT",[2]Tablas!#REF!),0)</f>
        <v>1</v>
      </c>
      <c r="AY20" s="15">
        <f ca="1">IFERROR(GETPIVOTDATA("Cuenta de CANT",Tabla9,"PROV",[2]Tablas!$A$27,"SEFIS",AY$52,"CANT",[2]Tablas!#REF!),0)</f>
        <v>0</v>
      </c>
      <c r="AZ20" s="15">
        <f ca="1">IFERROR(GETPIVOTDATA("Cuenta de CANT",Tabla9,"PROV",[2]Tablas!$A$27,"SEFIS",AZ$52,"CANT",[2]Tablas!#REF!),0)</f>
        <v>1</v>
      </c>
      <c r="BA20" s="15">
        <f ca="1">IFERROR(GETPIVOTDATA("Cuenta de CANT",Tabla9,"PROV",[2]Tablas!$A$27,"SEFIS",BA$52,"CANT",[2]Tablas!#REF!),0)</f>
        <v>0</v>
      </c>
      <c r="BB20" s="15">
        <f ca="1">IFERROR(GETPIVOTDATA("Cuenta de CANT",Tabla9,"PROV",[2]Tablas!$A$27,"SEFIS",BB$52,"CANT",[2]Tablas!#REF!),0)</f>
        <v>3</v>
      </c>
      <c r="BC20" s="15">
        <f ca="1">IFERROR(GETPIVOTDATA("Cuenta de CANT",Tabla9,"PROV",[2]Tablas!$A$27,"SEFIS",BC$52,"CANT",[2]Tablas!#REF!),0)</f>
        <v>0</v>
      </c>
      <c r="BD20" s="15">
        <f ca="1">IFERROR(GETPIVOTDATA("Cuenta de CANT",Tabla9,"PROV",[2]Tablas!$A$27,"SEFIS",BD$52,"CANT",[2]Tablas!#REF!),0)</f>
        <v>0</v>
      </c>
    </row>
    <row r="21" spans="1:56" x14ac:dyDescent="0.35">
      <c r="A21" s="14" t="s">
        <v>119</v>
      </c>
      <c r="B21" s="15">
        <f t="shared" ca="1" si="2"/>
        <v>132</v>
      </c>
      <c r="C21" s="16">
        <f ca="1">IFERROR(B21/[2]Tablas!#REF!*100000,"N/D")</f>
        <v>212.42014129157883</v>
      </c>
      <c r="D21" s="15">
        <f ca="1">IFERROR(GETPIVOTDATA("Cuenta de CANT",Tabla9,"PROV",[2]Tablas!$A$27,"SEFIS",D$52,"CANT",[2]Tablas!#REF!),0)</f>
        <v>3</v>
      </c>
      <c r="E21" s="15">
        <f ca="1">IFERROR(GETPIVOTDATA("Cuenta de CANT",Tabla9,"PROV",[2]Tablas!$A$27,"SEFIS",E$52,"CANT",[2]Tablas!#REF!),0)</f>
        <v>2</v>
      </c>
      <c r="F21" s="15">
        <f ca="1">IFERROR(GETPIVOTDATA("Cuenta de CANT",Tabla9,"PROV",[2]Tablas!$A$27,"SEFIS",F$52,"CANT",[2]Tablas!#REF!),0)</f>
        <v>1</v>
      </c>
      <c r="G21" s="15">
        <f ca="1">IFERROR(GETPIVOTDATA("Cuenta de CANT",Tabla9,"PROV",[2]Tablas!$A$27,"SEFIS",G$52,"CANT",[2]Tablas!#REF!),0)</f>
        <v>1</v>
      </c>
      <c r="H21" s="15">
        <f ca="1">IFERROR(GETPIVOTDATA("Cuenta de CANT",Tabla9,"PROV",[2]Tablas!$A$27,"SEFIS",H$52,"CANT",[2]Tablas!#REF!),0)</f>
        <v>0</v>
      </c>
      <c r="I21" s="15">
        <f ca="1">IFERROR(GETPIVOTDATA("Cuenta de CANT",Tabla9,"PROV",[2]Tablas!$A$27,"SEFIS",I$52,"CANT",[2]Tablas!#REF!),0)</f>
        <v>2</v>
      </c>
      <c r="J21" s="15">
        <f ca="1">IFERROR(GETPIVOTDATA("Cuenta de CANT",Tabla9,"PROV",[2]Tablas!$A$27,"SEFIS",J$52,"CANT",[2]Tablas!#REF!),0)</f>
        <v>3</v>
      </c>
      <c r="K21" s="15">
        <f ca="1">IFERROR(GETPIVOTDATA("Cuenta de CANT",Tabla9,"PROV",[2]Tablas!$A$27,"SEFIS",K$52,"CANT",[2]Tablas!#REF!),0)</f>
        <v>1</v>
      </c>
      <c r="L21" s="15">
        <f ca="1">IFERROR(GETPIVOTDATA("Cuenta de CANT",Tabla9,"PROV",[2]Tablas!$A$27,"SEFIS",L$52,"CANT",[2]Tablas!#REF!),0)</f>
        <v>3</v>
      </c>
      <c r="M21" s="15">
        <f ca="1">IFERROR(GETPIVOTDATA("Cuenta de CANT",Tabla9,"PROV",[2]Tablas!$A$27,"SEFIS",M$52,"CANT",[2]Tablas!#REF!),0)</f>
        <v>2</v>
      </c>
      <c r="N21" s="15">
        <f ca="1">IFERROR(GETPIVOTDATA("Cuenta de CANT",Tabla9,"PROV",[2]Tablas!$A$27,"SEFIS",N$52,"CANT",[2]Tablas!#REF!),0)</f>
        <v>0</v>
      </c>
      <c r="O21" s="15">
        <f ca="1">IFERROR(GETPIVOTDATA("Cuenta de CANT",Tabla9,"PROV",[2]Tablas!$A$27,"SEFIS",O$52,"CANT",[2]Tablas!#REF!),0)</f>
        <v>2</v>
      </c>
      <c r="P21" s="15">
        <f ca="1">IFERROR(GETPIVOTDATA("Cuenta de CANT",Tabla9,"PROV",[2]Tablas!$A$27,"SEFIS",P$52,"CANT",[2]Tablas!#REF!),0)</f>
        <v>1</v>
      </c>
      <c r="Q21" s="15">
        <f ca="1">IFERROR(GETPIVOTDATA("Cuenta de CANT",Tabla9,"PROV",[2]Tablas!$A$27,"SEFIS",Q$52,"CANT",[2]Tablas!#REF!),0)</f>
        <v>1</v>
      </c>
      <c r="R21" s="15">
        <f ca="1">IFERROR(GETPIVOTDATA("Cuenta de CANT",Tabla9,"PROV",[2]Tablas!$A$27,"SEFIS",R$52,"CANT",[2]Tablas!#REF!),0)</f>
        <v>0</v>
      </c>
      <c r="S21" s="15">
        <f ca="1">IFERROR(GETPIVOTDATA("Cuenta de CANT",Tabla9,"PROV",[2]Tablas!$A$27,"SEFIS",S$52,"CANT",[2]Tablas!#REF!),0)</f>
        <v>2</v>
      </c>
      <c r="T21" s="15">
        <f ca="1">IFERROR(GETPIVOTDATA("Cuenta de CANT",Tabla9,"PROV",[2]Tablas!$A$27,"SEFIS",T$52,"CANT",[2]Tablas!#REF!),0)</f>
        <v>0</v>
      </c>
      <c r="U21" s="15">
        <f ca="1">IFERROR(GETPIVOTDATA("Cuenta de CANT",Tabla9,"PROV",[2]Tablas!$A$27,"SEFIS",U$52,"CANT",[2]Tablas!#REF!),0)</f>
        <v>1</v>
      </c>
      <c r="V21" s="15">
        <f ca="1">IFERROR(GETPIVOTDATA("Cuenta de CANT",Tabla9,"PROV",[2]Tablas!$A$27,"SEFIS",V$52,"CANT",[2]Tablas!#REF!),0)</f>
        <v>2</v>
      </c>
      <c r="W21" s="15">
        <f ca="1">IFERROR(GETPIVOTDATA("Cuenta de CANT",Tabla9,"PROV",[2]Tablas!$A$27,"SEFIS",W$52,"CANT",[2]Tablas!#REF!),0)</f>
        <v>3</v>
      </c>
      <c r="X21" s="15">
        <f ca="1">IFERROR(GETPIVOTDATA("Cuenta de CANT",Tabla9,"PROV",[2]Tablas!$A$27,"SEFIS",X$52,"CANT",[2]Tablas!#REF!),0)</f>
        <v>1</v>
      </c>
      <c r="Y21" s="15">
        <f ca="1">IFERROR(GETPIVOTDATA("Cuenta de CANT",Tabla9,"PROV",[2]Tablas!$A$27,"SEFIS",Y$52,"CANT",[2]Tablas!#REF!),0)</f>
        <v>1</v>
      </c>
      <c r="Z21" s="15">
        <f ca="1">IFERROR(GETPIVOTDATA("Cuenta de CANT",Tabla9,"PROV",[2]Tablas!$A$27,"SEFIS",Z$52,"CANT",[2]Tablas!#REF!),0)</f>
        <v>1</v>
      </c>
      <c r="AA21" s="15">
        <f ca="1">IFERROR(GETPIVOTDATA("Cuenta de CANT",Tabla9,"PROV",[2]Tablas!$A$27,"SEFIS",AA$52,"CANT",[2]Tablas!#REF!),0)</f>
        <v>3</v>
      </c>
      <c r="AB21" s="15">
        <f ca="1">IFERROR(GETPIVOTDATA("Cuenta de CANT",Tabla9,"PROV",[2]Tablas!$A$27,"SEFIS",AB$52,"CANT",[2]Tablas!#REF!),0)</f>
        <v>4</v>
      </c>
      <c r="AC21" s="15">
        <f ca="1">IFERROR(GETPIVOTDATA("Cuenta de CANT",Tabla9,"PROV",[2]Tablas!$A$27,"SEFIS",AC$52,"CANT",[2]Tablas!#REF!),0)</f>
        <v>3</v>
      </c>
      <c r="AD21" s="15">
        <f ca="1">IFERROR(GETPIVOTDATA("Cuenta de CANT",Tabla9,"PROV",[2]Tablas!$A$27,"SEFIS",AD$52,"CANT",[2]Tablas!#REF!),0)</f>
        <v>2</v>
      </c>
      <c r="AE21" s="15">
        <f ca="1">IFERROR(GETPIVOTDATA("Cuenta de CANT",Tabla9,"PROV",[2]Tablas!$A$27,"SEFIS",AE$52,"CANT",[2]Tablas!#REF!),0)</f>
        <v>5</v>
      </c>
      <c r="AF21" s="15">
        <f ca="1">IFERROR(GETPIVOTDATA("Cuenta de CANT",Tabla9,"PROV",[2]Tablas!$A$27,"SEFIS",AF$52,"CANT",[2]Tablas!#REF!),0)</f>
        <v>2</v>
      </c>
      <c r="AG21" s="15">
        <f ca="1">IFERROR(GETPIVOTDATA("Cuenta de CANT",Tabla9,"PROV",[2]Tablas!$A$27,"SEFIS",AG$52,"CANT",[2]Tablas!#REF!),0)</f>
        <v>2</v>
      </c>
      <c r="AH21" s="15">
        <f ca="1">IFERROR(GETPIVOTDATA("Cuenta de CANT",Tabla9,"PROV",[2]Tablas!$A$27,"SEFIS",AH$52,"CANT",[2]Tablas!#REF!),0)</f>
        <v>0</v>
      </c>
      <c r="AI21" s="15">
        <f ca="1">IFERROR(GETPIVOTDATA("Cuenta de CANT",Tabla9,"PROV",[2]Tablas!$A$27,"SEFIS",AI$52,"CANT",[2]Tablas!#REF!),0)</f>
        <v>0</v>
      </c>
      <c r="AJ21" s="15">
        <f ca="1">IFERROR(GETPIVOTDATA("Cuenta de CANT",Tabla9,"PROV",[2]Tablas!$A$27,"SEFIS",AJ$52,"CANT",[2]Tablas!#REF!),0)</f>
        <v>1</v>
      </c>
      <c r="AK21" s="15">
        <f ca="1">IFERROR(GETPIVOTDATA("Cuenta de CANT",Tabla9,"PROV",[2]Tablas!$A$27,"SEFIS",AK$52,"CANT",[2]Tablas!#REF!),0)</f>
        <v>2</v>
      </c>
      <c r="AL21" s="15">
        <f ca="1">IFERROR(GETPIVOTDATA("Cuenta de CANT",Tabla9,"PROV",[2]Tablas!$A$27,"SEFIS",AL$52,"CANT",[2]Tablas!#REF!),0)</f>
        <v>3</v>
      </c>
      <c r="AM21" s="15">
        <f ca="1">IFERROR(GETPIVOTDATA("Cuenta de CANT",Tabla9,"PROV",[2]Tablas!$A$27,"SEFIS",AM$52,"CANT",[2]Tablas!#REF!),0)</f>
        <v>1</v>
      </c>
      <c r="AN21" s="15">
        <f ca="1">IFERROR(GETPIVOTDATA("Cuenta de CANT",Tabla9,"PROV",[2]Tablas!$A$27,"SEFIS",AN$52,"CANT",[2]Tablas!#REF!),0)</f>
        <v>3</v>
      </c>
      <c r="AO21" s="15">
        <f ca="1">IFERROR(GETPIVOTDATA("Cuenta de CANT",Tabla9,"PROV",[2]Tablas!$A$27,"SEFIS",AO$52,"CANT",[2]Tablas!#REF!),0)</f>
        <v>0</v>
      </c>
      <c r="AP21" s="15">
        <f ca="1">IFERROR(GETPIVOTDATA("Cuenta de CANT",Tabla9,"PROV",[2]Tablas!$A$27,"SEFIS",AP$52,"CANT",[2]Tablas!#REF!),0)</f>
        <v>5</v>
      </c>
      <c r="AQ21" s="15">
        <f ca="1">IFERROR(GETPIVOTDATA("Cuenta de CANT",Tabla9,"PROV",[2]Tablas!$A$27,"SEFIS",AQ$52,"CANT",[2]Tablas!#REF!),0)</f>
        <v>5</v>
      </c>
      <c r="AR21" s="15">
        <f ca="1">IFERROR(GETPIVOTDATA("Cuenta de CANT",Tabla9,"PROV",[2]Tablas!$A$27,"SEFIS",AR$52,"CANT",[2]Tablas!#REF!),0)</f>
        <v>3</v>
      </c>
      <c r="AS21" s="15">
        <f ca="1">IFERROR(GETPIVOTDATA("Cuenta de CANT",Tabla9,"PROV",[2]Tablas!$A$27,"SEFIS",AS$52,"CANT",[2]Tablas!#REF!),0)</f>
        <v>7</v>
      </c>
      <c r="AT21" s="15">
        <f ca="1">IFERROR(GETPIVOTDATA("Cuenta de CANT",Tabla9,"PROV",[2]Tablas!$A$27,"SEFIS",AT$52,"CANT",[2]Tablas!#REF!),0)</f>
        <v>6</v>
      </c>
      <c r="AU21" s="15">
        <f ca="1">IFERROR(GETPIVOTDATA("Cuenta de CANT",Tabla9,"PROV",[2]Tablas!$A$27,"SEFIS",AU$52,"CANT",[2]Tablas!#REF!),0)</f>
        <v>7</v>
      </c>
      <c r="AV21" s="15">
        <f ca="1">IFERROR(GETPIVOTDATA("Cuenta de CANT",Tabla9,"PROV",[2]Tablas!$A$27,"SEFIS",AV$52,"CANT",[2]Tablas!#REF!),0)</f>
        <v>3</v>
      </c>
      <c r="AW21" s="15">
        <f ca="1">IFERROR(GETPIVOTDATA("Cuenta de CANT",Tabla9,"PROV",[2]Tablas!$A$27,"SEFIS",AW$52,"CANT",[2]Tablas!#REF!),0)</f>
        <v>3</v>
      </c>
      <c r="AX21" s="15">
        <f ca="1">IFERROR(GETPIVOTDATA("Cuenta de CANT",Tabla9,"PROV",[2]Tablas!$A$27,"SEFIS",AX$52,"CANT",[2]Tablas!#REF!),0)</f>
        <v>7</v>
      </c>
      <c r="AY21" s="15">
        <f ca="1">IFERROR(GETPIVOTDATA("Cuenta de CANT",Tabla9,"PROV",[2]Tablas!$A$27,"SEFIS",AY$52,"CANT",[2]Tablas!#REF!),0)</f>
        <v>5</v>
      </c>
      <c r="AZ21" s="15">
        <f ca="1">IFERROR(GETPIVOTDATA("Cuenta de CANT",Tabla9,"PROV",[2]Tablas!$A$27,"SEFIS",AZ$52,"CANT",[2]Tablas!#REF!),0)</f>
        <v>4</v>
      </c>
      <c r="BA21" s="15">
        <f ca="1">IFERROR(GETPIVOTDATA("Cuenta de CANT",Tabla9,"PROV",[2]Tablas!$A$27,"SEFIS",BA$52,"CANT",[2]Tablas!#REF!),0)</f>
        <v>7</v>
      </c>
      <c r="BB21" s="15">
        <f ca="1">IFERROR(GETPIVOTDATA("Cuenta de CANT",Tabla9,"PROV",[2]Tablas!$A$27,"SEFIS",BB$52,"CANT",[2]Tablas!#REF!),0)</f>
        <v>6</v>
      </c>
      <c r="BC21" s="15">
        <f ca="1">IFERROR(GETPIVOTDATA("Cuenta de CANT",Tabla9,"PROV",[2]Tablas!$A$27,"SEFIS",BC$52,"CANT",[2]Tablas!#REF!),0)</f>
        <v>0</v>
      </c>
      <c r="BD21" s="15">
        <f ca="1">IFERROR(GETPIVOTDATA("Cuenta de CANT",Tabla9,"PROV",[2]Tablas!$A$27,"SEFIS",BD$52,"CANT",[2]Tablas!#REF!),0)</f>
        <v>0</v>
      </c>
    </row>
    <row r="22" spans="1:56" x14ac:dyDescent="0.35">
      <c r="A22" s="14" t="s">
        <v>120</v>
      </c>
      <c r="B22" s="15">
        <f t="shared" ca="1" si="2"/>
        <v>256</v>
      </c>
      <c r="C22" s="16">
        <f ca="1">IFERROR(B22/[2]Tablas!#REF!*100000,"N/D")</f>
        <v>262.63683276394488</v>
      </c>
      <c r="D22" s="15">
        <f ca="1">IFERROR(GETPIVOTDATA("Cuenta de CANT",Tabla9,"PROV",[2]Tablas!$A$27,"SEFIS",D$52,"CANT",[2]Tablas!#REF!),0)</f>
        <v>6</v>
      </c>
      <c r="E22" s="15">
        <f ca="1">IFERROR(GETPIVOTDATA("Cuenta de CANT",Tabla9,"PROV",[2]Tablas!$A$27,"SEFIS",E$52,"CANT",[2]Tablas!#REF!),0)</f>
        <v>6</v>
      </c>
      <c r="F22" s="15">
        <f ca="1">IFERROR(GETPIVOTDATA("Cuenta de CANT",Tabla9,"PROV",[2]Tablas!$A$27,"SEFIS",F$52,"CANT",[2]Tablas!#REF!),0)</f>
        <v>7</v>
      </c>
      <c r="G22" s="15">
        <f ca="1">IFERROR(GETPIVOTDATA("Cuenta de CANT",Tabla9,"PROV",[2]Tablas!$A$27,"SEFIS",G$52,"CANT",[2]Tablas!#REF!),0)</f>
        <v>4</v>
      </c>
      <c r="H22" s="15">
        <f ca="1">IFERROR(GETPIVOTDATA("Cuenta de CANT",Tabla9,"PROV",[2]Tablas!$A$27,"SEFIS",H$52,"CANT",[2]Tablas!#REF!),0)</f>
        <v>4</v>
      </c>
      <c r="I22" s="15">
        <f ca="1">IFERROR(GETPIVOTDATA("Cuenta de CANT",Tabla9,"PROV",[2]Tablas!$A$27,"SEFIS",I$52,"CANT",[2]Tablas!#REF!),0)</f>
        <v>4</v>
      </c>
      <c r="J22" s="15">
        <f ca="1">IFERROR(GETPIVOTDATA("Cuenta de CANT",Tabla9,"PROV",[2]Tablas!$A$27,"SEFIS",J$52,"CANT",[2]Tablas!#REF!),0)</f>
        <v>4</v>
      </c>
      <c r="K22" s="15">
        <f ca="1">IFERROR(GETPIVOTDATA("Cuenta de CANT",Tabla9,"PROV",[2]Tablas!$A$27,"SEFIS",K$52,"CANT",[2]Tablas!#REF!),0)</f>
        <v>2</v>
      </c>
      <c r="L22" s="15">
        <f ca="1">IFERROR(GETPIVOTDATA("Cuenta de CANT",Tabla9,"PROV",[2]Tablas!$A$27,"SEFIS",L$52,"CANT",[2]Tablas!#REF!),0)</f>
        <v>7</v>
      </c>
      <c r="M22" s="15">
        <f ca="1">IFERROR(GETPIVOTDATA("Cuenta de CANT",Tabla9,"PROV",[2]Tablas!$A$27,"SEFIS",M$52,"CANT",[2]Tablas!#REF!),0)</f>
        <v>2</v>
      </c>
      <c r="N22" s="15">
        <f ca="1">IFERROR(GETPIVOTDATA("Cuenta de CANT",Tabla9,"PROV",[2]Tablas!$A$27,"SEFIS",N$52,"CANT",[2]Tablas!#REF!),0)</f>
        <v>5</v>
      </c>
      <c r="O22" s="15">
        <f ca="1">IFERROR(GETPIVOTDATA("Cuenta de CANT",Tabla9,"PROV",[2]Tablas!$A$27,"SEFIS",O$52,"CANT",[2]Tablas!#REF!),0)</f>
        <v>3</v>
      </c>
      <c r="P22" s="15">
        <f ca="1">IFERROR(GETPIVOTDATA("Cuenta de CANT",Tabla9,"PROV",[2]Tablas!$A$27,"SEFIS",P$52,"CANT",[2]Tablas!#REF!),0)</f>
        <v>2</v>
      </c>
      <c r="Q22" s="15">
        <f ca="1">IFERROR(GETPIVOTDATA("Cuenta de CANT",Tabla9,"PROV",[2]Tablas!$A$27,"SEFIS",Q$52,"CANT",[2]Tablas!#REF!),0)</f>
        <v>0</v>
      </c>
      <c r="R22" s="15">
        <f ca="1">IFERROR(GETPIVOTDATA("Cuenta de CANT",Tabla9,"PROV",[2]Tablas!$A$27,"SEFIS",R$52,"CANT",[2]Tablas!#REF!),0)</f>
        <v>2</v>
      </c>
      <c r="S22" s="15">
        <f ca="1">IFERROR(GETPIVOTDATA("Cuenta de CANT",Tabla9,"PROV",[2]Tablas!$A$27,"SEFIS",S$52,"CANT",[2]Tablas!#REF!),0)</f>
        <v>2</v>
      </c>
      <c r="T22" s="15">
        <f ca="1">IFERROR(GETPIVOTDATA("Cuenta de CANT",Tabla9,"PROV",[2]Tablas!$A$27,"SEFIS",T$52,"CANT",[2]Tablas!#REF!),0)</f>
        <v>0</v>
      </c>
      <c r="U22" s="15">
        <f ca="1">IFERROR(GETPIVOTDATA("Cuenta de CANT",Tabla9,"PROV",[2]Tablas!$A$27,"SEFIS",U$52,"CANT",[2]Tablas!#REF!),0)</f>
        <v>0</v>
      </c>
      <c r="V22" s="15">
        <f ca="1">IFERROR(GETPIVOTDATA("Cuenta de CANT",Tabla9,"PROV",[2]Tablas!$A$27,"SEFIS",V$52,"CANT",[2]Tablas!#REF!),0)</f>
        <v>1</v>
      </c>
      <c r="W22" s="15">
        <f ca="1">IFERROR(GETPIVOTDATA("Cuenta de CANT",Tabla9,"PROV",[2]Tablas!$A$27,"SEFIS",W$52,"CANT",[2]Tablas!#REF!),0)</f>
        <v>2</v>
      </c>
      <c r="X22" s="15">
        <f ca="1">IFERROR(GETPIVOTDATA("Cuenta de CANT",Tabla9,"PROV",[2]Tablas!$A$27,"SEFIS",X$52,"CANT",[2]Tablas!#REF!),0)</f>
        <v>1</v>
      </c>
      <c r="Y22" s="15">
        <f ca="1">IFERROR(GETPIVOTDATA("Cuenta de CANT",Tabla9,"PROV",[2]Tablas!$A$27,"SEFIS",Y$52,"CANT",[2]Tablas!#REF!),0)</f>
        <v>1</v>
      </c>
      <c r="Z22" s="15">
        <f ca="1">IFERROR(GETPIVOTDATA("Cuenta de CANT",Tabla9,"PROV",[2]Tablas!$A$27,"SEFIS",Z$52,"CANT",[2]Tablas!#REF!),0)</f>
        <v>1</v>
      </c>
      <c r="AA22" s="15">
        <f ca="1">IFERROR(GETPIVOTDATA("Cuenta de CANT",Tabla9,"PROV",[2]Tablas!$A$27,"SEFIS",AA$52,"CANT",[2]Tablas!#REF!),0)</f>
        <v>4</v>
      </c>
      <c r="AB22" s="15">
        <f ca="1">IFERROR(GETPIVOTDATA("Cuenta de CANT",Tabla9,"PROV",[2]Tablas!$A$27,"SEFIS",AB$52,"CANT",[2]Tablas!#REF!),0)</f>
        <v>3</v>
      </c>
      <c r="AC22" s="15">
        <f ca="1">IFERROR(GETPIVOTDATA("Cuenta de CANT",Tabla9,"PROV",[2]Tablas!$A$27,"SEFIS",AC$52,"CANT",[2]Tablas!#REF!),0)</f>
        <v>0</v>
      </c>
      <c r="AD22" s="15">
        <f ca="1">IFERROR(GETPIVOTDATA("Cuenta de CANT",Tabla9,"PROV",[2]Tablas!$A$27,"SEFIS",AD$52,"CANT",[2]Tablas!#REF!),0)</f>
        <v>4</v>
      </c>
      <c r="AE22" s="15">
        <f ca="1">IFERROR(GETPIVOTDATA("Cuenta de CANT",Tabla9,"PROV",[2]Tablas!$A$27,"SEFIS",AE$52,"CANT",[2]Tablas!#REF!),0)</f>
        <v>0</v>
      </c>
      <c r="AF22" s="15">
        <f ca="1">IFERROR(GETPIVOTDATA("Cuenta de CANT",Tabla9,"PROV",[2]Tablas!$A$27,"SEFIS",AF$52,"CANT",[2]Tablas!#REF!),0)</f>
        <v>6</v>
      </c>
      <c r="AG22" s="15">
        <f ca="1">IFERROR(GETPIVOTDATA("Cuenta de CANT",Tabla9,"PROV",[2]Tablas!$A$27,"SEFIS",AG$52,"CANT",[2]Tablas!#REF!),0)</f>
        <v>4</v>
      </c>
      <c r="AH22" s="15">
        <f ca="1">IFERROR(GETPIVOTDATA("Cuenta de CANT",Tabla9,"PROV",[2]Tablas!$A$27,"SEFIS",AH$52,"CANT",[2]Tablas!#REF!),0)</f>
        <v>7</v>
      </c>
      <c r="AI22" s="15">
        <f ca="1">IFERROR(GETPIVOTDATA("Cuenta de CANT",Tabla9,"PROV",[2]Tablas!$A$27,"SEFIS",AI$52,"CANT",[2]Tablas!#REF!),0)</f>
        <v>7</v>
      </c>
      <c r="AJ22" s="15">
        <f ca="1">IFERROR(GETPIVOTDATA("Cuenta de CANT",Tabla9,"PROV",[2]Tablas!$A$27,"SEFIS",AJ$52,"CANT",[2]Tablas!#REF!),0)</f>
        <v>13</v>
      </c>
      <c r="AK22" s="15">
        <f ca="1">IFERROR(GETPIVOTDATA("Cuenta de CANT",Tabla9,"PROV",[2]Tablas!$A$27,"SEFIS",AK$52,"CANT",[2]Tablas!#REF!),0)</f>
        <v>10</v>
      </c>
      <c r="AL22" s="15">
        <f ca="1">IFERROR(GETPIVOTDATA("Cuenta de CANT",Tabla9,"PROV",[2]Tablas!$A$27,"SEFIS",AL$52,"CANT",[2]Tablas!#REF!),0)</f>
        <v>10</v>
      </c>
      <c r="AM22" s="15">
        <f ca="1">IFERROR(GETPIVOTDATA("Cuenta de CANT",Tabla9,"PROV",[2]Tablas!$A$27,"SEFIS",AM$52,"CANT",[2]Tablas!#REF!),0)</f>
        <v>10</v>
      </c>
      <c r="AN22" s="15">
        <f ca="1">IFERROR(GETPIVOTDATA("Cuenta de CANT",Tabla9,"PROV",[2]Tablas!$A$27,"SEFIS",AN$52,"CANT",[2]Tablas!#REF!),0)</f>
        <v>12</v>
      </c>
      <c r="AO22" s="15">
        <f ca="1">IFERROR(GETPIVOTDATA("Cuenta de CANT",Tabla9,"PROV",[2]Tablas!$A$27,"SEFIS",AO$52,"CANT",[2]Tablas!#REF!),0)</f>
        <v>8</v>
      </c>
      <c r="AP22" s="15">
        <f ca="1">IFERROR(GETPIVOTDATA("Cuenta de CANT",Tabla9,"PROV",[2]Tablas!$A$27,"SEFIS",AP$52,"CANT",[2]Tablas!#REF!),0)</f>
        <v>8</v>
      </c>
      <c r="AQ22" s="15">
        <f ca="1">IFERROR(GETPIVOTDATA("Cuenta de CANT",Tabla9,"PROV",[2]Tablas!$A$27,"SEFIS",AQ$52,"CANT",[2]Tablas!#REF!),0)</f>
        <v>15</v>
      </c>
      <c r="AR22" s="15">
        <f ca="1">IFERROR(GETPIVOTDATA("Cuenta de CANT",Tabla9,"PROV",[2]Tablas!$A$27,"SEFIS",AR$52,"CANT",[2]Tablas!#REF!),0)</f>
        <v>9</v>
      </c>
      <c r="AS22" s="15">
        <f ca="1">IFERROR(GETPIVOTDATA("Cuenta de CANT",Tabla9,"PROV",[2]Tablas!$A$27,"SEFIS",AS$52,"CANT",[2]Tablas!#REF!),0)</f>
        <v>12</v>
      </c>
      <c r="AT22" s="15">
        <f ca="1">IFERROR(GETPIVOTDATA("Cuenta de CANT",Tabla9,"PROV",[2]Tablas!$A$27,"SEFIS",AT$52,"CANT",[2]Tablas!#REF!),0)</f>
        <v>8</v>
      </c>
      <c r="AU22" s="15">
        <f ca="1">IFERROR(GETPIVOTDATA("Cuenta de CANT",Tabla9,"PROV",[2]Tablas!$A$27,"SEFIS",AU$52,"CANT",[2]Tablas!#REF!),0)</f>
        <v>6</v>
      </c>
      <c r="AV22" s="15">
        <f ca="1">IFERROR(GETPIVOTDATA("Cuenta de CANT",Tabla9,"PROV",[2]Tablas!$A$27,"SEFIS",AV$52,"CANT",[2]Tablas!#REF!),0)</f>
        <v>3</v>
      </c>
      <c r="AW22" s="15">
        <f ca="1">IFERROR(GETPIVOTDATA("Cuenta de CANT",Tabla9,"PROV",[2]Tablas!$A$27,"SEFIS",AW$52,"CANT",[2]Tablas!#REF!),0)</f>
        <v>5</v>
      </c>
      <c r="AX22" s="15">
        <f ca="1">IFERROR(GETPIVOTDATA("Cuenta de CANT",Tabla9,"PROV",[2]Tablas!$A$27,"SEFIS",AX$52,"CANT",[2]Tablas!#REF!),0)</f>
        <v>6</v>
      </c>
      <c r="AY22" s="15">
        <f ca="1">IFERROR(GETPIVOTDATA("Cuenta de CANT",Tabla9,"PROV",[2]Tablas!$A$27,"SEFIS",AY$52,"CANT",[2]Tablas!#REF!),0)</f>
        <v>1</v>
      </c>
      <c r="AZ22" s="15">
        <f ca="1">IFERROR(GETPIVOTDATA("Cuenta de CANT",Tabla9,"PROV",[2]Tablas!$A$27,"SEFIS",AZ$52,"CANT",[2]Tablas!#REF!),0)</f>
        <v>3</v>
      </c>
      <c r="BA22" s="15">
        <f ca="1">IFERROR(GETPIVOTDATA("Cuenta de CANT",Tabla9,"PROV",[2]Tablas!$A$27,"SEFIS",BA$52,"CANT",[2]Tablas!#REF!),0)</f>
        <v>2</v>
      </c>
      <c r="BB22" s="15">
        <f ca="1">IFERROR(GETPIVOTDATA("Cuenta de CANT",Tabla9,"PROV",[2]Tablas!$A$27,"SEFIS",BB$52,"CANT",[2]Tablas!#REF!),0)</f>
        <v>8</v>
      </c>
      <c r="BC22" s="15">
        <f ca="1">IFERROR(GETPIVOTDATA("Cuenta de CANT",Tabla9,"PROV",[2]Tablas!$A$27,"SEFIS",BC$52,"CANT",[2]Tablas!#REF!),0)</f>
        <v>6</v>
      </c>
      <c r="BD22" s="15">
        <f ca="1">IFERROR(GETPIVOTDATA("Cuenta de CANT",Tabla9,"PROV",[2]Tablas!$A$27,"SEFIS",BD$52,"CANT",[2]Tablas!#REF!),0)</f>
        <v>0</v>
      </c>
    </row>
    <row r="23" spans="1:56" x14ac:dyDescent="0.35">
      <c r="A23" s="14" t="s">
        <v>121</v>
      </c>
      <c r="B23" s="15">
        <f t="shared" ca="1" si="2"/>
        <v>11</v>
      </c>
      <c r="C23" s="16">
        <f ca="1">IFERROR(B23/[2]Tablas!#REF!*100000,"N/D")</f>
        <v>15.273323058552366</v>
      </c>
      <c r="D23" s="15">
        <f ca="1">IFERROR(GETPIVOTDATA("Cuenta de CANT",Tabla9,"PROV",[2]Tablas!$A$27,"SEFIS",D$52,"CANT",[2]Tablas!#REF!),0)</f>
        <v>0</v>
      </c>
      <c r="E23" s="15">
        <f ca="1">IFERROR(GETPIVOTDATA("Cuenta de CANT",Tabla9,"PROV",[2]Tablas!$A$27,"SEFIS",E$52,"CANT",[2]Tablas!#REF!),0)</f>
        <v>0</v>
      </c>
      <c r="F23" s="15">
        <f ca="1">IFERROR(GETPIVOTDATA("Cuenta de CANT",Tabla9,"PROV",[2]Tablas!$A$27,"SEFIS",F$52,"CANT",[2]Tablas!#REF!),0)</f>
        <v>1</v>
      </c>
      <c r="G23" s="15">
        <f ca="1">IFERROR(GETPIVOTDATA("Cuenta de CANT",Tabla9,"PROV",[2]Tablas!$A$27,"SEFIS",G$52,"CANT",[2]Tablas!#REF!),0)</f>
        <v>0</v>
      </c>
      <c r="H23" s="15">
        <f ca="1">IFERROR(GETPIVOTDATA("Cuenta de CANT",Tabla9,"PROV",[2]Tablas!$A$27,"SEFIS",H$52,"CANT",[2]Tablas!#REF!),0)</f>
        <v>0</v>
      </c>
      <c r="I23" s="15">
        <f ca="1">IFERROR(GETPIVOTDATA("Cuenta de CANT",Tabla9,"PROV",[2]Tablas!$A$27,"SEFIS",I$52,"CANT",[2]Tablas!#REF!),0)</f>
        <v>0</v>
      </c>
      <c r="J23" s="15">
        <f ca="1">IFERROR(GETPIVOTDATA("Cuenta de CANT",Tabla9,"PROV",[2]Tablas!$A$27,"SEFIS",J$52,"CANT",[2]Tablas!#REF!),0)</f>
        <v>1</v>
      </c>
      <c r="K23" s="15">
        <f ca="1">IFERROR(GETPIVOTDATA("Cuenta de CANT",Tabla9,"PROV",[2]Tablas!$A$27,"SEFIS",K$52,"CANT",[2]Tablas!#REF!),0)</f>
        <v>0</v>
      </c>
      <c r="L23" s="15">
        <f ca="1">IFERROR(GETPIVOTDATA("Cuenta de CANT",Tabla9,"PROV",[2]Tablas!$A$27,"SEFIS",L$52,"CANT",[2]Tablas!#REF!),0)</f>
        <v>0</v>
      </c>
      <c r="M23" s="15">
        <f ca="1">IFERROR(GETPIVOTDATA("Cuenta de CANT",Tabla9,"PROV",[2]Tablas!$A$27,"SEFIS",M$52,"CANT",[2]Tablas!#REF!),0)</f>
        <v>0</v>
      </c>
      <c r="N23" s="15">
        <f ca="1">IFERROR(GETPIVOTDATA("Cuenta de CANT",Tabla9,"PROV",[2]Tablas!$A$27,"SEFIS",N$52,"CANT",[2]Tablas!#REF!),0)</f>
        <v>0</v>
      </c>
      <c r="O23" s="15">
        <f ca="1">IFERROR(GETPIVOTDATA("Cuenta de CANT",Tabla9,"PROV",[2]Tablas!$A$27,"SEFIS",O$52,"CANT",[2]Tablas!#REF!),0)</f>
        <v>0</v>
      </c>
      <c r="P23" s="15">
        <f ca="1">IFERROR(GETPIVOTDATA("Cuenta de CANT",Tabla9,"PROV",[2]Tablas!$A$27,"SEFIS",P$52,"CANT",[2]Tablas!#REF!),0)</f>
        <v>0</v>
      </c>
      <c r="Q23" s="15">
        <f ca="1">IFERROR(GETPIVOTDATA("Cuenta de CANT",Tabla9,"PROV",[2]Tablas!$A$27,"SEFIS",Q$52,"CANT",[2]Tablas!#REF!),0)</f>
        <v>0</v>
      </c>
      <c r="R23" s="15">
        <f ca="1">IFERROR(GETPIVOTDATA("Cuenta de CANT",Tabla9,"PROV",[2]Tablas!$A$27,"SEFIS",R$52,"CANT",[2]Tablas!#REF!),0)</f>
        <v>0</v>
      </c>
      <c r="S23" s="15">
        <f ca="1">IFERROR(GETPIVOTDATA("Cuenta de CANT",Tabla9,"PROV",[2]Tablas!$A$27,"SEFIS",S$52,"CANT",[2]Tablas!#REF!),0)</f>
        <v>0</v>
      </c>
      <c r="T23" s="15">
        <f ca="1">IFERROR(GETPIVOTDATA("Cuenta de CANT",Tabla9,"PROV",[2]Tablas!$A$27,"SEFIS",T$52,"CANT",[2]Tablas!#REF!),0)</f>
        <v>1</v>
      </c>
      <c r="U23" s="15">
        <f ca="1">IFERROR(GETPIVOTDATA("Cuenta de CANT",Tabla9,"PROV",[2]Tablas!$A$27,"SEFIS",U$52,"CANT",[2]Tablas!#REF!),0)</f>
        <v>0</v>
      </c>
      <c r="V23" s="15">
        <f ca="1">IFERROR(GETPIVOTDATA("Cuenta de CANT",Tabla9,"PROV",[2]Tablas!$A$27,"SEFIS",V$52,"CANT",[2]Tablas!#REF!),0)</f>
        <v>0</v>
      </c>
      <c r="W23" s="15">
        <f ca="1">IFERROR(GETPIVOTDATA("Cuenta de CANT",Tabla9,"PROV",[2]Tablas!$A$27,"SEFIS",W$52,"CANT",[2]Tablas!#REF!),0)</f>
        <v>0</v>
      </c>
      <c r="X23" s="15">
        <f ca="1">IFERROR(GETPIVOTDATA("Cuenta de CANT",Tabla9,"PROV",[2]Tablas!$A$27,"SEFIS",X$52,"CANT",[2]Tablas!#REF!),0)</f>
        <v>0</v>
      </c>
      <c r="Y23" s="15">
        <f ca="1">IFERROR(GETPIVOTDATA("Cuenta de CANT",Tabla9,"PROV",[2]Tablas!$A$27,"SEFIS",Y$52,"CANT",[2]Tablas!#REF!),0)</f>
        <v>0</v>
      </c>
      <c r="Z23" s="15">
        <f ca="1">IFERROR(GETPIVOTDATA("Cuenta de CANT",Tabla9,"PROV",[2]Tablas!$A$27,"SEFIS",Z$52,"CANT",[2]Tablas!#REF!),0)</f>
        <v>0</v>
      </c>
      <c r="AA23" s="15">
        <f ca="1">IFERROR(GETPIVOTDATA("Cuenta de CANT",Tabla9,"PROV",[2]Tablas!$A$27,"SEFIS",AA$52,"CANT",[2]Tablas!#REF!),0)</f>
        <v>0</v>
      </c>
      <c r="AB23" s="15">
        <f ca="1">IFERROR(GETPIVOTDATA("Cuenta de CANT",Tabla9,"PROV",[2]Tablas!$A$27,"SEFIS",AB$52,"CANT",[2]Tablas!#REF!),0)</f>
        <v>0</v>
      </c>
      <c r="AC23" s="15">
        <f ca="1">IFERROR(GETPIVOTDATA("Cuenta de CANT",Tabla9,"PROV",[2]Tablas!$A$27,"SEFIS",AC$52,"CANT",[2]Tablas!#REF!),0)</f>
        <v>0</v>
      </c>
      <c r="AD23" s="15">
        <f ca="1">IFERROR(GETPIVOTDATA("Cuenta de CANT",Tabla9,"PROV",[2]Tablas!$A$27,"SEFIS",AD$52,"CANT",[2]Tablas!#REF!),0)</f>
        <v>0</v>
      </c>
      <c r="AE23" s="15">
        <f ca="1">IFERROR(GETPIVOTDATA("Cuenta de CANT",Tabla9,"PROV",[2]Tablas!$A$27,"SEFIS",AE$52,"CANT",[2]Tablas!#REF!),0)</f>
        <v>0</v>
      </c>
      <c r="AF23" s="15">
        <f ca="1">IFERROR(GETPIVOTDATA("Cuenta de CANT",Tabla9,"PROV",[2]Tablas!$A$27,"SEFIS",AF$52,"CANT",[2]Tablas!#REF!),0)</f>
        <v>0</v>
      </c>
      <c r="AG23" s="15">
        <f ca="1">IFERROR(GETPIVOTDATA("Cuenta de CANT",Tabla9,"PROV",[2]Tablas!$A$27,"SEFIS",AG$52,"CANT",[2]Tablas!#REF!),0)</f>
        <v>0</v>
      </c>
      <c r="AH23" s="15">
        <f ca="1">IFERROR(GETPIVOTDATA("Cuenta de CANT",Tabla9,"PROV",[2]Tablas!$A$27,"SEFIS",AH$52,"CANT",[2]Tablas!#REF!),0)</f>
        <v>0</v>
      </c>
      <c r="AI23" s="15">
        <f ca="1">IFERROR(GETPIVOTDATA("Cuenta de CANT",Tabla9,"PROV",[2]Tablas!$A$27,"SEFIS",AI$52,"CANT",[2]Tablas!#REF!),0)</f>
        <v>0</v>
      </c>
      <c r="AJ23" s="15">
        <f ca="1">IFERROR(GETPIVOTDATA("Cuenta de CANT",Tabla9,"PROV",[2]Tablas!$A$27,"SEFIS",AJ$52,"CANT",[2]Tablas!#REF!),0)</f>
        <v>0</v>
      </c>
      <c r="AK23" s="15">
        <f ca="1">IFERROR(GETPIVOTDATA("Cuenta de CANT",Tabla9,"PROV",[2]Tablas!$A$27,"SEFIS",AK$52,"CANT",[2]Tablas!#REF!),0)</f>
        <v>1</v>
      </c>
      <c r="AL23" s="15">
        <f ca="1">IFERROR(GETPIVOTDATA("Cuenta de CANT",Tabla9,"PROV",[2]Tablas!$A$27,"SEFIS",AL$52,"CANT",[2]Tablas!#REF!),0)</f>
        <v>0</v>
      </c>
      <c r="AM23" s="15">
        <f ca="1">IFERROR(GETPIVOTDATA("Cuenta de CANT",Tabla9,"PROV",[2]Tablas!$A$27,"SEFIS",AM$52,"CANT",[2]Tablas!#REF!),0)</f>
        <v>0</v>
      </c>
      <c r="AN23" s="15">
        <f ca="1">IFERROR(GETPIVOTDATA("Cuenta de CANT",Tabla9,"PROV",[2]Tablas!$A$27,"SEFIS",AN$52,"CANT",[2]Tablas!#REF!),0)</f>
        <v>0</v>
      </c>
      <c r="AO23" s="15">
        <f ca="1">IFERROR(GETPIVOTDATA("Cuenta de CANT",Tabla9,"PROV",[2]Tablas!$A$27,"SEFIS",AO$52,"CANT",[2]Tablas!#REF!),0)</f>
        <v>0</v>
      </c>
      <c r="AP23" s="15">
        <f ca="1">IFERROR(GETPIVOTDATA("Cuenta de CANT",Tabla9,"PROV",[2]Tablas!$A$27,"SEFIS",AP$52,"CANT",[2]Tablas!#REF!),0)</f>
        <v>0</v>
      </c>
      <c r="AQ23" s="15">
        <f ca="1">IFERROR(GETPIVOTDATA("Cuenta de CANT",Tabla9,"PROV",[2]Tablas!$A$27,"SEFIS",AQ$52,"CANT",[2]Tablas!#REF!),0)</f>
        <v>0</v>
      </c>
      <c r="AR23" s="15">
        <f ca="1">IFERROR(GETPIVOTDATA("Cuenta de CANT",Tabla9,"PROV",[2]Tablas!$A$27,"SEFIS",AR$52,"CANT",[2]Tablas!#REF!),0)</f>
        <v>0</v>
      </c>
      <c r="AS23" s="15">
        <f ca="1">IFERROR(GETPIVOTDATA("Cuenta de CANT",Tabla9,"PROV",[2]Tablas!$A$27,"SEFIS",AS$52,"CANT",[2]Tablas!#REF!),0)</f>
        <v>1</v>
      </c>
      <c r="AT23" s="15">
        <f ca="1">IFERROR(GETPIVOTDATA("Cuenta de CANT",Tabla9,"PROV",[2]Tablas!$A$27,"SEFIS",AT$52,"CANT",[2]Tablas!#REF!),0)</f>
        <v>0</v>
      </c>
      <c r="AU23" s="15">
        <f ca="1">IFERROR(GETPIVOTDATA("Cuenta de CANT",Tabla9,"PROV",[2]Tablas!$A$27,"SEFIS",AU$52,"CANT",[2]Tablas!#REF!),0)</f>
        <v>1</v>
      </c>
      <c r="AV23" s="15">
        <f ca="1">IFERROR(GETPIVOTDATA("Cuenta de CANT",Tabla9,"PROV",[2]Tablas!$A$27,"SEFIS",AV$52,"CANT",[2]Tablas!#REF!),0)</f>
        <v>2</v>
      </c>
      <c r="AW23" s="15">
        <f ca="1">IFERROR(GETPIVOTDATA("Cuenta de CANT",Tabla9,"PROV",[2]Tablas!$A$27,"SEFIS",AW$52,"CANT",[2]Tablas!#REF!),0)</f>
        <v>0</v>
      </c>
      <c r="AX23" s="15">
        <f ca="1">IFERROR(GETPIVOTDATA("Cuenta de CANT",Tabla9,"PROV",[2]Tablas!$A$27,"SEFIS",AX$52,"CANT",[2]Tablas!#REF!),0)</f>
        <v>1</v>
      </c>
      <c r="AY23" s="15">
        <f ca="1">IFERROR(GETPIVOTDATA("Cuenta de CANT",Tabla9,"PROV",[2]Tablas!$A$27,"SEFIS",AY$52,"CANT",[2]Tablas!#REF!),0)</f>
        <v>0</v>
      </c>
      <c r="AZ23" s="15">
        <f ca="1">IFERROR(GETPIVOTDATA("Cuenta de CANT",Tabla9,"PROV",[2]Tablas!$A$27,"SEFIS",AZ$52,"CANT",[2]Tablas!#REF!),0)</f>
        <v>0</v>
      </c>
      <c r="BA23" s="15">
        <f ca="1">IFERROR(GETPIVOTDATA("Cuenta de CANT",Tabla9,"PROV",[2]Tablas!$A$27,"SEFIS",BA$52,"CANT",[2]Tablas!#REF!),0)</f>
        <v>0</v>
      </c>
      <c r="BB23" s="15">
        <f ca="1">IFERROR(GETPIVOTDATA("Cuenta de CANT",Tabla9,"PROV",[2]Tablas!$A$27,"SEFIS",BB$52,"CANT",[2]Tablas!#REF!),0)</f>
        <v>2</v>
      </c>
      <c r="BC23" s="15">
        <f ca="1">IFERROR(GETPIVOTDATA("Cuenta de CANT",Tabla9,"PROV",[2]Tablas!$A$27,"SEFIS",BC$52,"CANT",[2]Tablas!#REF!),0)</f>
        <v>0</v>
      </c>
      <c r="BD23" s="15">
        <f ca="1">IFERROR(GETPIVOTDATA("Cuenta de CANT",Tabla9,"PROV",[2]Tablas!$A$27,"SEFIS",BD$52,"CANT",[2]Tablas!#REF!),0)</f>
        <v>0</v>
      </c>
    </row>
    <row r="24" spans="1:56" x14ac:dyDescent="0.35">
      <c r="A24" s="14" t="s">
        <v>122</v>
      </c>
      <c r="B24" s="15">
        <f t="shared" ca="1" si="2"/>
        <v>9</v>
      </c>
      <c r="C24" s="16">
        <f ca="1">IFERROR(B24/[2]Tablas!#REF!*100000,"N/D")</f>
        <v>40.910950497749901</v>
      </c>
      <c r="D24" s="15">
        <f ca="1">IFERROR(GETPIVOTDATA("Cuenta de CANT",Tabla9,"PROV",[2]Tablas!$A$27,"SEFIS",D$52,"CANT",[2]Tablas!#REF!),0)</f>
        <v>0</v>
      </c>
      <c r="E24" s="15">
        <f ca="1">IFERROR(GETPIVOTDATA("Cuenta de CANT",Tabla9,"PROV",[2]Tablas!$A$27,"SEFIS",E$52,"CANT",[2]Tablas!#REF!),0)</f>
        <v>0</v>
      </c>
      <c r="F24" s="15">
        <f ca="1">IFERROR(GETPIVOTDATA("Cuenta de CANT",Tabla9,"PROV",[2]Tablas!$A$27,"SEFIS",F$52,"CANT",[2]Tablas!#REF!),0)</f>
        <v>0</v>
      </c>
      <c r="G24" s="15">
        <f ca="1">IFERROR(GETPIVOTDATA("Cuenta de CANT",Tabla9,"PROV",[2]Tablas!$A$27,"SEFIS",G$52,"CANT",[2]Tablas!#REF!),0)</f>
        <v>0</v>
      </c>
      <c r="H24" s="15">
        <f ca="1">IFERROR(GETPIVOTDATA("Cuenta de CANT",Tabla9,"PROV",[2]Tablas!$A$27,"SEFIS",H$52,"CANT",[2]Tablas!#REF!),0)</f>
        <v>0</v>
      </c>
      <c r="I24" s="15">
        <f ca="1">IFERROR(GETPIVOTDATA("Cuenta de CANT",Tabla9,"PROV",[2]Tablas!$A$27,"SEFIS",I$52,"CANT",[2]Tablas!#REF!),0)</f>
        <v>1</v>
      </c>
      <c r="J24" s="15">
        <f ca="1">IFERROR(GETPIVOTDATA("Cuenta de CANT",Tabla9,"PROV",[2]Tablas!$A$27,"SEFIS",J$52,"CANT",[2]Tablas!#REF!),0)</f>
        <v>0</v>
      </c>
      <c r="K24" s="15">
        <f ca="1">IFERROR(GETPIVOTDATA("Cuenta de CANT",Tabla9,"PROV",[2]Tablas!$A$27,"SEFIS",K$52,"CANT",[2]Tablas!#REF!),0)</f>
        <v>0</v>
      </c>
      <c r="L24" s="15">
        <f ca="1">IFERROR(GETPIVOTDATA("Cuenta de CANT",Tabla9,"PROV",[2]Tablas!$A$27,"SEFIS",L$52,"CANT",[2]Tablas!#REF!),0)</f>
        <v>0</v>
      </c>
      <c r="M24" s="15">
        <f ca="1">IFERROR(GETPIVOTDATA("Cuenta de CANT",Tabla9,"PROV",[2]Tablas!$A$27,"SEFIS",M$52,"CANT",[2]Tablas!#REF!),0)</f>
        <v>0</v>
      </c>
      <c r="N24" s="15">
        <f ca="1">IFERROR(GETPIVOTDATA("Cuenta de CANT",Tabla9,"PROV",[2]Tablas!$A$27,"SEFIS",N$52,"CANT",[2]Tablas!#REF!),0)</f>
        <v>0</v>
      </c>
      <c r="O24" s="15">
        <f ca="1">IFERROR(GETPIVOTDATA("Cuenta de CANT",Tabla9,"PROV",[2]Tablas!$A$27,"SEFIS",O$52,"CANT",[2]Tablas!#REF!),0)</f>
        <v>0</v>
      </c>
      <c r="P24" s="15">
        <f ca="1">IFERROR(GETPIVOTDATA("Cuenta de CANT",Tabla9,"PROV",[2]Tablas!$A$27,"SEFIS",P$52,"CANT",[2]Tablas!#REF!),0)</f>
        <v>0</v>
      </c>
      <c r="Q24" s="15">
        <f ca="1">IFERROR(GETPIVOTDATA("Cuenta de CANT",Tabla9,"PROV",[2]Tablas!$A$27,"SEFIS",Q$52,"CANT",[2]Tablas!#REF!),0)</f>
        <v>0</v>
      </c>
      <c r="R24" s="15">
        <f ca="1">IFERROR(GETPIVOTDATA("Cuenta de CANT",Tabla9,"PROV",[2]Tablas!$A$27,"SEFIS",R$52,"CANT",[2]Tablas!#REF!),0)</f>
        <v>1</v>
      </c>
      <c r="S24" s="15">
        <f ca="1">IFERROR(GETPIVOTDATA("Cuenta de CANT",Tabla9,"PROV",[2]Tablas!$A$27,"SEFIS",S$52,"CANT",[2]Tablas!#REF!),0)</f>
        <v>0</v>
      </c>
      <c r="T24" s="15">
        <f ca="1">IFERROR(GETPIVOTDATA("Cuenta de CANT",Tabla9,"PROV",[2]Tablas!$A$27,"SEFIS",T$52,"CANT",[2]Tablas!#REF!),0)</f>
        <v>0</v>
      </c>
      <c r="U24" s="15">
        <f ca="1">IFERROR(GETPIVOTDATA("Cuenta de CANT",Tabla9,"PROV",[2]Tablas!$A$27,"SEFIS",U$52,"CANT",[2]Tablas!#REF!),0)</f>
        <v>0</v>
      </c>
      <c r="V24" s="15">
        <f ca="1">IFERROR(GETPIVOTDATA("Cuenta de CANT",Tabla9,"PROV",[2]Tablas!$A$27,"SEFIS",V$52,"CANT",[2]Tablas!#REF!),0)</f>
        <v>0</v>
      </c>
      <c r="W24" s="15">
        <f ca="1">IFERROR(GETPIVOTDATA("Cuenta de CANT",Tabla9,"PROV",[2]Tablas!$A$27,"SEFIS",W$52,"CANT",[2]Tablas!#REF!),0)</f>
        <v>0</v>
      </c>
      <c r="X24" s="15">
        <f ca="1">IFERROR(GETPIVOTDATA("Cuenta de CANT",Tabla9,"PROV",[2]Tablas!$A$27,"SEFIS",X$52,"CANT",[2]Tablas!#REF!),0)</f>
        <v>0</v>
      </c>
      <c r="Y24" s="15">
        <f ca="1">IFERROR(GETPIVOTDATA("Cuenta de CANT",Tabla9,"PROV",[2]Tablas!$A$27,"SEFIS",Y$52,"CANT",[2]Tablas!#REF!),0)</f>
        <v>1</v>
      </c>
      <c r="Z24" s="15">
        <f ca="1">IFERROR(GETPIVOTDATA("Cuenta de CANT",Tabla9,"PROV",[2]Tablas!$A$27,"SEFIS",Z$52,"CANT",[2]Tablas!#REF!),0)</f>
        <v>0</v>
      </c>
      <c r="AA24" s="15">
        <f ca="1">IFERROR(GETPIVOTDATA("Cuenta de CANT",Tabla9,"PROV",[2]Tablas!$A$27,"SEFIS",AA$52,"CANT",[2]Tablas!#REF!),0)</f>
        <v>0</v>
      </c>
      <c r="AB24" s="15">
        <f ca="1">IFERROR(GETPIVOTDATA("Cuenta de CANT",Tabla9,"PROV",[2]Tablas!$A$27,"SEFIS",AB$52,"CANT",[2]Tablas!#REF!),0)</f>
        <v>0</v>
      </c>
      <c r="AC24" s="15">
        <f ca="1">IFERROR(GETPIVOTDATA("Cuenta de CANT",Tabla9,"PROV",[2]Tablas!$A$27,"SEFIS",AC$52,"CANT",[2]Tablas!#REF!),0)</f>
        <v>0</v>
      </c>
      <c r="AD24" s="15">
        <f ca="1">IFERROR(GETPIVOTDATA("Cuenta de CANT",Tabla9,"PROV",[2]Tablas!$A$27,"SEFIS",AD$52,"CANT",[2]Tablas!#REF!),0)</f>
        <v>0</v>
      </c>
      <c r="AE24" s="15">
        <f ca="1">IFERROR(GETPIVOTDATA("Cuenta de CANT",Tabla9,"PROV",[2]Tablas!$A$27,"SEFIS",AE$52,"CANT",[2]Tablas!#REF!),0)</f>
        <v>0</v>
      </c>
      <c r="AF24" s="15">
        <f ca="1">IFERROR(GETPIVOTDATA("Cuenta de CANT",Tabla9,"PROV",[2]Tablas!$A$27,"SEFIS",AF$52,"CANT",[2]Tablas!#REF!),0)</f>
        <v>0</v>
      </c>
      <c r="AG24" s="15">
        <f ca="1">IFERROR(GETPIVOTDATA("Cuenta de CANT",Tabla9,"PROV",[2]Tablas!$A$27,"SEFIS",AG$52,"CANT",[2]Tablas!#REF!),0)</f>
        <v>0</v>
      </c>
      <c r="AH24" s="15">
        <f ca="1">IFERROR(GETPIVOTDATA("Cuenta de CANT",Tabla9,"PROV",[2]Tablas!$A$27,"SEFIS",AH$52,"CANT",[2]Tablas!#REF!),0)</f>
        <v>0</v>
      </c>
      <c r="AI24" s="15">
        <f ca="1">IFERROR(GETPIVOTDATA("Cuenta de CANT",Tabla9,"PROV",[2]Tablas!$A$27,"SEFIS",AI$52,"CANT",[2]Tablas!#REF!),0)</f>
        <v>0</v>
      </c>
      <c r="AJ24" s="15">
        <f ca="1">IFERROR(GETPIVOTDATA("Cuenta de CANT",Tabla9,"PROV",[2]Tablas!$A$27,"SEFIS",AJ$52,"CANT",[2]Tablas!#REF!),0)</f>
        <v>0</v>
      </c>
      <c r="AK24" s="15">
        <f ca="1">IFERROR(GETPIVOTDATA("Cuenta de CANT",Tabla9,"PROV",[2]Tablas!$A$27,"SEFIS",AK$52,"CANT",[2]Tablas!#REF!),0)</f>
        <v>0</v>
      </c>
      <c r="AL24" s="15">
        <f ca="1">IFERROR(GETPIVOTDATA("Cuenta de CANT",Tabla9,"PROV",[2]Tablas!$A$27,"SEFIS",AL$52,"CANT",[2]Tablas!#REF!),0)</f>
        <v>0</v>
      </c>
      <c r="AM24" s="15">
        <f ca="1">IFERROR(GETPIVOTDATA("Cuenta de CANT",Tabla9,"PROV",[2]Tablas!$A$27,"SEFIS",AM$52,"CANT",[2]Tablas!#REF!),0)</f>
        <v>0</v>
      </c>
      <c r="AN24" s="15">
        <f ca="1">IFERROR(GETPIVOTDATA("Cuenta de CANT",Tabla9,"PROV",[2]Tablas!$A$27,"SEFIS",AN$52,"CANT",[2]Tablas!#REF!),0)</f>
        <v>1</v>
      </c>
      <c r="AO24" s="15">
        <f ca="1">IFERROR(GETPIVOTDATA("Cuenta de CANT",Tabla9,"PROV",[2]Tablas!$A$27,"SEFIS",AO$52,"CANT",[2]Tablas!#REF!),0)</f>
        <v>0</v>
      </c>
      <c r="AP24" s="15">
        <f ca="1">IFERROR(GETPIVOTDATA("Cuenta de CANT",Tabla9,"PROV",[2]Tablas!$A$27,"SEFIS",AP$52,"CANT",[2]Tablas!#REF!),0)</f>
        <v>1</v>
      </c>
      <c r="AQ24" s="15">
        <f ca="1">IFERROR(GETPIVOTDATA("Cuenta de CANT",Tabla9,"PROV",[2]Tablas!$A$27,"SEFIS",AQ$52,"CANT",[2]Tablas!#REF!),0)</f>
        <v>0</v>
      </c>
      <c r="AR24" s="15">
        <f ca="1">IFERROR(GETPIVOTDATA("Cuenta de CANT",Tabla9,"PROV",[2]Tablas!$A$27,"SEFIS",AR$52,"CANT",[2]Tablas!#REF!),0)</f>
        <v>0</v>
      </c>
      <c r="AS24" s="15">
        <f ca="1">IFERROR(GETPIVOTDATA("Cuenta de CANT",Tabla9,"PROV",[2]Tablas!$A$27,"SEFIS",AS$52,"CANT",[2]Tablas!#REF!),0)</f>
        <v>0</v>
      </c>
      <c r="AT24" s="15">
        <f ca="1">IFERROR(GETPIVOTDATA("Cuenta de CANT",Tabla9,"PROV",[2]Tablas!$A$27,"SEFIS",AT$52,"CANT",[2]Tablas!#REF!),0)</f>
        <v>0</v>
      </c>
      <c r="AU24" s="15">
        <f ca="1">IFERROR(GETPIVOTDATA("Cuenta de CANT",Tabla9,"PROV",[2]Tablas!$A$27,"SEFIS",AU$52,"CANT",[2]Tablas!#REF!),0)</f>
        <v>0</v>
      </c>
      <c r="AV24" s="15">
        <f ca="1">IFERROR(GETPIVOTDATA("Cuenta de CANT",Tabla9,"PROV",[2]Tablas!$A$27,"SEFIS",AV$52,"CANT",[2]Tablas!#REF!),0)</f>
        <v>2</v>
      </c>
      <c r="AW24" s="15">
        <f ca="1">IFERROR(GETPIVOTDATA("Cuenta de CANT",Tabla9,"PROV",[2]Tablas!$A$27,"SEFIS",AW$52,"CANT",[2]Tablas!#REF!),0)</f>
        <v>0</v>
      </c>
      <c r="AX24" s="15">
        <f ca="1">IFERROR(GETPIVOTDATA("Cuenta de CANT",Tabla9,"PROV",[2]Tablas!$A$27,"SEFIS",AX$52,"CANT",[2]Tablas!#REF!),0)</f>
        <v>0</v>
      </c>
      <c r="AY24" s="15">
        <f ca="1">IFERROR(GETPIVOTDATA("Cuenta de CANT",Tabla9,"PROV",[2]Tablas!$A$27,"SEFIS",AY$52,"CANT",[2]Tablas!#REF!),0)</f>
        <v>0</v>
      </c>
      <c r="AZ24" s="15">
        <f ca="1">IFERROR(GETPIVOTDATA("Cuenta de CANT",Tabla9,"PROV",[2]Tablas!$A$27,"SEFIS",AZ$52,"CANT",[2]Tablas!#REF!),0)</f>
        <v>0</v>
      </c>
      <c r="BA24" s="15">
        <f ca="1">IFERROR(GETPIVOTDATA("Cuenta de CANT",Tabla9,"PROV",[2]Tablas!$A$27,"SEFIS",BA$52,"CANT",[2]Tablas!#REF!),0)</f>
        <v>1</v>
      </c>
      <c r="BB24" s="15">
        <f ca="1">IFERROR(GETPIVOTDATA("Cuenta de CANT",Tabla9,"PROV",[2]Tablas!$A$27,"SEFIS",BB$52,"CANT",[2]Tablas!#REF!),0)</f>
        <v>1</v>
      </c>
      <c r="BC24" s="15">
        <f ca="1">IFERROR(GETPIVOTDATA("Cuenta de CANT",Tabla9,"PROV",[2]Tablas!$A$27,"SEFIS",BC$52,"CANT",[2]Tablas!#REF!),0)</f>
        <v>0</v>
      </c>
      <c r="BD24" s="15">
        <f ca="1">IFERROR(GETPIVOTDATA("Cuenta de CANT",Tabla9,"PROV",[2]Tablas!$A$27,"SEFIS",BD$52,"CANT",[2]Tablas!#REF!),0)</f>
        <v>0</v>
      </c>
    </row>
    <row r="25" spans="1:56" x14ac:dyDescent="0.35">
      <c r="A25" s="14" t="s">
        <v>123</v>
      </c>
      <c r="B25" s="15">
        <f t="shared" ca="1" si="2"/>
        <v>51</v>
      </c>
      <c r="C25" s="16">
        <f ca="1">IFERROR(B25/[2]Tablas!#REF!*100000,"N/D")</f>
        <v>59.723864953801836</v>
      </c>
      <c r="D25" s="15">
        <f ca="1">IFERROR(GETPIVOTDATA("Cuenta de CANT",Tabla9,"PROV",[2]Tablas!$A$27,"SEFIS",D$52,"CANT",[2]Tablas!#REF!),0)</f>
        <v>7</v>
      </c>
      <c r="E25" s="15">
        <f ca="1">IFERROR(GETPIVOTDATA("Cuenta de CANT",Tabla9,"PROV",[2]Tablas!$A$27,"SEFIS",E$52,"CANT",[2]Tablas!#REF!),0)</f>
        <v>7</v>
      </c>
      <c r="F25" s="15">
        <f ca="1">IFERROR(GETPIVOTDATA("Cuenta de CANT",Tabla9,"PROV",[2]Tablas!$A$27,"SEFIS",F$52,"CANT",[2]Tablas!#REF!),0)</f>
        <v>0</v>
      </c>
      <c r="G25" s="15">
        <f ca="1">IFERROR(GETPIVOTDATA("Cuenta de CANT",Tabla9,"PROV",[2]Tablas!$A$27,"SEFIS",G$52,"CANT",[2]Tablas!#REF!),0)</f>
        <v>1</v>
      </c>
      <c r="H25" s="15">
        <f ca="1">IFERROR(GETPIVOTDATA("Cuenta de CANT",Tabla9,"PROV",[2]Tablas!$A$27,"SEFIS",H$52,"CANT",[2]Tablas!#REF!),0)</f>
        <v>1</v>
      </c>
      <c r="I25" s="15">
        <f ca="1">IFERROR(GETPIVOTDATA("Cuenta de CANT",Tabla9,"PROV",[2]Tablas!$A$27,"SEFIS",I$52,"CANT",[2]Tablas!#REF!),0)</f>
        <v>0</v>
      </c>
      <c r="J25" s="15">
        <f ca="1">IFERROR(GETPIVOTDATA("Cuenta de CANT",Tabla9,"PROV",[2]Tablas!$A$27,"SEFIS",J$52,"CANT",[2]Tablas!#REF!),0)</f>
        <v>2</v>
      </c>
      <c r="K25" s="15">
        <f ca="1">IFERROR(GETPIVOTDATA("Cuenta de CANT",Tabla9,"PROV",[2]Tablas!$A$27,"SEFIS",K$52,"CANT",[2]Tablas!#REF!),0)</f>
        <v>0</v>
      </c>
      <c r="L25" s="15">
        <f ca="1">IFERROR(GETPIVOTDATA("Cuenta de CANT",Tabla9,"PROV",[2]Tablas!$A$27,"SEFIS",L$52,"CANT",[2]Tablas!#REF!),0)</f>
        <v>0</v>
      </c>
      <c r="M25" s="15">
        <f ca="1">IFERROR(GETPIVOTDATA("Cuenta de CANT",Tabla9,"PROV",[2]Tablas!$A$27,"SEFIS",M$52,"CANT",[2]Tablas!#REF!),0)</f>
        <v>1</v>
      </c>
      <c r="N25" s="15">
        <f ca="1">IFERROR(GETPIVOTDATA("Cuenta de CANT",Tabla9,"PROV",[2]Tablas!$A$27,"SEFIS",N$52,"CANT",[2]Tablas!#REF!),0)</f>
        <v>1</v>
      </c>
      <c r="O25" s="15">
        <f ca="1">IFERROR(GETPIVOTDATA("Cuenta de CANT",Tabla9,"PROV",[2]Tablas!$A$27,"SEFIS",O$52,"CANT",[2]Tablas!#REF!),0)</f>
        <v>0</v>
      </c>
      <c r="P25" s="15">
        <f ca="1">IFERROR(GETPIVOTDATA("Cuenta de CANT",Tabla9,"PROV",[2]Tablas!$A$27,"SEFIS",P$52,"CANT",[2]Tablas!#REF!),0)</f>
        <v>1</v>
      </c>
      <c r="Q25" s="15">
        <f ca="1">IFERROR(GETPIVOTDATA("Cuenta de CANT",Tabla9,"PROV",[2]Tablas!$A$27,"SEFIS",Q$52,"CANT",[2]Tablas!#REF!),0)</f>
        <v>0</v>
      </c>
      <c r="R25" s="15">
        <f ca="1">IFERROR(GETPIVOTDATA("Cuenta de CANT",Tabla9,"PROV",[2]Tablas!$A$27,"SEFIS",R$52,"CANT",[2]Tablas!#REF!),0)</f>
        <v>0</v>
      </c>
      <c r="S25" s="15">
        <f ca="1">IFERROR(GETPIVOTDATA("Cuenta de CANT",Tabla9,"PROV",[2]Tablas!$A$27,"SEFIS",S$52,"CANT",[2]Tablas!#REF!),0)</f>
        <v>2</v>
      </c>
      <c r="T25" s="15">
        <f ca="1">IFERROR(GETPIVOTDATA("Cuenta de CANT",Tabla9,"PROV",[2]Tablas!$A$27,"SEFIS",T$52,"CANT",[2]Tablas!#REF!),0)</f>
        <v>0</v>
      </c>
      <c r="U25" s="15">
        <f ca="1">IFERROR(GETPIVOTDATA("Cuenta de CANT",Tabla9,"PROV",[2]Tablas!$A$27,"SEFIS",U$52,"CANT",[2]Tablas!#REF!),0)</f>
        <v>0</v>
      </c>
      <c r="V25" s="15">
        <f ca="1">IFERROR(GETPIVOTDATA("Cuenta de CANT",Tabla9,"PROV",[2]Tablas!$A$27,"SEFIS",V$52,"CANT",[2]Tablas!#REF!),0)</f>
        <v>0</v>
      </c>
      <c r="W25" s="15">
        <f ca="1">IFERROR(GETPIVOTDATA("Cuenta de CANT",Tabla9,"PROV",[2]Tablas!$A$27,"SEFIS",W$52,"CANT",[2]Tablas!#REF!),0)</f>
        <v>0</v>
      </c>
      <c r="X25" s="15">
        <f ca="1">IFERROR(GETPIVOTDATA("Cuenta de CANT",Tabla9,"PROV",[2]Tablas!$A$27,"SEFIS",X$52,"CANT",[2]Tablas!#REF!),0)</f>
        <v>0</v>
      </c>
      <c r="Y25" s="15">
        <f ca="1">IFERROR(GETPIVOTDATA("Cuenta de CANT",Tabla9,"PROV",[2]Tablas!$A$27,"SEFIS",Y$52,"CANT",[2]Tablas!#REF!),0)</f>
        <v>0</v>
      </c>
      <c r="Z25" s="15">
        <f ca="1">IFERROR(GETPIVOTDATA("Cuenta de CANT",Tabla9,"PROV",[2]Tablas!$A$27,"SEFIS",Z$52,"CANT",[2]Tablas!#REF!),0)</f>
        <v>0</v>
      </c>
      <c r="AA25" s="15">
        <f ca="1">IFERROR(GETPIVOTDATA("Cuenta de CANT",Tabla9,"PROV",[2]Tablas!$A$27,"SEFIS",AA$52,"CANT",[2]Tablas!#REF!),0)</f>
        <v>0</v>
      </c>
      <c r="AB25" s="15">
        <f ca="1">IFERROR(GETPIVOTDATA("Cuenta de CANT",Tabla9,"PROV",[2]Tablas!$A$27,"SEFIS",AB$52,"CANT",[2]Tablas!#REF!),0)</f>
        <v>0</v>
      </c>
      <c r="AC25" s="15">
        <f ca="1">IFERROR(GETPIVOTDATA("Cuenta de CANT",Tabla9,"PROV",[2]Tablas!$A$27,"SEFIS",AC$52,"CANT",[2]Tablas!#REF!),0)</f>
        <v>1</v>
      </c>
      <c r="AD25" s="15">
        <f ca="1">IFERROR(GETPIVOTDATA("Cuenta de CANT",Tabla9,"PROV",[2]Tablas!$A$27,"SEFIS",AD$52,"CANT",[2]Tablas!#REF!),0)</f>
        <v>0</v>
      </c>
      <c r="AE25" s="15">
        <f ca="1">IFERROR(GETPIVOTDATA("Cuenta de CANT",Tabla9,"PROV",[2]Tablas!$A$27,"SEFIS",AE$52,"CANT",[2]Tablas!#REF!),0)</f>
        <v>1</v>
      </c>
      <c r="AF25" s="15">
        <f ca="1">IFERROR(GETPIVOTDATA("Cuenta de CANT",Tabla9,"PROV",[2]Tablas!$A$27,"SEFIS",AF$52,"CANT",[2]Tablas!#REF!),0)</f>
        <v>0</v>
      </c>
      <c r="AG25" s="15">
        <f ca="1">IFERROR(GETPIVOTDATA("Cuenta de CANT",Tabla9,"PROV",[2]Tablas!$A$27,"SEFIS",AG$52,"CANT",[2]Tablas!#REF!),0)</f>
        <v>1</v>
      </c>
      <c r="AH25" s="15">
        <f ca="1">IFERROR(GETPIVOTDATA("Cuenta de CANT",Tabla9,"PROV",[2]Tablas!$A$27,"SEFIS",AH$52,"CANT",[2]Tablas!#REF!),0)</f>
        <v>1</v>
      </c>
      <c r="AI25" s="15">
        <f ca="1">IFERROR(GETPIVOTDATA("Cuenta de CANT",Tabla9,"PROV",[2]Tablas!$A$27,"SEFIS",AI$52,"CANT",[2]Tablas!#REF!),0)</f>
        <v>1</v>
      </c>
      <c r="AJ25" s="15">
        <f ca="1">IFERROR(GETPIVOTDATA("Cuenta de CANT",Tabla9,"PROV",[2]Tablas!$A$27,"SEFIS",AJ$52,"CANT",[2]Tablas!#REF!),0)</f>
        <v>2</v>
      </c>
      <c r="AK25" s="15">
        <f ca="1">IFERROR(GETPIVOTDATA("Cuenta de CANT",Tabla9,"PROV",[2]Tablas!$A$27,"SEFIS",AK$52,"CANT",[2]Tablas!#REF!),0)</f>
        <v>0</v>
      </c>
      <c r="AL25" s="15">
        <f ca="1">IFERROR(GETPIVOTDATA("Cuenta de CANT",Tabla9,"PROV",[2]Tablas!$A$27,"SEFIS",AL$52,"CANT",[2]Tablas!#REF!),0)</f>
        <v>1</v>
      </c>
      <c r="AM25" s="15">
        <f ca="1">IFERROR(GETPIVOTDATA("Cuenta de CANT",Tabla9,"PROV",[2]Tablas!$A$27,"SEFIS",AM$52,"CANT",[2]Tablas!#REF!),0)</f>
        <v>1</v>
      </c>
      <c r="AN25" s="15">
        <f ca="1">IFERROR(GETPIVOTDATA("Cuenta de CANT",Tabla9,"PROV",[2]Tablas!$A$27,"SEFIS",AN$52,"CANT",[2]Tablas!#REF!),0)</f>
        <v>1</v>
      </c>
      <c r="AO25" s="15">
        <f ca="1">IFERROR(GETPIVOTDATA("Cuenta de CANT",Tabla9,"PROV",[2]Tablas!$A$27,"SEFIS",AO$52,"CANT",[2]Tablas!#REF!),0)</f>
        <v>0</v>
      </c>
      <c r="AP25" s="15">
        <f ca="1">IFERROR(GETPIVOTDATA("Cuenta de CANT",Tabla9,"PROV",[2]Tablas!$A$27,"SEFIS",AP$52,"CANT",[2]Tablas!#REF!),0)</f>
        <v>0</v>
      </c>
      <c r="AQ25" s="15">
        <f ca="1">IFERROR(GETPIVOTDATA("Cuenta de CANT",Tabla9,"PROV",[2]Tablas!$A$27,"SEFIS",AQ$52,"CANT",[2]Tablas!#REF!),0)</f>
        <v>0</v>
      </c>
      <c r="AR25" s="15">
        <f ca="1">IFERROR(GETPIVOTDATA("Cuenta de CANT",Tabla9,"PROV",[2]Tablas!$A$27,"SEFIS",AR$52,"CANT",[2]Tablas!#REF!),0)</f>
        <v>2</v>
      </c>
      <c r="AS25" s="15">
        <f ca="1">IFERROR(GETPIVOTDATA("Cuenta de CANT",Tabla9,"PROV",[2]Tablas!$A$27,"SEFIS",AS$52,"CANT",[2]Tablas!#REF!),0)</f>
        <v>0</v>
      </c>
      <c r="AT25" s="15">
        <f ca="1">IFERROR(GETPIVOTDATA("Cuenta de CANT",Tabla9,"PROV",[2]Tablas!$A$27,"SEFIS",AT$52,"CANT",[2]Tablas!#REF!),0)</f>
        <v>2</v>
      </c>
      <c r="AU25" s="15">
        <f ca="1">IFERROR(GETPIVOTDATA("Cuenta de CANT",Tabla9,"PROV",[2]Tablas!$A$27,"SEFIS",AU$52,"CANT",[2]Tablas!#REF!),0)</f>
        <v>0</v>
      </c>
      <c r="AV25" s="15">
        <f ca="1">IFERROR(GETPIVOTDATA("Cuenta de CANT",Tabla9,"PROV",[2]Tablas!$A$27,"SEFIS",AV$52,"CANT",[2]Tablas!#REF!),0)</f>
        <v>1</v>
      </c>
      <c r="AW25" s="15">
        <f ca="1">IFERROR(GETPIVOTDATA("Cuenta de CANT",Tabla9,"PROV",[2]Tablas!$A$27,"SEFIS",AW$52,"CANT",[2]Tablas!#REF!),0)</f>
        <v>6</v>
      </c>
      <c r="AX25" s="15">
        <f ca="1">IFERROR(GETPIVOTDATA("Cuenta de CANT",Tabla9,"PROV",[2]Tablas!$A$27,"SEFIS",AX$52,"CANT",[2]Tablas!#REF!),0)</f>
        <v>0</v>
      </c>
      <c r="AY25" s="15">
        <f ca="1">IFERROR(GETPIVOTDATA("Cuenta de CANT",Tabla9,"PROV",[2]Tablas!$A$27,"SEFIS",AY$52,"CANT",[2]Tablas!#REF!),0)</f>
        <v>1</v>
      </c>
      <c r="AZ25" s="15">
        <f ca="1">IFERROR(GETPIVOTDATA("Cuenta de CANT",Tabla9,"PROV",[2]Tablas!$A$27,"SEFIS",AZ$52,"CANT",[2]Tablas!#REF!),0)</f>
        <v>1</v>
      </c>
      <c r="BA25" s="15">
        <f ca="1">IFERROR(GETPIVOTDATA("Cuenta de CANT",Tabla9,"PROV",[2]Tablas!$A$27,"SEFIS",BA$52,"CANT",[2]Tablas!#REF!),0)</f>
        <v>2</v>
      </c>
      <c r="BB25" s="15">
        <f ca="1">IFERROR(GETPIVOTDATA("Cuenta de CANT",Tabla9,"PROV",[2]Tablas!$A$27,"SEFIS",BB$52,"CANT",[2]Tablas!#REF!),0)</f>
        <v>1</v>
      </c>
      <c r="BC25" s="15">
        <f ca="1">IFERROR(GETPIVOTDATA("Cuenta de CANT",Tabla9,"PROV",[2]Tablas!$A$27,"SEFIS",BC$52,"CANT",[2]Tablas!#REF!),0)</f>
        <v>2</v>
      </c>
      <c r="BD25" s="15">
        <f ca="1">IFERROR(GETPIVOTDATA("Cuenta de CANT",Tabla9,"PROV",[2]Tablas!$A$27,"SEFIS",BD$52,"CANT",[2]Tablas!#REF!),0)</f>
        <v>0</v>
      </c>
    </row>
    <row r="26" spans="1:56" x14ac:dyDescent="0.35">
      <c r="A26" s="14" t="s">
        <v>124</v>
      </c>
      <c r="B26" s="15">
        <f t="shared" ca="1" si="2"/>
        <v>11</v>
      </c>
      <c r="C26" s="16">
        <f ca="1">IFERROR(B26/[2]Tablas!#REF!*100000,"N/D")</f>
        <v>17.844107389082652</v>
      </c>
      <c r="D26" s="15">
        <f ca="1">IFERROR(GETPIVOTDATA("Cuenta de CANT",Tabla9,"PROV",[2]Tablas!$A$27,"SEFIS",D$52,"CANT",[2]Tablas!#REF!),0)</f>
        <v>0</v>
      </c>
      <c r="E26" s="15">
        <f ca="1">IFERROR(GETPIVOTDATA("Cuenta de CANT",Tabla9,"PROV",[2]Tablas!$A$27,"SEFIS",E$52,"CANT",[2]Tablas!#REF!),0)</f>
        <v>1</v>
      </c>
      <c r="F26" s="15">
        <f ca="1">IFERROR(GETPIVOTDATA("Cuenta de CANT",Tabla9,"PROV",[2]Tablas!$A$27,"SEFIS",F$52,"CANT",[2]Tablas!#REF!),0)</f>
        <v>0</v>
      </c>
      <c r="G26" s="15">
        <f ca="1">IFERROR(GETPIVOTDATA("Cuenta de CANT",Tabla9,"PROV",[2]Tablas!$A$27,"SEFIS",G$52,"CANT",[2]Tablas!#REF!),0)</f>
        <v>0</v>
      </c>
      <c r="H26" s="15">
        <f ca="1">IFERROR(GETPIVOTDATA("Cuenta de CANT",Tabla9,"PROV",[2]Tablas!$A$27,"SEFIS",H$52,"CANT",[2]Tablas!#REF!),0)</f>
        <v>0</v>
      </c>
      <c r="I26" s="15">
        <f ca="1">IFERROR(GETPIVOTDATA("Cuenta de CANT",Tabla9,"PROV",[2]Tablas!$A$27,"SEFIS",I$52,"CANT",[2]Tablas!#REF!),0)</f>
        <v>0</v>
      </c>
      <c r="J26" s="15">
        <f ca="1">IFERROR(GETPIVOTDATA("Cuenta de CANT",Tabla9,"PROV",[2]Tablas!$A$27,"SEFIS",J$52,"CANT",[2]Tablas!#REF!),0)</f>
        <v>1</v>
      </c>
      <c r="K26" s="15">
        <f ca="1">IFERROR(GETPIVOTDATA("Cuenta de CANT",Tabla9,"PROV",[2]Tablas!$A$27,"SEFIS",K$52,"CANT",[2]Tablas!#REF!),0)</f>
        <v>0</v>
      </c>
      <c r="L26" s="15">
        <f ca="1">IFERROR(GETPIVOTDATA("Cuenta de CANT",Tabla9,"PROV",[2]Tablas!$A$27,"SEFIS",L$52,"CANT",[2]Tablas!#REF!),0)</f>
        <v>0</v>
      </c>
      <c r="M26" s="15">
        <f ca="1">IFERROR(GETPIVOTDATA("Cuenta de CANT",Tabla9,"PROV",[2]Tablas!$A$27,"SEFIS",M$52,"CANT",[2]Tablas!#REF!),0)</f>
        <v>0</v>
      </c>
      <c r="N26" s="15">
        <f ca="1">IFERROR(GETPIVOTDATA("Cuenta de CANT",Tabla9,"PROV",[2]Tablas!$A$27,"SEFIS",N$52,"CANT",[2]Tablas!#REF!),0)</f>
        <v>0</v>
      </c>
      <c r="O26" s="15">
        <f ca="1">IFERROR(GETPIVOTDATA("Cuenta de CANT",Tabla9,"PROV",[2]Tablas!$A$27,"SEFIS",O$52,"CANT",[2]Tablas!#REF!),0)</f>
        <v>0</v>
      </c>
      <c r="P26" s="15">
        <f ca="1">IFERROR(GETPIVOTDATA("Cuenta de CANT",Tabla9,"PROV",[2]Tablas!$A$27,"SEFIS",P$52,"CANT",[2]Tablas!#REF!),0)</f>
        <v>0</v>
      </c>
      <c r="Q26" s="15">
        <f ca="1">IFERROR(GETPIVOTDATA("Cuenta de CANT",Tabla9,"PROV",[2]Tablas!$A$27,"SEFIS",Q$52,"CANT",[2]Tablas!#REF!),0)</f>
        <v>0</v>
      </c>
      <c r="R26" s="15">
        <f ca="1">IFERROR(GETPIVOTDATA("Cuenta de CANT",Tabla9,"PROV",[2]Tablas!$A$27,"SEFIS",R$52,"CANT",[2]Tablas!#REF!),0)</f>
        <v>0</v>
      </c>
      <c r="S26" s="15">
        <f ca="1">IFERROR(GETPIVOTDATA("Cuenta de CANT",Tabla9,"PROV",[2]Tablas!$A$27,"SEFIS",S$52,"CANT",[2]Tablas!#REF!),0)</f>
        <v>0</v>
      </c>
      <c r="T26" s="15">
        <f ca="1">IFERROR(GETPIVOTDATA("Cuenta de CANT",Tabla9,"PROV",[2]Tablas!$A$27,"SEFIS",T$52,"CANT",[2]Tablas!#REF!),0)</f>
        <v>0</v>
      </c>
      <c r="U26" s="15">
        <f ca="1">IFERROR(GETPIVOTDATA("Cuenta de CANT",Tabla9,"PROV",[2]Tablas!$A$27,"SEFIS",U$52,"CANT",[2]Tablas!#REF!),0)</f>
        <v>0</v>
      </c>
      <c r="V26" s="15">
        <f ca="1">IFERROR(GETPIVOTDATA("Cuenta de CANT",Tabla9,"PROV",[2]Tablas!$A$27,"SEFIS",V$52,"CANT",[2]Tablas!#REF!),0)</f>
        <v>0</v>
      </c>
      <c r="W26" s="15">
        <f ca="1">IFERROR(GETPIVOTDATA("Cuenta de CANT",Tabla9,"PROV",[2]Tablas!$A$27,"SEFIS",W$52,"CANT",[2]Tablas!#REF!),0)</f>
        <v>0</v>
      </c>
      <c r="X26" s="15">
        <f ca="1">IFERROR(GETPIVOTDATA("Cuenta de CANT",Tabla9,"PROV",[2]Tablas!$A$27,"SEFIS",X$52,"CANT",[2]Tablas!#REF!),0)</f>
        <v>1</v>
      </c>
      <c r="Y26" s="15">
        <f ca="1">IFERROR(GETPIVOTDATA("Cuenta de CANT",Tabla9,"PROV",[2]Tablas!$A$27,"SEFIS",Y$52,"CANT",[2]Tablas!#REF!),0)</f>
        <v>0</v>
      </c>
      <c r="Z26" s="15">
        <f ca="1">IFERROR(GETPIVOTDATA("Cuenta de CANT",Tabla9,"PROV",[2]Tablas!$A$27,"SEFIS",Z$52,"CANT",[2]Tablas!#REF!),0)</f>
        <v>0</v>
      </c>
      <c r="AA26" s="15">
        <f ca="1">IFERROR(GETPIVOTDATA("Cuenta de CANT",Tabla9,"PROV",[2]Tablas!$A$27,"SEFIS",AA$52,"CANT",[2]Tablas!#REF!),0)</f>
        <v>0</v>
      </c>
      <c r="AB26" s="15">
        <f ca="1">IFERROR(GETPIVOTDATA("Cuenta de CANT",Tabla9,"PROV",[2]Tablas!$A$27,"SEFIS",AB$52,"CANT",[2]Tablas!#REF!),0)</f>
        <v>1</v>
      </c>
      <c r="AC26" s="15">
        <f ca="1">IFERROR(GETPIVOTDATA("Cuenta de CANT",Tabla9,"PROV",[2]Tablas!$A$27,"SEFIS",AC$52,"CANT",[2]Tablas!#REF!),0)</f>
        <v>0</v>
      </c>
      <c r="AD26" s="15">
        <f ca="1">IFERROR(GETPIVOTDATA("Cuenta de CANT",Tabla9,"PROV",[2]Tablas!$A$27,"SEFIS",AD$52,"CANT",[2]Tablas!#REF!),0)</f>
        <v>0</v>
      </c>
      <c r="AE26" s="15">
        <f ca="1">IFERROR(GETPIVOTDATA("Cuenta de CANT",Tabla9,"PROV",[2]Tablas!$A$27,"SEFIS",AE$52,"CANT",[2]Tablas!#REF!),0)</f>
        <v>0</v>
      </c>
      <c r="AF26" s="15">
        <f ca="1">IFERROR(GETPIVOTDATA("Cuenta de CANT",Tabla9,"PROV",[2]Tablas!$A$27,"SEFIS",AF$52,"CANT",[2]Tablas!#REF!),0)</f>
        <v>0</v>
      </c>
      <c r="AG26" s="15">
        <f ca="1">IFERROR(GETPIVOTDATA("Cuenta de CANT",Tabla9,"PROV",[2]Tablas!$A$27,"SEFIS",AG$52,"CANT",[2]Tablas!#REF!),0)</f>
        <v>1</v>
      </c>
      <c r="AH26" s="15">
        <f ca="1">IFERROR(GETPIVOTDATA("Cuenta de CANT",Tabla9,"PROV",[2]Tablas!$A$27,"SEFIS",AH$52,"CANT",[2]Tablas!#REF!),0)</f>
        <v>0</v>
      </c>
      <c r="AI26" s="15">
        <f ca="1">IFERROR(GETPIVOTDATA("Cuenta de CANT",Tabla9,"PROV",[2]Tablas!$A$27,"SEFIS",AI$52,"CANT",[2]Tablas!#REF!),0)</f>
        <v>0</v>
      </c>
      <c r="AJ26" s="15">
        <f ca="1">IFERROR(GETPIVOTDATA("Cuenta de CANT",Tabla9,"PROV",[2]Tablas!$A$27,"SEFIS",AJ$52,"CANT",[2]Tablas!#REF!),0)</f>
        <v>0</v>
      </c>
      <c r="AK26" s="15">
        <f ca="1">IFERROR(GETPIVOTDATA("Cuenta de CANT",Tabla9,"PROV",[2]Tablas!$A$27,"SEFIS",AK$52,"CANT",[2]Tablas!#REF!),0)</f>
        <v>1</v>
      </c>
      <c r="AL26" s="15">
        <f ca="1">IFERROR(GETPIVOTDATA("Cuenta de CANT",Tabla9,"PROV",[2]Tablas!$A$27,"SEFIS",AL$52,"CANT",[2]Tablas!#REF!),0)</f>
        <v>0</v>
      </c>
      <c r="AM26" s="15">
        <f ca="1">IFERROR(GETPIVOTDATA("Cuenta de CANT",Tabla9,"PROV",[2]Tablas!$A$27,"SEFIS",AM$52,"CANT",[2]Tablas!#REF!),0)</f>
        <v>1</v>
      </c>
      <c r="AN26" s="15">
        <f ca="1">IFERROR(GETPIVOTDATA("Cuenta de CANT",Tabla9,"PROV",[2]Tablas!$A$27,"SEFIS",AN$52,"CANT",[2]Tablas!#REF!),0)</f>
        <v>0</v>
      </c>
      <c r="AO26" s="15">
        <f ca="1">IFERROR(GETPIVOTDATA("Cuenta de CANT",Tabla9,"PROV",[2]Tablas!$A$27,"SEFIS",AO$52,"CANT",[2]Tablas!#REF!),0)</f>
        <v>0</v>
      </c>
      <c r="AP26" s="15">
        <f ca="1">IFERROR(GETPIVOTDATA("Cuenta de CANT",Tabla9,"PROV",[2]Tablas!$A$27,"SEFIS",AP$52,"CANT",[2]Tablas!#REF!),0)</f>
        <v>0</v>
      </c>
      <c r="AQ26" s="15">
        <f ca="1">IFERROR(GETPIVOTDATA("Cuenta de CANT",Tabla9,"PROV",[2]Tablas!$A$27,"SEFIS",AQ$52,"CANT",[2]Tablas!#REF!),0)</f>
        <v>1</v>
      </c>
      <c r="AR26" s="15">
        <f ca="1">IFERROR(GETPIVOTDATA("Cuenta de CANT",Tabla9,"PROV",[2]Tablas!$A$27,"SEFIS",AR$52,"CANT",[2]Tablas!#REF!),0)</f>
        <v>0</v>
      </c>
      <c r="AS26" s="15">
        <f ca="1">IFERROR(GETPIVOTDATA("Cuenta de CANT",Tabla9,"PROV",[2]Tablas!$A$27,"SEFIS",AS$52,"CANT",[2]Tablas!#REF!),0)</f>
        <v>0</v>
      </c>
      <c r="AT26" s="15">
        <f ca="1">IFERROR(GETPIVOTDATA("Cuenta de CANT",Tabla9,"PROV",[2]Tablas!$A$27,"SEFIS",AT$52,"CANT",[2]Tablas!#REF!),0)</f>
        <v>0</v>
      </c>
      <c r="AU26" s="15">
        <f ca="1">IFERROR(GETPIVOTDATA("Cuenta de CANT",Tabla9,"PROV",[2]Tablas!$A$27,"SEFIS",AU$52,"CANT",[2]Tablas!#REF!),0)</f>
        <v>0</v>
      </c>
      <c r="AV26" s="15">
        <f ca="1">IFERROR(GETPIVOTDATA("Cuenta de CANT",Tabla9,"PROV",[2]Tablas!$A$27,"SEFIS",AV$52,"CANT",[2]Tablas!#REF!),0)</f>
        <v>0</v>
      </c>
      <c r="AW26" s="15">
        <f ca="1">IFERROR(GETPIVOTDATA("Cuenta de CANT",Tabla9,"PROV",[2]Tablas!$A$27,"SEFIS",AW$52,"CANT",[2]Tablas!#REF!),0)</f>
        <v>1</v>
      </c>
      <c r="AX26" s="15">
        <f ca="1">IFERROR(GETPIVOTDATA("Cuenta de CANT",Tabla9,"PROV",[2]Tablas!$A$27,"SEFIS",AX$52,"CANT",[2]Tablas!#REF!),0)</f>
        <v>1</v>
      </c>
      <c r="AY26" s="15">
        <f ca="1">IFERROR(GETPIVOTDATA("Cuenta de CANT",Tabla9,"PROV",[2]Tablas!$A$27,"SEFIS",AY$52,"CANT",[2]Tablas!#REF!),0)</f>
        <v>0</v>
      </c>
      <c r="AZ26" s="15">
        <f ca="1">IFERROR(GETPIVOTDATA("Cuenta de CANT",Tabla9,"PROV",[2]Tablas!$A$27,"SEFIS",AZ$52,"CANT",[2]Tablas!#REF!),0)</f>
        <v>0</v>
      </c>
      <c r="BA26" s="15">
        <f ca="1">IFERROR(GETPIVOTDATA("Cuenta de CANT",Tabla9,"PROV",[2]Tablas!$A$27,"SEFIS",BA$52,"CANT",[2]Tablas!#REF!),0)</f>
        <v>0</v>
      </c>
      <c r="BB26" s="15">
        <f ca="1">IFERROR(GETPIVOTDATA("Cuenta de CANT",Tabla9,"PROV",[2]Tablas!$A$27,"SEFIS",BB$52,"CANT",[2]Tablas!#REF!),0)</f>
        <v>0</v>
      </c>
      <c r="BC26" s="15">
        <f ca="1">IFERROR(GETPIVOTDATA("Cuenta de CANT",Tabla9,"PROV",[2]Tablas!$A$27,"SEFIS",BC$52,"CANT",[2]Tablas!#REF!),0)</f>
        <v>1</v>
      </c>
      <c r="BD26" s="15">
        <f ca="1">IFERROR(GETPIVOTDATA("Cuenta de CANT",Tabla9,"PROV",[2]Tablas!$A$27,"SEFIS",BD$52,"CANT",[2]Tablas!#REF!),0)</f>
        <v>0</v>
      </c>
    </row>
    <row r="27" spans="1:56" x14ac:dyDescent="0.35">
      <c r="A27" s="14" t="s">
        <v>125</v>
      </c>
      <c r="B27" s="15">
        <f t="shared" ca="1" si="2"/>
        <v>9</v>
      </c>
      <c r="C27" s="16">
        <f ca="1">IFERROR(B27/[2]Tablas!#REF!*100000,"N/D")</f>
        <v>14.718869590815427</v>
      </c>
      <c r="D27" s="15">
        <f ca="1">IFERROR(GETPIVOTDATA("Cuenta de CANT",Tabla9,"PROV",[2]Tablas!$A$27,"SEFIS",D$52,"CANT",[2]Tablas!#REF!),0)</f>
        <v>1</v>
      </c>
      <c r="E27" s="15">
        <f ca="1">IFERROR(GETPIVOTDATA("Cuenta de CANT",Tabla9,"PROV",[2]Tablas!$A$27,"SEFIS",E$52,"CANT",[2]Tablas!#REF!),0)</f>
        <v>1</v>
      </c>
      <c r="F27" s="15">
        <f ca="1">IFERROR(GETPIVOTDATA("Cuenta de CANT",Tabla9,"PROV",[2]Tablas!$A$27,"SEFIS",F$52,"CANT",[2]Tablas!#REF!),0)</f>
        <v>1</v>
      </c>
      <c r="G27" s="15">
        <f ca="1">IFERROR(GETPIVOTDATA("Cuenta de CANT",Tabla9,"PROV",[2]Tablas!$A$27,"SEFIS",G$52,"CANT",[2]Tablas!#REF!),0)</f>
        <v>0</v>
      </c>
      <c r="H27" s="15">
        <f ca="1">IFERROR(GETPIVOTDATA("Cuenta de CANT",Tabla9,"PROV",[2]Tablas!$A$27,"SEFIS",H$52,"CANT",[2]Tablas!#REF!),0)</f>
        <v>0</v>
      </c>
      <c r="I27" s="15">
        <f ca="1">IFERROR(GETPIVOTDATA("Cuenta de CANT",Tabla9,"PROV",[2]Tablas!$A$27,"SEFIS",I$52,"CANT",[2]Tablas!#REF!),0)</f>
        <v>0</v>
      </c>
      <c r="J27" s="15">
        <f ca="1">IFERROR(GETPIVOTDATA("Cuenta de CANT",Tabla9,"PROV",[2]Tablas!$A$27,"SEFIS",J$52,"CANT",[2]Tablas!#REF!),0)</f>
        <v>1</v>
      </c>
      <c r="K27" s="15">
        <f ca="1">IFERROR(GETPIVOTDATA("Cuenta de CANT",Tabla9,"PROV",[2]Tablas!$A$27,"SEFIS",K$52,"CANT",[2]Tablas!#REF!),0)</f>
        <v>1</v>
      </c>
      <c r="L27" s="15">
        <f ca="1">IFERROR(GETPIVOTDATA("Cuenta de CANT",Tabla9,"PROV",[2]Tablas!$A$27,"SEFIS",L$52,"CANT",[2]Tablas!#REF!),0)</f>
        <v>1</v>
      </c>
      <c r="M27" s="15">
        <f ca="1">IFERROR(GETPIVOTDATA("Cuenta de CANT",Tabla9,"PROV",[2]Tablas!$A$27,"SEFIS",M$52,"CANT",[2]Tablas!#REF!),0)</f>
        <v>0</v>
      </c>
      <c r="N27" s="15">
        <f ca="1">IFERROR(GETPIVOTDATA("Cuenta de CANT",Tabla9,"PROV",[2]Tablas!$A$27,"SEFIS",N$52,"CANT",[2]Tablas!#REF!),0)</f>
        <v>0</v>
      </c>
      <c r="O27" s="15">
        <f ca="1">IFERROR(GETPIVOTDATA("Cuenta de CANT",Tabla9,"PROV",[2]Tablas!$A$27,"SEFIS",O$52,"CANT",[2]Tablas!#REF!),0)</f>
        <v>1</v>
      </c>
      <c r="P27" s="15">
        <f ca="1">IFERROR(GETPIVOTDATA("Cuenta de CANT",Tabla9,"PROV",[2]Tablas!$A$27,"SEFIS",P$52,"CANT",[2]Tablas!#REF!),0)</f>
        <v>0</v>
      </c>
      <c r="Q27" s="15">
        <f ca="1">IFERROR(GETPIVOTDATA("Cuenta de CANT",Tabla9,"PROV",[2]Tablas!$A$27,"SEFIS",Q$52,"CANT",[2]Tablas!#REF!),0)</f>
        <v>0</v>
      </c>
      <c r="R27" s="15">
        <f ca="1">IFERROR(GETPIVOTDATA("Cuenta de CANT",Tabla9,"PROV",[2]Tablas!$A$27,"SEFIS",R$52,"CANT",[2]Tablas!#REF!),0)</f>
        <v>0</v>
      </c>
      <c r="S27" s="15">
        <f ca="1">IFERROR(GETPIVOTDATA("Cuenta de CANT",Tabla9,"PROV",[2]Tablas!$A$27,"SEFIS",S$52,"CANT",[2]Tablas!#REF!),0)</f>
        <v>0</v>
      </c>
      <c r="T27" s="15">
        <f ca="1">IFERROR(GETPIVOTDATA("Cuenta de CANT",Tabla9,"PROV",[2]Tablas!$A$27,"SEFIS",T$52,"CANT",[2]Tablas!#REF!),0)</f>
        <v>0</v>
      </c>
      <c r="U27" s="15">
        <f ca="1">IFERROR(GETPIVOTDATA("Cuenta de CANT",Tabla9,"PROV",[2]Tablas!$A$27,"SEFIS",U$52,"CANT",[2]Tablas!#REF!),0)</f>
        <v>1</v>
      </c>
      <c r="V27" s="15">
        <f ca="1">IFERROR(GETPIVOTDATA("Cuenta de CANT",Tabla9,"PROV",[2]Tablas!$A$27,"SEFIS",V$52,"CANT",[2]Tablas!#REF!),0)</f>
        <v>0</v>
      </c>
      <c r="W27" s="15">
        <f ca="1">IFERROR(GETPIVOTDATA("Cuenta de CANT",Tabla9,"PROV",[2]Tablas!$A$27,"SEFIS",W$52,"CANT",[2]Tablas!#REF!),0)</f>
        <v>0</v>
      </c>
      <c r="X27" s="15">
        <f ca="1">IFERROR(GETPIVOTDATA("Cuenta de CANT",Tabla9,"PROV",[2]Tablas!$A$27,"SEFIS",X$52,"CANT",[2]Tablas!#REF!),0)</f>
        <v>0</v>
      </c>
      <c r="Y27" s="15">
        <f ca="1">IFERROR(GETPIVOTDATA("Cuenta de CANT",Tabla9,"PROV",[2]Tablas!$A$27,"SEFIS",Y$52,"CANT",[2]Tablas!#REF!),0)</f>
        <v>0</v>
      </c>
      <c r="Z27" s="15">
        <f ca="1">IFERROR(GETPIVOTDATA("Cuenta de CANT",Tabla9,"PROV",[2]Tablas!$A$27,"SEFIS",Z$52,"CANT",[2]Tablas!#REF!),0)</f>
        <v>0</v>
      </c>
      <c r="AA27" s="15">
        <f ca="1">IFERROR(GETPIVOTDATA("Cuenta de CANT",Tabla9,"PROV",[2]Tablas!$A$27,"SEFIS",AA$52,"CANT",[2]Tablas!#REF!),0)</f>
        <v>0</v>
      </c>
      <c r="AB27" s="15">
        <f ca="1">IFERROR(GETPIVOTDATA("Cuenta de CANT",Tabla9,"PROV",[2]Tablas!$A$27,"SEFIS",AB$52,"CANT",[2]Tablas!#REF!),0)</f>
        <v>0</v>
      </c>
      <c r="AC27" s="15">
        <f ca="1">IFERROR(GETPIVOTDATA("Cuenta de CANT",Tabla9,"PROV",[2]Tablas!$A$27,"SEFIS",AC$52,"CANT",[2]Tablas!#REF!),0)</f>
        <v>0</v>
      </c>
      <c r="AD27" s="15">
        <f ca="1">IFERROR(GETPIVOTDATA("Cuenta de CANT",Tabla9,"PROV",[2]Tablas!$A$27,"SEFIS",AD$52,"CANT",[2]Tablas!#REF!),0)</f>
        <v>0</v>
      </c>
      <c r="AE27" s="15">
        <f ca="1">IFERROR(GETPIVOTDATA("Cuenta de CANT",Tabla9,"PROV",[2]Tablas!$A$27,"SEFIS",AE$52,"CANT",[2]Tablas!#REF!),0)</f>
        <v>0</v>
      </c>
      <c r="AF27" s="15">
        <f ca="1">IFERROR(GETPIVOTDATA("Cuenta de CANT",Tabla9,"PROV",[2]Tablas!$A$27,"SEFIS",AF$52,"CANT",[2]Tablas!#REF!),0)</f>
        <v>0</v>
      </c>
      <c r="AG27" s="15">
        <f ca="1">IFERROR(GETPIVOTDATA("Cuenta de CANT",Tabla9,"PROV",[2]Tablas!$A$27,"SEFIS",AG$52,"CANT",[2]Tablas!#REF!),0)</f>
        <v>0</v>
      </c>
      <c r="AH27" s="15">
        <f ca="1">IFERROR(GETPIVOTDATA("Cuenta de CANT",Tabla9,"PROV",[2]Tablas!$A$27,"SEFIS",AH$52,"CANT",[2]Tablas!#REF!),0)</f>
        <v>0</v>
      </c>
      <c r="AI27" s="15">
        <f ca="1">IFERROR(GETPIVOTDATA("Cuenta de CANT",Tabla9,"PROV",[2]Tablas!$A$27,"SEFIS",AI$52,"CANT",[2]Tablas!#REF!),0)</f>
        <v>1</v>
      </c>
      <c r="AJ27" s="15">
        <f ca="1">IFERROR(GETPIVOTDATA("Cuenta de CANT",Tabla9,"PROV",[2]Tablas!$A$27,"SEFIS",AJ$52,"CANT",[2]Tablas!#REF!),0)</f>
        <v>0</v>
      </c>
      <c r="AK27" s="15">
        <f ca="1">IFERROR(GETPIVOTDATA("Cuenta de CANT",Tabla9,"PROV",[2]Tablas!$A$27,"SEFIS",AK$52,"CANT",[2]Tablas!#REF!),0)</f>
        <v>0</v>
      </c>
      <c r="AL27" s="15">
        <f ca="1">IFERROR(GETPIVOTDATA("Cuenta de CANT",Tabla9,"PROV",[2]Tablas!$A$27,"SEFIS",AL$52,"CANT",[2]Tablas!#REF!),0)</f>
        <v>0</v>
      </c>
      <c r="AM27" s="15">
        <f ca="1">IFERROR(GETPIVOTDATA("Cuenta de CANT",Tabla9,"PROV",[2]Tablas!$A$27,"SEFIS",AM$52,"CANT",[2]Tablas!#REF!),0)</f>
        <v>0</v>
      </c>
      <c r="AN27" s="15">
        <f ca="1">IFERROR(GETPIVOTDATA("Cuenta de CANT",Tabla9,"PROV",[2]Tablas!$A$27,"SEFIS",AN$52,"CANT",[2]Tablas!#REF!),0)</f>
        <v>0</v>
      </c>
      <c r="AO27" s="15">
        <f ca="1">IFERROR(GETPIVOTDATA("Cuenta de CANT",Tabla9,"PROV",[2]Tablas!$A$27,"SEFIS",AO$52,"CANT",[2]Tablas!#REF!),0)</f>
        <v>0</v>
      </c>
      <c r="AP27" s="15">
        <f ca="1">IFERROR(GETPIVOTDATA("Cuenta de CANT",Tabla9,"PROV",[2]Tablas!$A$27,"SEFIS",AP$52,"CANT",[2]Tablas!#REF!),0)</f>
        <v>0</v>
      </c>
      <c r="AQ27" s="15">
        <f ca="1">IFERROR(GETPIVOTDATA("Cuenta de CANT",Tabla9,"PROV",[2]Tablas!$A$27,"SEFIS",AQ$52,"CANT",[2]Tablas!#REF!),0)</f>
        <v>0</v>
      </c>
      <c r="AR27" s="15">
        <f ca="1">IFERROR(GETPIVOTDATA("Cuenta de CANT",Tabla9,"PROV",[2]Tablas!$A$27,"SEFIS",AR$52,"CANT",[2]Tablas!#REF!),0)</f>
        <v>0</v>
      </c>
      <c r="AS27" s="15">
        <f ca="1">IFERROR(GETPIVOTDATA("Cuenta de CANT",Tabla9,"PROV",[2]Tablas!$A$27,"SEFIS",AS$52,"CANT",[2]Tablas!#REF!),0)</f>
        <v>0</v>
      </c>
      <c r="AT27" s="15">
        <f ca="1">IFERROR(GETPIVOTDATA("Cuenta de CANT",Tabla9,"PROV",[2]Tablas!$A$27,"SEFIS",AT$52,"CANT",[2]Tablas!#REF!),0)</f>
        <v>0</v>
      </c>
      <c r="AU27" s="15">
        <f ca="1">IFERROR(GETPIVOTDATA("Cuenta de CANT",Tabla9,"PROV",[2]Tablas!$A$27,"SEFIS",AU$52,"CANT",[2]Tablas!#REF!),0)</f>
        <v>0</v>
      </c>
      <c r="AV27" s="15">
        <f ca="1">IFERROR(GETPIVOTDATA("Cuenta de CANT",Tabla9,"PROV",[2]Tablas!$A$27,"SEFIS",AV$52,"CANT",[2]Tablas!#REF!),0)</f>
        <v>0</v>
      </c>
      <c r="AW27" s="15">
        <f ca="1">IFERROR(GETPIVOTDATA("Cuenta de CANT",Tabla9,"PROV",[2]Tablas!$A$27,"SEFIS",AW$52,"CANT",[2]Tablas!#REF!),0)</f>
        <v>0</v>
      </c>
      <c r="AX27" s="15">
        <f ca="1">IFERROR(GETPIVOTDATA("Cuenta de CANT",Tabla9,"PROV",[2]Tablas!$A$27,"SEFIS",AX$52,"CANT",[2]Tablas!#REF!),0)</f>
        <v>0</v>
      </c>
      <c r="AY27" s="15">
        <f ca="1">IFERROR(GETPIVOTDATA("Cuenta de CANT",Tabla9,"PROV",[2]Tablas!$A$27,"SEFIS",AY$52,"CANT",[2]Tablas!#REF!),0)</f>
        <v>0</v>
      </c>
      <c r="AZ27" s="15">
        <f ca="1">IFERROR(GETPIVOTDATA("Cuenta de CANT",Tabla9,"PROV",[2]Tablas!$A$27,"SEFIS",AZ$52,"CANT",[2]Tablas!#REF!),0)</f>
        <v>0</v>
      </c>
      <c r="BA27" s="15">
        <f ca="1">IFERROR(GETPIVOTDATA("Cuenta de CANT",Tabla9,"PROV",[2]Tablas!$A$27,"SEFIS",BA$52,"CANT",[2]Tablas!#REF!),0)</f>
        <v>0</v>
      </c>
      <c r="BB27" s="15">
        <f ca="1">IFERROR(GETPIVOTDATA("Cuenta de CANT",Tabla9,"PROV",[2]Tablas!$A$27,"SEFIS",BB$52,"CANT",[2]Tablas!#REF!),0)</f>
        <v>0</v>
      </c>
      <c r="BC27" s="15">
        <f ca="1">IFERROR(GETPIVOTDATA("Cuenta de CANT",Tabla9,"PROV",[2]Tablas!$A$27,"SEFIS",BC$52,"CANT",[2]Tablas!#REF!),0)</f>
        <v>0</v>
      </c>
      <c r="BD27" s="15">
        <f ca="1">IFERROR(GETPIVOTDATA("Cuenta de CANT",Tabla9,"PROV",[2]Tablas!$A$27,"SEFIS",BD$52,"CANT",[2]Tablas!#REF!),0)</f>
        <v>0</v>
      </c>
    </row>
    <row r="28" spans="1:56" x14ac:dyDescent="0.35">
      <c r="A28" s="14" t="s">
        <v>126</v>
      </c>
      <c r="B28" s="15">
        <f t="shared" ca="1" si="2"/>
        <v>1</v>
      </c>
      <c r="C28" s="16">
        <f ca="1">IFERROR(B28/[2]Tablas!#REF!*100000,"N/D")</f>
        <v>13.520822065981612</v>
      </c>
      <c r="D28" s="15">
        <f ca="1">IFERROR(GETPIVOTDATA("Cuenta de CANT",Tabla9,"PROV",[2]Tablas!$A$27,"SEFIS",D$52,"CANT",[2]Tablas!#REF!),0)</f>
        <v>0</v>
      </c>
      <c r="E28" s="15">
        <f ca="1">IFERROR(GETPIVOTDATA("Cuenta de CANT",Tabla9,"PROV",[2]Tablas!$A$27,"SEFIS",E$52,"CANT",[2]Tablas!#REF!),0)</f>
        <v>0</v>
      </c>
      <c r="F28" s="15">
        <f ca="1">IFERROR(GETPIVOTDATA("Cuenta de CANT",Tabla9,"PROV",[2]Tablas!$A$27,"SEFIS",F$52,"CANT",[2]Tablas!#REF!),0)</f>
        <v>0</v>
      </c>
      <c r="G28" s="15">
        <f ca="1">IFERROR(GETPIVOTDATA("Cuenta de CANT",Tabla9,"PROV",[2]Tablas!$A$27,"SEFIS",G$52,"CANT",[2]Tablas!#REF!),0)</f>
        <v>0</v>
      </c>
      <c r="H28" s="15">
        <f ca="1">IFERROR(GETPIVOTDATA("Cuenta de CANT",Tabla9,"PROV",[2]Tablas!$A$27,"SEFIS",H$52,"CANT",[2]Tablas!#REF!),0)</f>
        <v>0</v>
      </c>
      <c r="I28" s="15">
        <f ca="1">IFERROR(GETPIVOTDATA("Cuenta de CANT",Tabla9,"PROV",[2]Tablas!$A$27,"SEFIS",I$52,"CANT",[2]Tablas!#REF!),0)</f>
        <v>0</v>
      </c>
      <c r="J28" s="15">
        <f ca="1">IFERROR(GETPIVOTDATA("Cuenta de CANT",Tabla9,"PROV",[2]Tablas!$A$27,"SEFIS",J$52,"CANT",[2]Tablas!#REF!),0)</f>
        <v>0</v>
      </c>
      <c r="K28" s="15">
        <f ca="1">IFERROR(GETPIVOTDATA("Cuenta de CANT",Tabla9,"PROV",[2]Tablas!$A$27,"SEFIS",K$52,"CANT",[2]Tablas!#REF!),0)</f>
        <v>0</v>
      </c>
      <c r="L28" s="15">
        <f ca="1">IFERROR(GETPIVOTDATA("Cuenta de CANT",Tabla9,"PROV",[2]Tablas!$A$27,"SEFIS",L$52,"CANT",[2]Tablas!#REF!),0)</f>
        <v>0</v>
      </c>
      <c r="M28" s="15">
        <f ca="1">IFERROR(GETPIVOTDATA("Cuenta de CANT",Tabla9,"PROV",[2]Tablas!$A$27,"SEFIS",M$52,"CANT",[2]Tablas!#REF!),0)</f>
        <v>0</v>
      </c>
      <c r="N28" s="15">
        <f ca="1">IFERROR(GETPIVOTDATA("Cuenta de CANT",Tabla9,"PROV",[2]Tablas!$A$27,"SEFIS",N$52,"CANT",[2]Tablas!#REF!),0)</f>
        <v>0</v>
      </c>
      <c r="O28" s="15">
        <f ca="1">IFERROR(GETPIVOTDATA("Cuenta de CANT",Tabla9,"PROV",[2]Tablas!$A$27,"SEFIS",O$52,"CANT",[2]Tablas!#REF!),0)</f>
        <v>0</v>
      </c>
      <c r="P28" s="15">
        <f ca="1">IFERROR(GETPIVOTDATA("Cuenta de CANT",Tabla9,"PROV",[2]Tablas!$A$27,"SEFIS",P$52,"CANT",[2]Tablas!#REF!),0)</f>
        <v>0</v>
      </c>
      <c r="Q28" s="15">
        <f ca="1">IFERROR(GETPIVOTDATA("Cuenta de CANT",Tabla9,"PROV",[2]Tablas!$A$27,"SEFIS",Q$52,"CANT",[2]Tablas!#REF!),0)</f>
        <v>0</v>
      </c>
      <c r="R28" s="15">
        <f ca="1">IFERROR(GETPIVOTDATA("Cuenta de CANT",Tabla9,"PROV",[2]Tablas!$A$27,"SEFIS",R$52,"CANT",[2]Tablas!#REF!),0)</f>
        <v>0</v>
      </c>
      <c r="S28" s="15">
        <f ca="1">IFERROR(GETPIVOTDATA("Cuenta de CANT",Tabla9,"PROV",[2]Tablas!$A$27,"SEFIS",S$52,"CANT",[2]Tablas!#REF!),0)</f>
        <v>0</v>
      </c>
      <c r="T28" s="15">
        <f ca="1">IFERROR(GETPIVOTDATA("Cuenta de CANT",Tabla9,"PROV",[2]Tablas!$A$27,"SEFIS",T$52,"CANT",[2]Tablas!#REF!),0)</f>
        <v>0</v>
      </c>
      <c r="U28" s="15">
        <f ca="1">IFERROR(GETPIVOTDATA("Cuenta de CANT",Tabla9,"PROV",[2]Tablas!$A$27,"SEFIS",U$52,"CANT",[2]Tablas!#REF!),0)</f>
        <v>0</v>
      </c>
      <c r="V28" s="15">
        <f ca="1">IFERROR(GETPIVOTDATA("Cuenta de CANT",Tabla9,"PROV",[2]Tablas!$A$27,"SEFIS",V$52,"CANT",[2]Tablas!#REF!),0)</f>
        <v>0</v>
      </c>
      <c r="W28" s="15">
        <f ca="1">IFERROR(GETPIVOTDATA("Cuenta de CANT",Tabla9,"PROV",[2]Tablas!$A$27,"SEFIS",W$52,"CANT",[2]Tablas!#REF!),0)</f>
        <v>0</v>
      </c>
      <c r="X28" s="15">
        <f ca="1">IFERROR(GETPIVOTDATA("Cuenta de CANT",Tabla9,"PROV",[2]Tablas!$A$27,"SEFIS",X$52,"CANT",[2]Tablas!#REF!),0)</f>
        <v>0</v>
      </c>
      <c r="Y28" s="15">
        <f ca="1">IFERROR(GETPIVOTDATA("Cuenta de CANT",Tabla9,"PROV",[2]Tablas!$A$27,"SEFIS",Y$52,"CANT",[2]Tablas!#REF!),0)</f>
        <v>0</v>
      </c>
      <c r="Z28" s="15">
        <f ca="1">IFERROR(GETPIVOTDATA("Cuenta de CANT",Tabla9,"PROV",[2]Tablas!$A$27,"SEFIS",Z$52,"CANT",[2]Tablas!#REF!),0)</f>
        <v>0</v>
      </c>
      <c r="AA28" s="15">
        <f ca="1">IFERROR(GETPIVOTDATA("Cuenta de CANT",Tabla9,"PROV",[2]Tablas!$A$27,"SEFIS",AA$52,"CANT",[2]Tablas!#REF!),0)</f>
        <v>0</v>
      </c>
      <c r="AB28" s="15">
        <f ca="1">IFERROR(GETPIVOTDATA("Cuenta de CANT",Tabla9,"PROV",[2]Tablas!$A$27,"SEFIS",AB$52,"CANT",[2]Tablas!#REF!),0)</f>
        <v>0</v>
      </c>
      <c r="AC28" s="15">
        <f ca="1">IFERROR(GETPIVOTDATA("Cuenta de CANT",Tabla9,"PROV",[2]Tablas!$A$27,"SEFIS",AC$52,"CANT",[2]Tablas!#REF!),0)</f>
        <v>1</v>
      </c>
      <c r="AD28" s="15">
        <f ca="1">IFERROR(GETPIVOTDATA("Cuenta de CANT",Tabla9,"PROV",[2]Tablas!$A$27,"SEFIS",AD$52,"CANT",[2]Tablas!#REF!),0)</f>
        <v>0</v>
      </c>
      <c r="AE28" s="15">
        <f ca="1">IFERROR(GETPIVOTDATA("Cuenta de CANT",Tabla9,"PROV",[2]Tablas!$A$27,"SEFIS",AE$52,"CANT",[2]Tablas!#REF!),0)</f>
        <v>0</v>
      </c>
      <c r="AF28" s="15">
        <f ca="1">IFERROR(GETPIVOTDATA("Cuenta de CANT",Tabla9,"PROV",[2]Tablas!$A$27,"SEFIS",AF$52,"CANT",[2]Tablas!#REF!),0)</f>
        <v>0</v>
      </c>
      <c r="AG28" s="15">
        <f ca="1">IFERROR(GETPIVOTDATA("Cuenta de CANT",Tabla9,"PROV",[2]Tablas!$A$27,"SEFIS",AG$52,"CANT",[2]Tablas!#REF!),0)</f>
        <v>0</v>
      </c>
      <c r="AH28" s="15">
        <f ca="1">IFERROR(GETPIVOTDATA("Cuenta de CANT",Tabla9,"PROV",[2]Tablas!$A$27,"SEFIS",AH$52,"CANT",[2]Tablas!#REF!),0)</f>
        <v>0</v>
      </c>
      <c r="AI28" s="15">
        <f ca="1">IFERROR(GETPIVOTDATA("Cuenta de CANT",Tabla9,"PROV",[2]Tablas!$A$27,"SEFIS",AI$52,"CANT",[2]Tablas!#REF!),0)</f>
        <v>0</v>
      </c>
      <c r="AJ28" s="15">
        <f ca="1">IFERROR(GETPIVOTDATA("Cuenta de CANT",Tabla9,"PROV",[2]Tablas!$A$27,"SEFIS",AJ$52,"CANT",[2]Tablas!#REF!),0)</f>
        <v>0</v>
      </c>
      <c r="AK28" s="15">
        <f ca="1">IFERROR(GETPIVOTDATA("Cuenta de CANT",Tabla9,"PROV",[2]Tablas!$A$27,"SEFIS",AK$52,"CANT",[2]Tablas!#REF!),0)</f>
        <v>0</v>
      </c>
      <c r="AL28" s="15">
        <f ca="1">IFERROR(GETPIVOTDATA("Cuenta de CANT",Tabla9,"PROV",[2]Tablas!$A$27,"SEFIS",AL$52,"CANT",[2]Tablas!#REF!),0)</f>
        <v>0</v>
      </c>
      <c r="AM28" s="15">
        <f ca="1">IFERROR(GETPIVOTDATA("Cuenta de CANT",Tabla9,"PROV",[2]Tablas!$A$27,"SEFIS",AM$52,"CANT",[2]Tablas!#REF!),0)</f>
        <v>0</v>
      </c>
      <c r="AN28" s="15">
        <f ca="1">IFERROR(GETPIVOTDATA("Cuenta de CANT",Tabla9,"PROV",[2]Tablas!$A$27,"SEFIS",AN$52,"CANT",[2]Tablas!#REF!),0)</f>
        <v>0</v>
      </c>
      <c r="AO28" s="15">
        <f ca="1">IFERROR(GETPIVOTDATA("Cuenta de CANT",Tabla9,"PROV",[2]Tablas!$A$27,"SEFIS",AO$52,"CANT",[2]Tablas!#REF!),0)</f>
        <v>0</v>
      </c>
      <c r="AP28" s="15">
        <f ca="1">IFERROR(GETPIVOTDATA("Cuenta de CANT",Tabla9,"PROV",[2]Tablas!$A$27,"SEFIS",AP$52,"CANT",[2]Tablas!#REF!),0)</f>
        <v>0</v>
      </c>
      <c r="AQ28" s="15">
        <f ca="1">IFERROR(GETPIVOTDATA("Cuenta de CANT",Tabla9,"PROV",[2]Tablas!$A$27,"SEFIS",AQ$52,"CANT",[2]Tablas!#REF!),0)</f>
        <v>0</v>
      </c>
      <c r="AR28" s="15">
        <f ca="1">IFERROR(GETPIVOTDATA("Cuenta de CANT",Tabla9,"PROV",[2]Tablas!$A$27,"SEFIS",AR$52,"CANT",[2]Tablas!#REF!),0)</f>
        <v>0</v>
      </c>
      <c r="AS28" s="15">
        <f ca="1">IFERROR(GETPIVOTDATA("Cuenta de CANT",Tabla9,"PROV",[2]Tablas!$A$27,"SEFIS",AS$52,"CANT",[2]Tablas!#REF!),0)</f>
        <v>0</v>
      </c>
      <c r="AT28" s="15">
        <f ca="1">IFERROR(GETPIVOTDATA("Cuenta de CANT",Tabla9,"PROV",[2]Tablas!$A$27,"SEFIS",AT$52,"CANT",[2]Tablas!#REF!),0)</f>
        <v>0</v>
      </c>
      <c r="AU28" s="15">
        <f ca="1">IFERROR(GETPIVOTDATA("Cuenta de CANT",Tabla9,"PROV",[2]Tablas!$A$27,"SEFIS",AU$52,"CANT",[2]Tablas!#REF!),0)</f>
        <v>0</v>
      </c>
      <c r="AV28" s="15">
        <f ca="1">IFERROR(GETPIVOTDATA("Cuenta de CANT",Tabla9,"PROV",[2]Tablas!$A$27,"SEFIS",AV$52,"CANT",[2]Tablas!#REF!),0)</f>
        <v>0</v>
      </c>
      <c r="AW28" s="15">
        <f ca="1">IFERROR(GETPIVOTDATA("Cuenta de CANT",Tabla9,"PROV",[2]Tablas!$A$27,"SEFIS",AW$52,"CANT",[2]Tablas!#REF!),0)</f>
        <v>0</v>
      </c>
      <c r="AX28" s="15">
        <f ca="1">IFERROR(GETPIVOTDATA("Cuenta de CANT",Tabla9,"PROV",[2]Tablas!$A$27,"SEFIS",AX$52,"CANT",[2]Tablas!#REF!),0)</f>
        <v>0</v>
      </c>
      <c r="AY28" s="15">
        <f ca="1">IFERROR(GETPIVOTDATA("Cuenta de CANT",Tabla9,"PROV",[2]Tablas!$A$27,"SEFIS",AY$52,"CANT",[2]Tablas!#REF!),0)</f>
        <v>0</v>
      </c>
      <c r="AZ28" s="15">
        <f ca="1">IFERROR(GETPIVOTDATA("Cuenta de CANT",Tabla9,"PROV",[2]Tablas!$A$27,"SEFIS",AZ$52,"CANT",[2]Tablas!#REF!),0)</f>
        <v>0</v>
      </c>
      <c r="BA28" s="15">
        <f ca="1">IFERROR(GETPIVOTDATA("Cuenta de CANT",Tabla9,"PROV",[2]Tablas!$A$27,"SEFIS",BA$52,"CANT",[2]Tablas!#REF!),0)</f>
        <v>0</v>
      </c>
      <c r="BB28" s="15">
        <f ca="1">IFERROR(GETPIVOTDATA("Cuenta de CANT",Tabla9,"PROV",[2]Tablas!$A$27,"SEFIS",BB$52,"CANT",[2]Tablas!#REF!),0)</f>
        <v>0</v>
      </c>
      <c r="BC28" s="15">
        <f ca="1">IFERROR(GETPIVOTDATA("Cuenta de CANT",Tabla9,"PROV",[2]Tablas!$A$27,"SEFIS",BC$52,"CANT",[2]Tablas!#REF!),0)</f>
        <v>0</v>
      </c>
      <c r="BD28" s="15">
        <f ca="1">IFERROR(GETPIVOTDATA("Cuenta de CANT",Tabla9,"PROV",[2]Tablas!$A$27,"SEFIS",BD$52,"CANT",[2]Tablas!#REF!),0)</f>
        <v>0</v>
      </c>
    </row>
    <row r="29" spans="1:56" x14ac:dyDescent="0.35">
      <c r="A29" s="14" t="s">
        <v>127</v>
      </c>
      <c r="B29" s="15">
        <f t="shared" ca="1" si="2"/>
        <v>0</v>
      </c>
      <c r="C29" s="16">
        <f ca="1">IFERROR(B29/[2]Tablas!#REF!*100000,"N/D")</f>
        <v>0</v>
      </c>
      <c r="D29" s="15">
        <f ca="1">IFERROR(GETPIVOTDATA("Cuenta de CANT",Tabla9,"PROV",[2]Tablas!$A$27,"SEFIS",D$52,"CANT",[2]Tablas!#REF!),0)</f>
        <v>0</v>
      </c>
      <c r="E29" s="15">
        <f ca="1">IFERROR(GETPIVOTDATA("Cuenta de CANT",Tabla9,"PROV",[2]Tablas!$A$27,"SEFIS",E$52,"CANT",[2]Tablas!#REF!),0)</f>
        <v>0</v>
      </c>
      <c r="F29" s="15">
        <f ca="1">IFERROR(GETPIVOTDATA("Cuenta de CANT",Tabla9,"PROV",[2]Tablas!$A$27,"SEFIS",F$52,"CANT",[2]Tablas!#REF!),0)</f>
        <v>0</v>
      </c>
      <c r="G29" s="15">
        <f ca="1">IFERROR(GETPIVOTDATA("Cuenta de CANT",Tabla9,"PROV",[2]Tablas!$A$27,"SEFIS",G$52,"CANT",[2]Tablas!#REF!),0)</f>
        <v>0</v>
      </c>
      <c r="H29" s="15">
        <f ca="1">IFERROR(GETPIVOTDATA("Cuenta de CANT",Tabla9,"PROV",[2]Tablas!$A$27,"SEFIS",H$52,"CANT",[2]Tablas!#REF!),0)</f>
        <v>0</v>
      </c>
      <c r="I29" s="15">
        <f ca="1">IFERROR(GETPIVOTDATA("Cuenta de CANT",Tabla9,"PROV",[2]Tablas!$A$27,"SEFIS",I$52,"CANT",[2]Tablas!#REF!),0)</f>
        <v>0</v>
      </c>
      <c r="J29" s="15">
        <f ca="1">IFERROR(GETPIVOTDATA("Cuenta de CANT",Tabla9,"PROV",[2]Tablas!$A$27,"SEFIS",J$52,"CANT",[2]Tablas!#REF!),0)</f>
        <v>0</v>
      </c>
      <c r="K29" s="15">
        <f ca="1">IFERROR(GETPIVOTDATA("Cuenta de CANT",Tabla9,"PROV",[2]Tablas!$A$27,"SEFIS",K$52,"CANT",[2]Tablas!#REF!),0)</f>
        <v>0</v>
      </c>
      <c r="L29" s="15">
        <f ca="1">IFERROR(GETPIVOTDATA("Cuenta de CANT",Tabla9,"PROV",[2]Tablas!$A$27,"SEFIS",L$52,"CANT",[2]Tablas!#REF!),0)</f>
        <v>0</v>
      </c>
      <c r="M29" s="15">
        <f ca="1">IFERROR(GETPIVOTDATA("Cuenta de CANT",Tabla9,"PROV",[2]Tablas!$A$27,"SEFIS",M$52,"CANT",[2]Tablas!#REF!),0)</f>
        <v>0</v>
      </c>
      <c r="N29" s="15">
        <f ca="1">IFERROR(GETPIVOTDATA("Cuenta de CANT",Tabla9,"PROV",[2]Tablas!$A$27,"SEFIS",N$52,"CANT",[2]Tablas!#REF!),0)</f>
        <v>0</v>
      </c>
      <c r="O29" s="15">
        <f ca="1">IFERROR(GETPIVOTDATA("Cuenta de CANT",Tabla9,"PROV",[2]Tablas!$A$27,"SEFIS",O$52,"CANT",[2]Tablas!#REF!),0)</f>
        <v>0</v>
      </c>
      <c r="P29" s="15">
        <f ca="1">IFERROR(GETPIVOTDATA("Cuenta de CANT",Tabla9,"PROV",[2]Tablas!$A$27,"SEFIS",P$52,"CANT",[2]Tablas!#REF!),0)</f>
        <v>0</v>
      </c>
      <c r="Q29" s="15">
        <f ca="1">IFERROR(GETPIVOTDATA("Cuenta de CANT",Tabla9,"PROV",[2]Tablas!$A$27,"SEFIS",Q$52,"CANT",[2]Tablas!#REF!),0)</f>
        <v>0</v>
      </c>
      <c r="R29" s="15">
        <f ca="1">IFERROR(GETPIVOTDATA("Cuenta de CANT",Tabla9,"PROV",[2]Tablas!$A$27,"SEFIS",R$52,"CANT",[2]Tablas!#REF!),0)</f>
        <v>0</v>
      </c>
      <c r="S29" s="15">
        <f ca="1">IFERROR(GETPIVOTDATA("Cuenta de CANT",Tabla9,"PROV",[2]Tablas!$A$27,"SEFIS",S$52,"CANT",[2]Tablas!#REF!),0)</f>
        <v>0</v>
      </c>
      <c r="T29" s="15">
        <f ca="1">IFERROR(GETPIVOTDATA("Cuenta de CANT",Tabla9,"PROV",[2]Tablas!$A$27,"SEFIS",T$52,"CANT",[2]Tablas!#REF!),0)</f>
        <v>0</v>
      </c>
      <c r="U29" s="15">
        <f ca="1">IFERROR(GETPIVOTDATA("Cuenta de CANT",Tabla9,"PROV",[2]Tablas!$A$27,"SEFIS",U$52,"CANT",[2]Tablas!#REF!),0)</f>
        <v>0</v>
      </c>
      <c r="V29" s="15">
        <f ca="1">IFERROR(GETPIVOTDATA("Cuenta de CANT",Tabla9,"PROV",[2]Tablas!$A$27,"SEFIS",V$52,"CANT",[2]Tablas!#REF!),0)</f>
        <v>0</v>
      </c>
      <c r="W29" s="15">
        <f ca="1">IFERROR(GETPIVOTDATA("Cuenta de CANT",Tabla9,"PROV",[2]Tablas!$A$27,"SEFIS",W$52,"CANT",[2]Tablas!#REF!),0)</f>
        <v>0</v>
      </c>
      <c r="X29" s="15">
        <f ca="1">IFERROR(GETPIVOTDATA("Cuenta de CANT",Tabla9,"PROV",[2]Tablas!$A$27,"SEFIS",X$52,"CANT",[2]Tablas!#REF!),0)</f>
        <v>0</v>
      </c>
      <c r="Y29" s="15">
        <f ca="1">IFERROR(GETPIVOTDATA("Cuenta de CANT",Tabla9,"PROV",[2]Tablas!$A$27,"SEFIS",Y$52,"CANT",[2]Tablas!#REF!),0)</f>
        <v>0</v>
      </c>
      <c r="Z29" s="15">
        <f ca="1">IFERROR(GETPIVOTDATA("Cuenta de CANT",Tabla9,"PROV",[2]Tablas!$A$27,"SEFIS",Z$52,"CANT",[2]Tablas!#REF!),0)</f>
        <v>0</v>
      </c>
      <c r="AA29" s="15">
        <f ca="1">IFERROR(GETPIVOTDATA("Cuenta de CANT",Tabla9,"PROV",[2]Tablas!$A$27,"SEFIS",AA$52,"CANT",[2]Tablas!#REF!),0)</f>
        <v>0</v>
      </c>
      <c r="AB29" s="15">
        <f ca="1">IFERROR(GETPIVOTDATA("Cuenta de CANT",Tabla9,"PROV",[2]Tablas!$A$27,"SEFIS",AB$52,"CANT",[2]Tablas!#REF!),0)</f>
        <v>0</v>
      </c>
      <c r="AC29" s="15">
        <f ca="1">IFERROR(GETPIVOTDATA("Cuenta de CANT",Tabla9,"PROV",[2]Tablas!$A$27,"SEFIS",AC$52,"CANT",[2]Tablas!#REF!),0)</f>
        <v>0</v>
      </c>
      <c r="AD29" s="15">
        <f ca="1">IFERROR(GETPIVOTDATA("Cuenta de CANT",Tabla9,"PROV",[2]Tablas!$A$27,"SEFIS",AD$52,"CANT",[2]Tablas!#REF!),0)</f>
        <v>0</v>
      </c>
      <c r="AE29" s="15">
        <f ca="1">IFERROR(GETPIVOTDATA("Cuenta de CANT",Tabla9,"PROV",[2]Tablas!$A$27,"SEFIS",AE$52,"CANT",[2]Tablas!#REF!),0)</f>
        <v>0</v>
      </c>
      <c r="AF29" s="15">
        <f ca="1">IFERROR(GETPIVOTDATA("Cuenta de CANT",Tabla9,"PROV",[2]Tablas!$A$27,"SEFIS",AF$52,"CANT",[2]Tablas!#REF!),0)</f>
        <v>0</v>
      </c>
      <c r="AG29" s="15">
        <f ca="1">IFERROR(GETPIVOTDATA("Cuenta de CANT",Tabla9,"PROV",[2]Tablas!$A$27,"SEFIS",AG$52,"CANT",[2]Tablas!#REF!),0)</f>
        <v>0</v>
      </c>
      <c r="AH29" s="15">
        <f ca="1">IFERROR(GETPIVOTDATA("Cuenta de CANT",Tabla9,"PROV",[2]Tablas!$A$27,"SEFIS",AH$52,"CANT",[2]Tablas!#REF!),0)</f>
        <v>0</v>
      </c>
      <c r="AI29" s="15">
        <f ca="1">IFERROR(GETPIVOTDATA("Cuenta de CANT",Tabla9,"PROV",[2]Tablas!$A$27,"SEFIS",AI$52,"CANT",[2]Tablas!#REF!),0)</f>
        <v>0</v>
      </c>
      <c r="AJ29" s="15">
        <f ca="1">IFERROR(GETPIVOTDATA("Cuenta de CANT",Tabla9,"PROV",[2]Tablas!$A$27,"SEFIS",AJ$52,"CANT",[2]Tablas!#REF!),0)</f>
        <v>0</v>
      </c>
      <c r="AK29" s="15">
        <f ca="1">IFERROR(GETPIVOTDATA("Cuenta de CANT",Tabla9,"PROV",[2]Tablas!$A$27,"SEFIS",AK$52,"CANT",[2]Tablas!#REF!),0)</f>
        <v>0</v>
      </c>
      <c r="AL29" s="15">
        <f ca="1">IFERROR(GETPIVOTDATA("Cuenta de CANT",Tabla9,"PROV",[2]Tablas!$A$27,"SEFIS",AL$52,"CANT",[2]Tablas!#REF!),0)</f>
        <v>0</v>
      </c>
      <c r="AM29" s="15">
        <f ca="1">IFERROR(GETPIVOTDATA("Cuenta de CANT",Tabla9,"PROV",[2]Tablas!$A$27,"SEFIS",AM$52,"CANT",[2]Tablas!#REF!),0)</f>
        <v>0</v>
      </c>
      <c r="AN29" s="15">
        <f ca="1">IFERROR(GETPIVOTDATA("Cuenta de CANT",Tabla9,"PROV",[2]Tablas!$A$27,"SEFIS",AN$52,"CANT",[2]Tablas!#REF!),0)</f>
        <v>0</v>
      </c>
      <c r="AO29" s="15">
        <f ca="1">IFERROR(GETPIVOTDATA("Cuenta de CANT",Tabla9,"PROV",[2]Tablas!$A$27,"SEFIS",AO$52,"CANT",[2]Tablas!#REF!),0)</f>
        <v>0</v>
      </c>
      <c r="AP29" s="15">
        <f ca="1">IFERROR(GETPIVOTDATA("Cuenta de CANT",Tabla9,"PROV",[2]Tablas!$A$27,"SEFIS",AP$52,"CANT",[2]Tablas!#REF!),0)</f>
        <v>0</v>
      </c>
      <c r="AQ29" s="15">
        <f ca="1">IFERROR(GETPIVOTDATA("Cuenta de CANT",Tabla9,"PROV",[2]Tablas!$A$27,"SEFIS",AQ$52,"CANT",[2]Tablas!#REF!),0)</f>
        <v>0</v>
      </c>
      <c r="AR29" s="15">
        <f ca="1">IFERROR(GETPIVOTDATA("Cuenta de CANT",Tabla9,"PROV",[2]Tablas!$A$27,"SEFIS",AR$52,"CANT",[2]Tablas!#REF!),0)</f>
        <v>0</v>
      </c>
      <c r="AS29" s="15">
        <f ca="1">IFERROR(GETPIVOTDATA("Cuenta de CANT",Tabla9,"PROV",[2]Tablas!$A$27,"SEFIS",AS$52,"CANT",[2]Tablas!#REF!),0)</f>
        <v>0</v>
      </c>
      <c r="AT29" s="15">
        <f ca="1">IFERROR(GETPIVOTDATA("Cuenta de CANT",Tabla9,"PROV",[2]Tablas!$A$27,"SEFIS",AT$52,"CANT",[2]Tablas!#REF!),0)</f>
        <v>0</v>
      </c>
      <c r="AU29" s="15">
        <f ca="1">IFERROR(GETPIVOTDATA("Cuenta de CANT",Tabla9,"PROV",[2]Tablas!$A$27,"SEFIS",AU$52,"CANT",[2]Tablas!#REF!),0)</f>
        <v>0</v>
      </c>
      <c r="AV29" s="15">
        <f ca="1">IFERROR(GETPIVOTDATA("Cuenta de CANT",Tabla9,"PROV",[2]Tablas!$A$27,"SEFIS",AV$52,"CANT",[2]Tablas!#REF!),0)</f>
        <v>0</v>
      </c>
      <c r="AW29" s="15">
        <f ca="1">IFERROR(GETPIVOTDATA("Cuenta de CANT",Tabla9,"PROV",[2]Tablas!$A$27,"SEFIS",AW$52,"CANT",[2]Tablas!#REF!),0)</f>
        <v>0</v>
      </c>
      <c r="AX29" s="15">
        <f ca="1">IFERROR(GETPIVOTDATA("Cuenta de CANT",Tabla9,"PROV",[2]Tablas!$A$27,"SEFIS",AX$52,"CANT",[2]Tablas!#REF!),0)</f>
        <v>0</v>
      </c>
      <c r="AY29" s="15">
        <f ca="1">IFERROR(GETPIVOTDATA("Cuenta de CANT",Tabla9,"PROV",[2]Tablas!$A$27,"SEFIS",AY$52,"CANT",[2]Tablas!#REF!),0)</f>
        <v>0</v>
      </c>
      <c r="AZ29" s="15">
        <f ca="1">IFERROR(GETPIVOTDATA("Cuenta de CANT",Tabla9,"PROV",[2]Tablas!$A$27,"SEFIS",AZ$52,"CANT",[2]Tablas!#REF!),0)</f>
        <v>0</v>
      </c>
      <c r="BA29" s="15">
        <f ca="1">IFERROR(GETPIVOTDATA("Cuenta de CANT",Tabla9,"PROV",[2]Tablas!$A$27,"SEFIS",BA$52,"CANT",[2]Tablas!#REF!),0)</f>
        <v>0</v>
      </c>
      <c r="BB29" s="15">
        <f ca="1">IFERROR(GETPIVOTDATA("Cuenta de CANT",Tabla9,"PROV",[2]Tablas!$A$27,"SEFIS",BB$52,"CANT",[2]Tablas!#REF!),0)</f>
        <v>0</v>
      </c>
      <c r="BC29" s="15">
        <f ca="1">IFERROR(GETPIVOTDATA("Cuenta de CANT",Tabla9,"PROV",[2]Tablas!$A$27,"SEFIS",BC$52,"CANT",[2]Tablas!#REF!),0)</f>
        <v>0</v>
      </c>
      <c r="BD29" s="15">
        <f ca="1">IFERROR(GETPIVOTDATA("Cuenta de CANT",Tabla9,"PROV",[2]Tablas!$A$27,"SEFIS",BD$52,"CANT",[2]Tablas!#REF!),0)</f>
        <v>0</v>
      </c>
    </row>
    <row r="30" spans="1:56" x14ac:dyDescent="0.35">
      <c r="A30" s="14" t="s">
        <v>128</v>
      </c>
      <c r="B30" s="15">
        <f t="shared" ca="1" si="2"/>
        <v>40</v>
      </c>
      <c r="C30" s="16">
        <f ca="1">IFERROR(B30/[2]Tablas!#REF!*100000,"N/D")</f>
        <v>50.348664501674094</v>
      </c>
      <c r="D30" s="15">
        <f ca="1">IFERROR(GETPIVOTDATA("Cuenta de CANT",Tabla9,"PROV",[2]Tablas!$A$27,"SEFIS",D$52,"CANT",[2]Tablas!#REF!),0)</f>
        <v>3</v>
      </c>
      <c r="E30" s="15">
        <f ca="1">IFERROR(GETPIVOTDATA("Cuenta de CANT",Tabla9,"PROV",[2]Tablas!$A$27,"SEFIS",E$52,"CANT",[2]Tablas!#REF!),0)</f>
        <v>1</v>
      </c>
      <c r="F30" s="15">
        <f ca="1">IFERROR(GETPIVOTDATA("Cuenta de CANT",Tabla9,"PROV",[2]Tablas!$A$27,"SEFIS",F$52,"CANT",[2]Tablas!#REF!),0)</f>
        <v>1</v>
      </c>
      <c r="G30" s="15">
        <f ca="1">IFERROR(GETPIVOTDATA("Cuenta de CANT",Tabla9,"PROV",[2]Tablas!$A$27,"SEFIS",G$52,"CANT",[2]Tablas!#REF!),0)</f>
        <v>0</v>
      </c>
      <c r="H30" s="15">
        <f ca="1">IFERROR(GETPIVOTDATA("Cuenta de CANT",Tabla9,"PROV",[2]Tablas!$A$27,"SEFIS",H$52,"CANT",[2]Tablas!#REF!),0)</f>
        <v>2</v>
      </c>
      <c r="I30" s="15">
        <f ca="1">IFERROR(GETPIVOTDATA("Cuenta de CANT",Tabla9,"PROV",[2]Tablas!$A$27,"SEFIS",I$52,"CANT",[2]Tablas!#REF!),0)</f>
        <v>0</v>
      </c>
      <c r="J30" s="15">
        <f ca="1">IFERROR(GETPIVOTDATA("Cuenta de CANT",Tabla9,"PROV",[2]Tablas!$A$27,"SEFIS",J$52,"CANT",[2]Tablas!#REF!),0)</f>
        <v>0</v>
      </c>
      <c r="K30" s="15">
        <f ca="1">IFERROR(GETPIVOTDATA("Cuenta de CANT",Tabla9,"PROV",[2]Tablas!$A$27,"SEFIS",K$52,"CANT",[2]Tablas!#REF!),0)</f>
        <v>0</v>
      </c>
      <c r="L30" s="15">
        <f ca="1">IFERROR(GETPIVOTDATA("Cuenta de CANT",Tabla9,"PROV",[2]Tablas!$A$27,"SEFIS",L$52,"CANT",[2]Tablas!#REF!),0)</f>
        <v>1</v>
      </c>
      <c r="M30" s="15">
        <f ca="1">IFERROR(GETPIVOTDATA("Cuenta de CANT",Tabla9,"PROV",[2]Tablas!$A$27,"SEFIS",M$52,"CANT",[2]Tablas!#REF!),0)</f>
        <v>0</v>
      </c>
      <c r="N30" s="15">
        <f ca="1">IFERROR(GETPIVOTDATA("Cuenta de CANT",Tabla9,"PROV",[2]Tablas!$A$27,"SEFIS",N$52,"CANT",[2]Tablas!#REF!),0)</f>
        <v>1</v>
      </c>
      <c r="O30" s="15">
        <f ca="1">IFERROR(GETPIVOTDATA("Cuenta de CANT",Tabla9,"PROV",[2]Tablas!$A$27,"SEFIS",O$52,"CANT",[2]Tablas!#REF!),0)</f>
        <v>0</v>
      </c>
      <c r="P30" s="15">
        <f ca="1">IFERROR(GETPIVOTDATA("Cuenta de CANT",Tabla9,"PROV",[2]Tablas!$A$27,"SEFIS",P$52,"CANT",[2]Tablas!#REF!),0)</f>
        <v>1</v>
      </c>
      <c r="Q30" s="15">
        <f ca="1">IFERROR(GETPIVOTDATA("Cuenta de CANT",Tabla9,"PROV",[2]Tablas!$A$27,"SEFIS",Q$52,"CANT",[2]Tablas!#REF!),0)</f>
        <v>0</v>
      </c>
      <c r="R30" s="15">
        <f ca="1">IFERROR(GETPIVOTDATA("Cuenta de CANT",Tabla9,"PROV",[2]Tablas!$A$27,"SEFIS",R$52,"CANT",[2]Tablas!#REF!),0)</f>
        <v>0</v>
      </c>
      <c r="S30" s="15">
        <f ca="1">IFERROR(GETPIVOTDATA("Cuenta de CANT",Tabla9,"PROV",[2]Tablas!$A$27,"SEFIS",S$52,"CANT",[2]Tablas!#REF!),0)</f>
        <v>1</v>
      </c>
      <c r="T30" s="15">
        <f ca="1">IFERROR(GETPIVOTDATA("Cuenta de CANT",Tabla9,"PROV",[2]Tablas!$A$27,"SEFIS",T$52,"CANT",[2]Tablas!#REF!),0)</f>
        <v>0</v>
      </c>
      <c r="U30" s="15">
        <f ca="1">IFERROR(GETPIVOTDATA("Cuenta de CANT",Tabla9,"PROV",[2]Tablas!$A$27,"SEFIS",U$52,"CANT",[2]Tablas!#REF!),0)</f>
        <v>1</v>
      </c>
      <c r="V30" s="15">
        <f ca="1">IFERROR(GETPIVOTDATA("Cuenta de CANT",Tabla9,"PROV",[2]Tablas!$A$27,"SEFIS",V$52,"CANT",[2]Tablas!#REF!),0)</f>
        <v>2</v>
      </c>
      <c r="W30" s="15">
        <f ca="1">IFERROR(GETPIVOTDATA("Cuenta de CANT",Tabla9,"PROV",[2]Tablas!$A$27,"SEFIS",W$52,"CANT",[2]Tablas!#REF!),0)</f>
        <v>0</v>
      </c>
      <c r="X30" s="15">
        <f ca="1">IFERROR(GETPIVOTDATA("Cuenta de CANT",Tabla9,"PROV",[2]Tablas!$A$27,"SEFIS",X$52,"CANT",[2]Tablas!#REF!),0)</f>
        <v>0</v>
      </c>
      <c r="Y30" s="15">
        <f ca="1">IFERROR(GETPIVOTDATA("Cuenta de CANT",Tabla9,"PROV",[2]Tablas!$A$27,"SEFIS",Y$52,"CANT",[2]Tablas!#REF!),0)</f>
        <v>0</v>
      </c>
      <c r="Z30" s="15">
        <f ca="1">IFERROR(GETPIVOTDATA("Cuenta de CANT",Tabla9,"PROV",[2]Tablas!$A$27,"SEFIS",Z$52,"CANT",[2]Tablas!#REF!),0)</f>
        <v>0</v>
      </c>
      <c r="AA30" s="15">
        <f ca="1">IFERROR(GETPIVOTDATA("Cuenta de CANT",Tabla9,"PROV",[2]Tablas!$A$27,"SEFIS",AA$52,"CANT",[2]Tablas!#REF!),0)</f>
        <v>0</v>
      </c>
      <c r="AB30" s="15">
        <f ca="1">IFERROR(GETPIVOTDATA("Cuenta de CANT",Tabla9,"PROV",[2]Tablas!$A$27,"SEFIS",AB$52,"CANT",[2]Tablas!#REF!),0)</f>
        <v>0</v>
      </c>
      <c r="AC30" s="15">
        <f ca="1">IFERROR(GETPIVOTDATA("Cuenta de CANT",Tabla9,"PROV",[2]Tablas!$A$27,"SEFIS",AC$52,"CANT",[2]Tablas!#REF!),0)</f>
        <v>1</v>
      </c>
      <c r="AD30" s="15">
        <f ca="1">IFERROR(GETPIVOTDATA("Cuenta de CANT",Tabla9,"PROV",[2]Tablas!$A$27,"SEFIS",AD$52,"CANT",[2]Tablas!#REF!),0)</f>
        <v>2</v>
      </c>
      <c r="AE30" s="15">
        <f ca="1">IFERROR(GETPIVOTDATA("Cuenta de CANT",Tabla9,"PROV",[2]Tablas!$A$27,"SEFIS",AE$52,"CANT",[2]Tablas!#REF!),0)</f>
        <v>0</v>
      </c>
      <c r="AF30" s="15">
        <f ca="1">IFERROR(GETPIVOTDATA("Cuenta de CANT",Tabla9,"PROV",[2]Tablas!$A$27,"SEFIS",AF$52,"CANT",[2]Tablas!#REF!),0)</f>
        <v>1</v>
      </c>
      <c r="AG30" s="15">
        <f ca="1">IFERROR(GETPIVOTDATA("Cuenta de CANT",Tabla9,"PROV",[2]Tablas!$A$27,"SEFIS",AG$52,"CANT",[2]Tablas!#REF!),0)</f>
        <v>1</v>
      </c>
      <c r="AH30" s="15">
        <f ca="1">IFERROR(GETPIVOTDATA("Cuenta de CANT",Tabla9,"PROV",[2]Tablas!$A$27,"SEFIS",AH$52,"CANT",[2]Tablas!#REF!),0)</f>
        <v>2</v>
      </c>
      <c r="AI30" s="15">
        <f ca="1">IFERROR(GETPIVOTDATA("Cuenta de CANT",Tabla9,"PROV",[2]Tablas!$A$27,"SEFIS",AI$52,"CANT",[2]Tablas!#REF!),0)</f>
        <v>0</v>
      </c>
      <c r="AJ30" s="15">
        <f ca="1">IFERROR(GETPIVOTDATA("Cuenta de CANT",Tabla9,"PROV",[2]Tablas!$A$27,"SEFIS",AJ$52,"CANT",[2]Tablas!#REF!),0)</f>
        <v>0</v>
      </c>
      <c r="AK30" s="15">
        <f ca="1">IFERROR(GETPIVOTDATA("Cuenta de CANT",Tabla9,"PROV",[2]Tablas!$A$27,"SEFIS",AK$52,"CANT",[2]Tablas!#REF!),0)</f>
        <v>0</v>
      </c>
      <c r="AL30" s="15">
        <f ca="1">IFERROR(GETPIVOTDATA("Cuenta de CANT",Tabla9,"PROV",[2]Tablas!$A$27,"SEFIS",AL$52,"CANT",[2]Tablas!#REF!),0)</f>
        <v>1</v>
      </c>
      <c r="AM30" s="15">
        <f ca="1">IFERROR(GETPIVOTDATA("Cuenta de CANT",Tabla9,"PROV",[2]Tablas!$A$27,"SEFIS",AM$52,"CANT",[2]Tablas!#REF!),0)</f>
        <v>2</v>
      </c>
      <c r="AN30" s="15">
        <f ca="1">IFERROR(GETPIVOTDATA("Cuenta de CANT",Tabla9,"PROV",[2]Tablas!$A$27,"SEFIS",AN$52,"CANT",[2]Tablas!#REF!),0)</f>
        <v>3</v>
      </c>
      <c r="AO30" s="15">
        <f ca="1">IFERROR(GETPIVOTDATA("Cuenta de CANT",Tabla9,"PROV",[2]Tablas!$A$27,"SEFIS",AO$52,"CANT",[2]Tablas!#REF!),0)</f>
        <v>3</v>
      </c>
      <c r="AP30" s="15">
        <f ca="1">IFERROR(GETPIVOTDATA("Cuenta de CANT",Tabla9,"PROV",[2]Tablas!$A$27,"SEFIS",AP$52,"CANT",[2]Tablas!#REF!),0)</f>
        <v>3</v>
      </c>
      <c r="AQ30" s="15">
        <f ca="1">IFERROR(GETPIVOTDATA("Cuenta de CANT",Tabla9,"PROV",[2]Tablas!$A$27,"SEFIS",AQ$52,"CANT",[2]Tablas!#REF!),0)</f>
        <v>0</v>
      </c>
      <c r="AR30" s="15">
        <f ca="1">IFERROR(GETPIVOTDATA("Cuenta de CANT",Tabla9,"PROV",[2]Tablas!$A$27,"SEFIS",AR$52,"CANT",[2]Tablas!#REF!),0)</f>
        <v>1</v>
      </c>
      <c r="AS30" s="15">
        <f ca="1">IFERROR(GETPIVOTDATA("Cuenta de CANT",Tabla9,"PROV",[2]Tablas!$A$27,"SEFIS",AS$52,"CANT",[2]Tablas!#REF!),0)</f>
        <v>1</v>
      </c>
      <c r="AT30" s="15">
        <f ca="1">IFERROR(GETPIVOTDATA("Cuenta de CANT",Tabla9,"PROV",[2]Tablas!$A$27,"SEFIS",AT$52,"CANT",[2]Tablas!#REF!),0)</f>
        <v>2</v>
      </c>
      <c r="AU30" s="15">
        <f ca="1">IFERROR(GETPIVOTDATA("Cuenta de CANT",Tabla9,"PROV",[2]Tablas!$A$27,"SEFIS",AU$52,"CANT",[2]Tablas!#REF!),0)</f>
        <v>0</v>
      </c>
      <c r="AV30" s="15">
        <f ca="1">IFERROR(GETPIVOTDATA("Cuenta de CANT",Tabla9,"PROV",[2]Tablas!$A$27,"SEFIS",AV$52,"CANT",[2]Tablas!#REF!),0)</f>
        <v>0</v>
      </c>
      <c r="AW30" s="15">
        <f ca="1">IFERROR(GETPIVOTDATA("Cuenta de CANT",Tabla9,"PROV",[2]Tablas!$A$27,"SEFIS",AW$52,"CANT",[2]Tablas!#REF!),0)</f>
        <v>0</v>
      </c>
      <c r="AX30" s="15">
        <f ca="1">IFERROR(GETPIVOTDATA("Cuenta de CANT",Tabla9,"PROV",[2]Tablas!$A$27,"SEFIS",AX$52,"CANT",[2]Tablas!#REF!),0)</f>
        <v>2</v>
      </c>
      <c r="AY30" s="15">
        <f ca="1">IFERROR(GETPIVOTDATA("Cuenta de CANT",Tabla9,"PROV",[2]Tablas!$A$27,"SEFIS",AY$52,"CANT",[2]Tablas!#REF!),0)</f>
        <v>1</v>
      </c>
      <c r="AZ30" s="15">
        <f ca="1">IFERROR(GETPIVOTDATA("Cuenta de CANT",Tabla9,"PROV",[2]Tablas!$A$27,"SEFIS",AZ$52,"CANT",[2]Tablas!#REF!),0)</f>
        <v>0</v>
      </c>
      <c r="BA30" s="15">
        <f ca="1">IFERROR(GETPIVOTDATA("Cuenta de CANT",Tabla9,"PROV",[2]Tablas!$A$27,"SEFIS",BA$52,"CANT",[2]Tablas!#REF!),0)</f>
        <v>0</v>
      </c>
      <c r="BB30" s="15">
        <f ca="1">IFERROR(GETPIVOTDATA("Cuenta de CANT",Tabla9,"PROV",[2]Tablas!$A$27,"SEFIS",BB$52,"CANT",[2]Tablas!#REF!),0)</f>
        <v>0</v>
      </c>
      <c r="BC30" s="15">
        <f ca="1">IFERROR(GETPIVOTDATA("Cuenta de CANT",Tabla9,"PROV",[2]Tablas!$A$27,"SEFIS",BC$52,"CANT",[2]Tablas!#REF!),0)</f>
        <v>0</v>
      </c>
      <c r="BD30" s="15">
        <f ca="1">IFERROR(GETPIVOTDATA("Cuenta de CANT",Tabla9,"PROV",[2]Tablas!$A$27,"SEFIS",BD$52,"CANT",[2]Tablas!#REF!),0)</f>
        <v>0</v>
      </c>
    </row>
    <row r="31" spans="1:56" x14ac:dyDescent="0.35">
      <c r="A31" s="14" t="s">
        <v>129</v>
      </c>
      <c r="B31" s="15">
        <f t="shared" ca="1" si="2"/>
        <v>52</v>
      </c>
      <c r="C31" s="16">
        <f ca="1">IFERROR(B31/[2]Tablas!$B1*100000,"N/D")</f>
        <v>38.932646521517775</v>
      </c>
      <c r="D31" s="15">
        <f ca="1">IFERROR(GETPIVOTDATA("Cuenta de CANT",Tabla9,"PROV",[2]Tablas!$A$27,"SEFIS",D$52,"CANT",[2]Tablas!$A1),0)</f>
        <v>0</v>
      </c>
      <c r="E31" s="15">
        <f ca="1">IFERROR(GETPIVOTDATA("Cuenta de CANT",Tabla9,"PROV",[2]Tablas!$A$27,"SEFIS",E$52,"CANT",[2]Tablas!$A1),0)</f>
        <v>0</v>
      </c>
      <c r="F31" s="15">
        <f ca="1">IFERROR(GETPIVOTDATA("Cuenta de CANT",Tabla9,"PROV",[2]Tablas!$A$27,"SEFIS",F$52,"CANT",[2]Tablas!$A1),0)</f>
        <v>1</v>
      </c>
      <c r="G31" s="15">
        <f ca="1">IFERROR(GETPIVOTDATA("Cuenta de CANT",Tabla9,"PROV",[2]Tablas!$A$27,"SEFIS",G$52,"CANT",[2]Tablas!$A1),0)</f>
        <v>0</v>
      </c>
      <c r="H31" s="15">
        <f ca="1">IFERROR(GETPIVOTDATA("Cuenta de CANT",Tabla9,"PROV",[2]Tablas!$A$27,"SEFIS",H$52,"CANT",[2]Tablas!$A1),0)</f>
        <v>0</v>
      </c>
      <c r="I31" s="15">
        <f ca="1">IFERROR(GETPIVOTDATA("Cuenta de CANT",Tabla9,"PROV",[2]Tablas!$A$27,"SEFIS",I$52,"CANT",[2]Tablas!$A1),0)</f>
        <v>2</v>
      </c>
      <c r="J31" s="15">
        <f ca="1">IFERROR(GETPIVOTDATA("Cuenta de CANT",Tabla9,"PROV",[2]Tablas!$A$27,"SEFIS",J$52,"CANT",[2]Tablas!$A1),0)</f>
        <v>0</v>
      </c>
      <c r="K31" s="15">
        <f ca="1">IFERROR(GETPIVOTDATA("Cuenta de CANT",Tabla9,"PROV",[2]Tablas!$A$27,"SEFIS",K$52,"CANT",[2]Tablas!$A1),0)</f>
        <v>1</v>
      </c>
      <c r="L31" s="15">
        <f ca="1">IFERROR(GETPIVOTDATA("Cuenta de CANT",Tabla9,"PROV",[2]Tablas!$A$27,"SEFIS",L$52,"CANT",[2]Tablas!$A1),0)</f>
        <v>0</v>
      </c>
      <c r="M31" s="15">
        <f ca="1">IFERROR(GETPIVOTDATA("Cuenta de CANT",Tabla9,"PROV",[2]Tablas!$A$27,"SEFIS",M$52,"CANT",[2]Tablas!$A1),0)</f>
        <v>0</v>
      </c>
      <c r="N31" s="15">
        <f ca="1">IFERROR(GETPIVOTDATA("Cuenta de CANT",Tabla9,"PROV",[2]Tablas!$A$27,"SEFIS",N$52,"CANT",[2]Tablas!$A1),0)</f>
        <v>0</v>
      </c>
      <c r="O31" s="15">
        <f ca="1">IFERROR(GETPIVOTDATA("Cuenta de CANT",Tabla9,"PROV",[2]Tablas!$A$27,"SEFIS",O$52,"CANT",[2]Tablas!$A1),0)</f>
        <v>1</v>
      </c>
      <c r="P31" s="15">
        <f ca="1">IFERROR(GETPIVOTDATA("Cuenta de CANT",Tabla9,"PROV",[2]Tablas!$A$27,"SEFIS",P$52,"CANT",[2]Tablas!$A1),0)</f>
        <v>0</v>
      </c>
      <c r="Q31" s="15">
        <f ca="1">IFERROR(GETPIVOTDATA("Cuenta de CANT",Tabla9,"PROV",[2]Tablas!$A$27,"SEFIS",Q$52,"CANT",[2]Tablas!$A1),0)</f>
        <v>0</v>
      </c>
      <c r="R31" s="15">
        <f ca="1">IFERROR(GETPIVOTDATA("Cuenta de CANT",Tabla9,"PROV",[2]Tablas!$A$27,"SEFIS",R$52,"CANT",[2]Tablas!$A1),0)</f>
        <v>0</v>
      </c>
      <c r="S31" s="15">
        <f ca="1">IFERROR(GETPIVOTDATA("Cuenta de CANT",Tabla9,"PROV",[2]Tablas!$A$27,"SEFIS",S$52,"CANT",[2]Tablas!$A1),0)</f>
        <v>2</v>
      </c>
      <c r="T31" s="15">
        <f ca="1">IFERROR(GETPIVOTDATA("Cuenta de CANT",Tabla9,"PROV",[2]Tablas!$A$27,"SEFIS",T$52,"CANT",[2]Tablas!$A1),0)</f>
        <v>3</v>
      </c>
      <c r="U31" s="15">
        <f ca="1">IFERROR(GETPIVOTDATA("Cuenta de CANT",Tabla9,"PROV",[2]Tablas!$A$27,"SEFIS",U$52,"CANT",[2]Tablas!$A1),0)</f>
        <v>2</v>
      </c>
      <c r="V31" s="15">
        <f ca="1">IFERROR(GETPIVOTDATA("Cuenta de CANT",Tabla9,"PROV",[2]Tablas!$A$27,"SEFIS",V$52,"CANT",[2]Tablas!$A1),0)</f>
        <v>5</v>
      </c>
      <c r="W31" s="15">
        <f ca="1">IFERROR(GETPIVOTDATA("Cuenta de CANT",Tabla9,"PROV",[2]Tablas!$A$27,"SEFIS",W$52,"CANT",[2]Tablas!$A1),0)</f>
        <v>5</v>
      </c>
      <c r="X31" s="15">
        <f ca="1">IFERROR(GETPIVOTDATA("Cuenta de CANT",Tabla9,"PROV",[2]Tablas!$A$27,"SEFIS",X$52,"CANT",[2]Tablas!$A1),0)</f>
        <v>1</v>
      </c>
      <c r="Y31" s="15">
        <f ca="1">IFERROR(GETPIVOTDATA("Cuenta de CANT",Tabla9,"PROV",[2]Tablas!$A$27,"SEFIS",Y$52,"CANT",[2]Tablas!$A1),0)</f>
        <v>0</v>
      </c>
      <c r="Z31" s="15">
        <f ca="1">IFERROR(GETPIVOTDATA("Cuenta de CANT",Tabla9,"PROV",[2]Tablas!$A$27,"SEFIS",Z$52,"CANT",[2]Tablas!$A1),0)</f>
        <v>1</v>
      </c>
      <c r="AA31" s="15">
        <f ca="1">IFERROR(GETPIVOTDATA("Cuenta de CANT",Tabla9,"PROV",[2]Tablas!$A$27,"SEFIS",AA$52,"CANT",[2]Tablas!$A1),0)</f>
        <v>2</v>
      </c>
      <c r="AB31" s="15">
        <f ca="1">IFERROR(GETPIVOTDATA("Cuenta de CANT",Tabla9,"PROV",[2]Tablas!$A$27,"SEFIS",AB$52,"CANT",[2]Tablas!$A1),0)</f>
        <v>4</v>
      </c>
      <c r="AC31" s="15">
        <f ca="1">IFERROR(GETPIVOTDATA("Cuenta de CANT",Tabla9,"PROV",[2]Tablas!$A$27,"SEFIS",AC$52,"CANT",[2]Tablas!$A1),0)</f>
        <v>0</v>
      </c>
      <c r="AD31" s="15">
        <f ca="1">IFERROR(GETPIVOTDATA("Cuenta de CANT",Tabla9,"PROV",[2]Tablas!$A$27,"SEFIS",AD$52,"CANT",[2]Tablas!$A1),0)</f>
        <v>1</v>
      </c>
      <c r="AE31" s="15">
        <f ca="1">IFERROR(GETPIVOTDATA("Cuenta de CANT",Tabla9,"PROV",[2]Tablas!$A$27,"SEFIS",AE$52,"CANT",[2]Tablas!$A1),0)</f>
        <v>1</v>
      </c>
      <c r="AF31" s="15">
        <f ca="1">IFERROR(GETPIVOTDATA("Cuenta de CANT",Tabla9,"PROV",[2]Tablas!$A$27,"SEFIS",AF$52,"CANT",[2]Tablas!$A1),0)</f>
        <v>1</v>
      </c>
      <c r="AG31" s="15">
        <f ca="1">IFERROR(GETPIVOTDATA("Cuenta de CANT",Tabla9,"PROV",[2]Tablas!$A$27,"SEFIS",AG$52,"CANT",[2]Tablas!$A1),0)</f>
        <v>3</v>
      </c>
      <c r="AH31" s="15">
        <f ca="1">IFERROR(GETPIVOTDATA("Cuenta de CANT",Tabla9,"PROV",[2]Tablas!$A$27,"SEFIS",AH$52,"CANT",[2]Tablas!$A1),0)</f>
        <v>1</v>
      </c>
      <c r="AI31" s="15">
        <f ca="1">IFERROR(GETPIVOTDATA("Cuenta de CANT",Tabla9,"PROV",[2]Tablas!$A$27,"SEFIS",AI$52,"CANT",[2]Tablas!$A1),0)</f>
        <v>3</v>
      </c>
      <c r="AJ31" s="15">
        <f ca="1">IFERROR(GETPIVOTDATA("Cuenta de CANT",Tabla9,"PROV",[2]Tablas!$A$27,"SEFIS",AJ$52,"CANT",[2]Tablas!$A1),0)</f>
        <v>0</v>
      </c>
      <c r="AK31" s="15">
        <f ca="1">IFERROR(GETPIVOTDATA("Cuenta de CANT",Tabla9,"PROV",[2]Tablas!$A$27,"SEFIS",AK$52,"CANT",[2]Tablas!$A1),0)</f>
        <v>0</v>
      </c>
      <c r="AL31" s="15">
        <f ca="1">IFERROR(GETPIVOTDATA("Cuenta de CANT",Tabla9,"PROV",[2]Tablas!$A$27,"SEFIS",AL$52,"CANT",[2]Tablas!$A1),0)</f>
        <v>1</v>
      </c>
      <c r="AM31" s="15">
        <f ca="1">IFERROR(GETPIVOTDATA("Cuenta de CANT",Tabla9,"PROV",[2]Tablas!$A$27,"SEFIS",AM$52,"CANT",[2]Tablas!$A1),0)</f>
        <v>0</v>
      </c>
      <c r="AN31" s="15">
        <f ca="1">IFERROR(GETPIVOTDATA("Cuenta de CANT",Tabla9,"PROV",[2]Tablas!$A$27,"SEFIS",AN$52,"CANT",[2]Tablas!$A1),0)</f>
        <v>1</v>
      </c>
      <c r="AO31" s="15">
        <f ca="1">IFERROR(GETPIVOTDATA("Cuenta de CANT",Tabla9,"PROV",[2]Tablas!$A$27,"SEFIS",AO$52,"CANT",[2]Tablas!$A1),0)</f>
        <v>0</v>
      </c>
      <c r="AP31" s="15">
        <f ca="1">IFERROR(GETPIVOTDATA("Cuenta de CANT",Tabla9,"PROV",[2]Tablas!$A$27,"SEFIS",AP$52,"CANT",[2]Tablas!$A1),0)</f>
        <v>0</v>
      </c>
      <c r="AQ31" s="15">
        <f ca="1">IFERROR(GETPIVOTDATA("Cuenta de CANT",Tabla9,"PROV",[2]Tablas!$A$27,"SEFIS",AQ$52,"CANT",[2]Tablas!$A1),0)</f>
        <v>2</v>
      </c>
      <c r="AR31" s="15">
        <f ca="1">IFERROR(GETPIVOTDATA("Cuenta de CANT",Tabla9,"PROV",[2]Tablas!$A$27,"SEFIS",AR$52,"CANT",[2]Tablas!$A1),0)</f>
        <v>1</v>
      </c>
      <c r="AS31" s="15">
        <f ca="1">IFERROR(GETPIVOTDATA("Cuenta de CANT",Tabla9,"PROV",[2]Tablas!$A$27,"SEFIS",AS$52,"CANT",[2]Tablas!$A1),0)</f>
        <v>0</v>
      </c>
      <c r="AT31" s="15">
        <f ca="1">IFERROR(GETPIVOTDATA("Cuenta de CANT",Tabla9,"PROV",[2]Tablas!$A$27,"SEFIS",AT$52,"CANT",[2]Tablas!$A1),0)</f>
        <v>0</v>
      </c>
      <c r="AU31" s="15">
        <f ca="1">IFERROR(GETPIVOTDATA("Cuenta de CANT",Tabla9,"PROV",[2]Tablas!$A$27,"SEFIS",AU$52,"CANT",[2]Tablas!$A1),0)</f>
        <v>2</v>
      </c>
      <c r="AV31" s="15">
        <f ca="1">IFERROR(GETPIVOTDATA("Cuenta de CANT",Tabla9,"PROV",[2]Tablas!$A$27,"SEFIS",AV$52,"CANT",[2]Tablas!$A1),0)</f>
        <v>2</v>
      </c>
      <c r="AW31" s="15">
        <f ca="1">IFERROR(GETPIVOTDATA("Cuenta de CANT",Tabla9,"PROV",[2]Tablas!$A$27,"SEFIS",AW$52,"CANT",[2]Tablas!$A1),0)</f>
        <v>0</v>
      </c>
      <c r="AX31" s="15">
        <f ca="1">IFERROR(GETPIVOTDATA("Cuenta de CANT",Tabla9,"PROV",[2]Tablas!$A$27,"SEFIS",AX$52,"CANT",[2]Tablas!$A1),0)</f>
        <v>1</v>
      </c>
      <c r="AY31" s="15">
        <f ca="1">IFERROR(GETPIVOTDATA("Cuenta de CANT",Tabla9,"PROV",[2]Tablas!$A$27,"SEFIS",AY$52,"CANT",[2]Tablas!$A1),0)</f>
        <v>1</v>
      </c>
      <c r="AZ31" s="15">
        <f ca="1">IFERROR(GETPIVOTDATA("Cuenta de CANT",Tabla9,"PROV",[2]Tablas!$A$27,"SEFIS",AZ$52,"CANT",[2]Tablas!$A1),0)</f>
        <v>0</v>
      </c>
      <c r="BA31" s="15">
        <f ca="1">IFERROR(GETPIVOTDATA("Cuenta de CANT",Tabla9,"PROV",[2]Tablas!$A$27,"SEFIS",BA$52,"CANT",[2]Tablas!$A1),0)</f>
        <v>1</v>
      </c>
      <c r="BB31" s="15">
        <f ca="1">IFERROR(GETPIVOTDATA("Cuenta de CANT",Tabla9,"PROV",[2]Tablas!$A$27,"SEFIS",BB$52,"CANT",[2]Tablas!$A1),0)</f>
        <v>0</v>
      </c>
      <c r="BC31" s="15">
        <f ca="1">IFERROR(GETPIVOTDATA("Cuenta de CANT",Tabla9,"PROV",[2]Tablas!$A$27,"SEFIS",BC$52,"CANT",[2]Tablas!$A1),0)</f>
        <v>0</v>
      </c>
      <c r="BD31" s="15">
        <f ca="1">IFERROR(GETPIVOTDATA("Cuenta de CANT",Tabla9,"PROV",[2]Tablas!$A$27,"SEFIS",BD$52,"CANT",[2]Tablas!$A1),0)</f>
        <v>0</v>
      </c>
    </row>
    <row r="32" spans="1:56" x14ac:dyDescent="0.35">
      <c r="A32" s="14" t="s">
        <v>130</v>
      </c>
      <c r="B32" s="15">
        <f t="shared" ca="1" si="2"/>
        <v>1</v>
      </c>
      <c r="C32" s="16">
        <f ca="1">IFERROR(B32/[2]Tablas!$B2*100000,"N/D")</f>
        <v>7.4057616825890547</v>
      </c>
      <c r="D32" s="15">
        <f ca="1">IFERROR(GETPIVOTDATA("Cuenta de CANT",Tabla9,"PROV",[2]Tablas!$A$27,"SEFIS",D$52,"CANT",[2]Tablas!$A2),0)</f>
        <v>0</v>
      </c>
      <c r="E32" s="15">
        <f ca="1">IFERROR(GETPIVOTDATA("Cuenta de CANT",Tabla9,"PROV",[2]Tablas!$A$27,"SEFIS",E$52,"CANT",[2]Tablas!$A2),0)</f>
        <v>0</v>
      </c>
      <c r="F32" s="15">
        <f ca="1">IFERROR(GETPIVOTDATA("Cuenta de CANT",Tabla9,"PROV",[2]Tablas!$A$27,"SEFIS",F$52,"CANT",[2]Tablas!$A2),0)</f>
        <v>0</v>
      </c>
      <c r="G32" s="15">
        <f ca="1">IFERROR(GETPIVOTDATA("Cuenta de CANT",Tabla9,"PROV",[2]Tablas!$A$27,"SEFIS",G$52,"CANT",[2]Tablas!$A2),0)</f>
        <v>0</v>
      </c>
      <c r="H32" s="15">
        <f ca="1">IFERROR(GETPIVOTDATA("Cuenta de CANT",Tabla9,"PROV",[2]Tablas!$A$27,"SEFIS",H$52,"CANT",[2]Tablas!$A2),0)</f>
        <v>0</v>
      </c>
      <c r="I32" s="15">
        <f ca="1">IFERROR(GETPIVOTDATA("Cuenta de CANT",Tabla9,"PROV",[2]Tablas!$A$27,"SEFIS",I$52,"CANT",[2]Tablas!$A2),0)</f>
        <v>0</v>
      </c>
      <c r="J32" s="15">
        <f ca="1">IFERROR(GETPIVOTDATA("Cuenta de CANT",Tabla9,"PROV",[2]Tablas!$A$27,"SEFIS",J$52,"CANT",[2]Tablas!$A2),0)</f>
        <v>0</v>
      </c>
      <c r="K32" s="15">
        <f ca="1">IFERROR(GETPIVOTDATA("Cuenta de CANT",Tabla9,"PROV",[2]Tablas!$A$27,"SEFIS",K$52,"CANT",[2]Tablas!$A2),0)</f>
        <v>1</v>
      </c>
      <c r="L32" s="15">
        <f ca="1">IFERROR(GETPIVOTDATA("Cuenta de CANT",Tabla9,"PROV",[2]Tablas!$A$27,"SEFIS",L$52,"CANT",[2]Tablas!$A2),0)</f>
        <v>0</v>
      </c>
      <c r="M32" s="15">
        <f ca="1">IFERROR(GETPIVOTDATA("Cuenta de CANT",Tabla9,"PROV",[2]Tablas!$A$27,"SEFIS",M$52,"CANT",[2]Tablas!$A2),0)</f>
        <v>0</v>
      </c>
      <c r="N32" s="15">
        <f ca="1">IFERROR(GETPIVOTDATA("Cuenta de CANT",Tabla9,"PROV",[2]Tablas!$A$27,"SEFIS",N$52,"CANT",[2]Tablas!$A2),0)</f>
        <v>0</v>
      </c>
      <c r="O32" s="15">
        <f ca="1">IFERROR(GETPIVOTDATA("Cuenta de CANT",Tabla9,"PROV",[2]Tablas!$A$27,"SEFIS",O$52,"CANT",[2]Tablas!$A2),0)</f>
        <v>0</v>
      </c>
      <c r="P32" s="15">
        <f ca="1">IFERROR(GETPIVOTDATA("Cuenta de CANT",Tabla9,"PROV",[2]Tablas!$A$27,"SEFIS",P$52,"CANT",[2]Tablas!$A2),0)</f>
        <v>0</v>
      </c>
      <c r="Q32" s="15">
        <f ca="1">IFERROR(GETPIVOTDATA("Cuenta de CANT",Tabla9,"PROV",[2]Tablas!$A$27,"SEFIS",Q$52,"CANT",[2]Tablas!$A2),0)</f>
        <v>0</v>
      </c>
      <c r="R32" s="15">
        <f ca="1">IFERROR(GETPIVOTDATA("Cuenta de CANT",Tabla9,"PROV",[2]Tablas!$A$27,"SEFIS",R$52,"CANT",[2]Tablas!$A2),0)</f>
        <v>0</v>
      </c>
      <c r="S32" s="15">
        <f ca="1">IFERROR(GETPIVOTDATA("Cuenta de CANT",Tabla9,"PROV",[2]Tablas!$A$27,"SEFIS",S$52,"CANT",[2]Tablas!$A2),0)</f>
        <v>0</v>
      </c>
      <c r="T32" s="15">
        <f ca="1">IFERROR(GETPIVOTDATA("Cuenta de CANT",Tabla9,"PROV",[2]Tablas!$A$27,"SEFIS",T$52,"CANT",[2]Tablas!$A2),0)</f>
        <v>0</v>
      </c>
      <c r="U32" s="15">
        <f ca="1">IFERROR(GETPIVOTDATA("Cuenta de CANT",Tabla9,"PROV",[2]Tablas!$A$27,"SEFIS",U$52,"CANT",[2]Tablas!$A2),0)</f>
        <v>0</v>
      </c>
      <c r="V32" s="15">
        <f ca="1">IFERROR(GETPIVOTDATA("Cuenta de CANT",Tabla9,"PROV",[2]Tablas!$A$27,"SEFIS",V$52,"CANT",[2]Tablas!$A2),0)</f>
        <v>0</v>
      </c>
      <c r="W32" s="15">
        <f ca="1">IFERROR(GETPIVOTDATA("Cuenta de CANT",Tabla9,"PROV",[2]Tablas!$A$27,"SEFIS",W$52,"CANT",[2]Tablas!$A2),0)</f>
        <v>0</v>
      </c>
      <c r="X32" s="15">
        <f ca="1">IFERROR(GETPIVOTDATA("Cuenta de CANT",Tabla9,"PROV",[2]Tablas!$A$27,"SEFIS",X$52,"CANT",[2]Tablas!$A2),0)</f>
        <v>0</v>
      </c>
      <c r="Y32" s="15">
        <f ca="1">IFERROR(GETPIVOTDATA("Cuenta de CANT",Tabla9,"PROV",[2]Tablas!$A$27,"SEFIS",Y$52,"CANT",[2]Tablas!$A2),0)</f>
        <v>0</v>
      </c>
      <c r="Z32" s="15">
        <f ca="1">IFERROR(GETPIVOTDATA("Cuenta de CANT",Tabla9,"PROV",[2]Tablas!$A$27,"SEFIS",Z$52,"CANT",[2]Tablas!$A2),0)</f>
        <v>0</v>
      </c>
      <c r="AA32" s="15">
        <f ca="1">IFERROR(GETPIVOTDATA("Cuenta de CANT",Tabla9,"PROV",[2]Tablas!$A$27,"SEFIS",AA$52,"CANT",[2]Tablas!$A2),0)</f>
        <v>0</v>
      </c>
      <c r="AB32" s="15">
        <f ca="1">IFERROR(GETPIVOTDATA("Cuenta de CANT",Tabla9,"PROV",[2]Tablas!$A$27,"SEFIS",AB$52,"CANT",[2]Tablas!$A2),0)</f>
        <v>0</v>
      </c>
      <c r="AC32" s="15">
        <f ca="1">IFERROR(GETPIVOTDATA("Cuenta de CANT",Tabla9,"PROV",[2]Tablas!$A$27,"SEFIS",AC$52,"CANT",[2]Tablas!$A2),0)</f>
        <v>0</v>
      </c>
      <c r="AD32" s="15">
        <f ca="1">IFERROR(GETPIVOTDATA("Cuenta de CANT",Tabla9,"PROV",[2]Tablas!$A$27,"SEFIS",AD$52,"CANT",[2]Tablas!$A2),0)</f>
        <v>0</v>
      </c>
      <c r="AE32" s="15">
        <f ca="1">IFERROR(GETPIVOTDATA("Cuenta de CANT",Tabla9,"PROV",[2]Tablas!$A$27,"SEFIS",AE$52,"CANT",[2]Tablas!$A2),0)</f>
        <v>0</v>
      </c>
      <c r="AF32" s="15">
        <f ca="1">IFERROR(GETPIVOTDATA("Cuenta de CANT",Tabla9,"PROV",[2]Tablas!$A$27,"SEFIS",AF$52,"CANT",[2]Tablas!$A2),0)</f>
        <v>0</v>
      </c>
      <c r="AG32" s="15">
        <f ca="1">IFERROR(GETPIVOTDATA("Cuenta de CANT",Tabla9,"PROV",[2]Tablas!$A$27,"SEFIS",AG$52,"CANT",[2]Tablas!$A2),0)</f>
        <v>0</v>
      </c>
      <c r="AH32" s="15">
        <f ca="1">IFERROR(GETPIVOTDATA("Cuenta de CANT",Tabla9,"PROV",[2]Tablas!$A$27,"SEFIS",AH$52,"CANT",[2]Tablas!$A2),0)</f>
        <v>0</v>
      </c>
      <c r="AI32" s="15">
        <f ca="1">IFERROR(GETPIVOTDATA("Cuenta de CANT",Tabla9,"PROV",[2]Tablas!$A$27,"SEFIS",AI$52,"CANT",[2]Tablas!$A2),0)</f>
        <v>0</v>
      </c>
      <c r="AJ32" s="15">
        <f ca="1">IFERROR(GETPIVOTDATA("Cuenta de CANT",Tabla9,"PROV",[2]Tablas!$A$27,"SEFIS",AJ$52,"CANT",[2]Tablas!$A2),0)</f>
        <v>0</v>
      </c>
      <c r="AK32" s="15">
        <f ca="1">IFERROR(GETPIVOTDATA("Cuenta de CANT",Tabla9,"PROV",[2]Tablas!$A$27,"SEFIS",AK$52,"CANT",[2]Tablas!$A2),0)</f>
        <v>0</v>
      </c>
      <c r="AL32" s="15">
        <f ca="1">IFERROR(GETPIVOTDATA("Cuenta de CANT",Tabla9,"PROV",[2]Tablas!$A$27,"SEFIS",AL$52,"CANT",[2]Tablas!$A2),0)</f>
        <v>0</v>
      </c>
      <c r="AM32" s="15">
        <f ca="1">IFERROR(GETPIVOTDATA("Cuenta de CANT",Tabla9,"PROV",[2]Tablas!$A$27,"SEFIS",AM$52,"CANT",[2]Tablas!$A2),0)</f>
        <v>0</v>
      </c>
      <c r="AN32" s="15">
        <f ca="1">IFERROR(GETPIVOTDATA("Cuenta de CANT",Tabla9,"PROV",[2]Tablas!$A$27,"SEFIS",AN$52,"CANT",[2]Tablas!$A2),0)</f>
        <v>0</v>
      </c>
      <c r="AO32" s="15">
        <f ca="1">IFERROR(GETPIVOTDATA("Cuenta de CANT",Tabla9,"PROV",[2]Tablas!$A$27,"SEFIS",AO$52,"CANT",[2]Tablas!$A2),0)</f>
        <v>0</v>
      </c>
      <c r="AP32" s="15">
        <f ca="1">IFERROR(GETPIVOTDATA("Cuenta de CANT",Tabla9,"PROV",[2]Tablas!$A$27,"SEFIS",AP$52,"CANT",[2]Tablas!$A2),0)</f>
        <v>0</v>
      </c>
      <c r="AQ32" s="15">
        <f ca="1">IFERROR(GETPIVOTDATA("Cuenta de CANT",Tabla9,"PROV",[2]Tablas!$A$27,"SEFIS",AQ$52,"CANT",[2]Tablas!$A2),0)</f>
        <v>0</v>
      </c>
      <c r="AR32" s="15">
        <f ca="1">IFERROR(GETPIVOTDATA("Cuenta de CANT",Tabla9,"PROV",[2]Tablas!$A$27,"SEFIS",AR$52,"CANT",[2]Tablas!$A2),0)</f>
        <v>0</v>
      </c>
      <c r="AS32" s="15">
        <f ca="1">IFERROR(GETPIVOTDATA("Cuenta de CANT",Tabla9,"PROV",[2]Tablas!$A$27,"SEFIS",AS$52,"CANT",[2]Tablas!$A2),0)</f>
        <v>0</v>
      </c>
      <c r="AT32" s="15">
        <f ca="1">IFERROR(GETPIVOTDATA("Cuenta de CANT",Tabla9,"PROV",[2]Tablas!$A$27,"SEFIS",AT$52,"CANT",[2]Tablas!$A2),0)</f>
        <v>0</v>
      </c>
      <c r="AU32" s="15">
        <f ca="1">IFERROR(GETPIVOTDATA("Cuenta de CANT",Tabla9,"PROV",[2]Tablas!$A$27,"SEFIS",AU$52,"CANT",[2]Tablas!$A2),0)</f>
        <v>0</v>
      </c>
      <c r="AV32" s="15">
        <f ca="1">IFERROR(GETPIVOTDATA("Cuenta de CANT",Tabla9,"PROV",[2]Tablas!$A$27,"SEFIS",AV$52,"CANT",[2]Tablas!$A2),0)</f>
        <v>0</v>
      </c>
      <c r="AW32" s="15">
        <f ca="1">IFERROR(GETPIVOTDATA("Cuenta de CANT",Tabla9,"PROV",[2]Tablas!$A$27,"SEFIS",AW$52,"CANT",[2]Tablas!$A2),0)</f>
        <v>0</v>
      </c>
      <c r="AX32" s="15">
        <f ca="1">IFERROR(GETPIVOTDATA("Cuenta de CANT",Tabla9,"PROV",[2]Tablas!$A$27,"SEFIS",AX$52,"CANT",[2]Tablas!$A2),0)</f>
        <v>0</v>
      </c>
      <c r="AY32" s="15">
        <f ca="1">IFERROR(GETPIVOTDATA("Cuenta de CANT",Tabla9,"PROV",[2]Tablas!$A$27,"SEFIS",AY$52,"CANT",[2]Tablas!$A2),0)</f>
        <v>0</v>
      </c>
      <c r="AZ32" s="15">
        <f ca="1">IFERROR(GETPIVOTDATA("Cuenta de CANT",Tabla9,"PROV",[2]Tablas!$A$27,"SEFIS",AZ$52,"CANT",[2]Tablas!$A2),0)</f>
        <v>0</v>
      </c>
      <c r="BA32" s="15">
        <f ca="1">IFERROR(GETPIVOTDATA("Cuenta de CANT",Tabla9,"PROV",[2]Tablas!$A$27,"SEFIS",BA$52,"CANT",[2]Tablas!$A2),0)</f>
        <v>0</v>
      </c>
      <c r="BB32" s="15">
        <f ca="1">IFERROR(GETPIVOTDATA("Cuenta de CANT",Tabla9,"PROV",[2]Tablas!$A$27,"SEFIS",BB$52,"CANT",[2]Tablas!$A2),0)</f>
        <v>0</v>
      </c>
      <c r="BC32" s="15">
        <f ca="1">IFERROR(GETPIVOTDATA("Cuenta de CANT",Tabla9,"PROV",[2]Tablas!$A$27,"SEFIS",BC$52,"CANT",[2]Tablas!$A2),0)</f>
        <v>0</v>
      </c>
      <c r="BD32" s="15">
        <f ca="1">IFERROR(GETPIVOTDATA("Cuenta de CANT",Tabla9,"PROV",[2]Tablas!$A$27,"SEFIS",BD$52,"CANT",[2]Tablas!$A2),0)</f>
        <v>0</v>
      </c>
    </row>
    <row r="33" spans="1:56" x14ac:dyDescent="0.35">
      <c r="A33" s="14"/>
      <c r="B33" s="12"/>
      <c r="C33" s="13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2"/>
      <c r="AY33" s="2"/>
      <c r="AZ33" s="2"/>
      <c r="BA33" s="2"/>
      <c r="BB33" s="2"/>
      <c r="BC33" s="2"/>
      <c r="BD33" s="2"/>
    </row>
    <row r="34" spans="1:56" x14ac:dyDescent="0.35">
      <c r="A34" s="1" t="s">
        <v>131</v>
      </c>
      <c r="B34" s="10">
        <f ca="1">SUM(D34:BD34)</f>
        <v>773</v>
      </c>
      <c r="C34" s="11">
        <f ca="1">IFERROR(B34/[2]Tablas!$B4*100000,"N/D")</f>
        <v>71.898549565353264</v>
      </c>
      <c r="D34" s="10">
        <f ca="1">SUM(D35:D50)</f>
        <v>14</v>
      </c>
      <c r="E34" s="10">
        <f t="shared" ref="E34:BC34" ca="1" si="3">SUM(E35:E50)</f>
        <v>29</v>
      </c>
      <c r="F34" s="10">
        <f t="shared" ca="1" si="3"/>
        <v>13</v>
      </c>
      <c r="G34" s="10">
        <f t="shared" ca="1" si="3"/>
        <v>8</v>
      </c>
      <c r="H34" s="10">
        <f t="shared" ca="1" si="3"/>
        <v>11</v>
      </c>
      <c r="I34" s="10">
        <f t="shared" ca="1" si="3"/>
        <v>7</v>
      </c>
      <c r="J34" s="10">
        <f t="shared" ca="1" si="3"/>
        <v>6</v>
      </c>
      <c r="K34" s="10">
        <f t="shared" ca="1" si="3"/>
        <v>6</v>
      </c>
      <c r="L34" s="10">
        <f t="shared" ca="1" si="3"/>
        <v>5</v>
      </c>
      <c r="M34" s="10">
        <f t="shared" ca="1" si="3"/>
        <v>6</v>
      </c>
      <c r="N34" s="10">
        <f t="shared" ca="1" si="3"/>
        <v>11</v>
      </c>
      <c r="O34" s="10">
        <f t="shared" ca="1" si="3"/>
        <v>8</v>
      </c>
      <c r="P34" s="10">
        <f t="shared" ca="1" si="3"/>
        <v>10</v>
      </c>
      <c r="Q34" s="10">
        <f t="shared" ca="1" si="3"/>
        <v>16</v>
      </c>
      <c r="R34" s="10">
        <f t="shared" ca="1" si="3"/>
        <v>2</v>
      </c>
      <c r="S34" s="10">
        <f t="shared" ca="1" si="3"/>
        <v>8</v>
      </c>
      <c r="T34" s="10">
        <f t="shared" ca="1" si="3"/>
        <v>8</v>
      </c>
      <c r="U34" s="10">
        <f t="shared" ca="1" si="3"/>
        <v>9</v>
      </c>
      <c r="V34" s="10">
        <f t="shared" ca="1" si="3"/>
        <v>15</v>
      </c>
      <c r="W34" s="10">
        <f t="shared" ca="1" si="3"/>
        <v>10</v>
      </c>
      <c r="X34" s="10">
        <f t="shared" ca="1" si="3"/>
        <v>10</v>
      </c>
      <c r="Y34" s="10">
        <f t="shared" ca="1" si="3"/>
        <v>6</v>
      </c>
      <c r="Z34" s="10">
        <f t="shared" ca="1" si="3"/>
        <v>6</v>
      </c>
      <c r="AA34" s="10">
        <f t="shared" ca="1" si="3"/>
        <v>6</v>
      </c>
      <c r="AB34" s="10">
        <f t="shared" ca="1" si="3"/>
        <v>12</v>
      </c>
      <c r="AC34" s="10">
        <f t="shared" ca="1" si="3"/>
        <v>7</v>
      </c>
      <c r="AD34" s="10">
        <f t="shared" ca="1" si="3"/>
        <v>14</v>
      </c>
      <c r="AE34" s="10">
        <f t="shared" ca="1" si="3"/>
        <v>19</v>
      </c>
      <c r="AF34" s="10">
        <f t="shared" ca="1" si="3"/>
        <v>9</v>
      </c>
      <c r="AG34" s="10">
        <f t="shared" ca="1" si="3"/>
        <v>21</v>
      </c>
      <c r="AH34" s="10">
        <f t="shared" ca="1" si="3"/>
        <v>16</v>
      </c>
      <c r="AI34" s="10">
        <f t="shared" ca="1" si="3"/>
        <v>19</v>
      </c>
      <c r="AJ34" s="10">
        <f t="shared" ca="1" si="3"/>
        <v>26</v>
      </c>
      <c r="AK34" s="10">
        <f t="shared" ca="1" si="3"/>
        <v>21</v>
      </c>
      <c r="AL34" s="10">
        <f t="shared" ca="1" si="3"/>
        <v>21</v>
      </c>
      <c r="AM34" s="10">
        <f t="shared" ca="1" si="3"/>
        <v>19</v>
      </c>
      <c r="AN34" s="10">
        <f t="shared" ca="1" si="3"/>
        <v>19</v>
      </c>
      <c r="AO34" s="10">
        <f t="shared" ca="1" si="3"/>
        <v>18</v>
      </c>
      <c r="AP34" s="10">
        <f t="shared" ca="1" si="3"/>
        <v>27</v>
      </c>
      <c r="AQ34" s="10">
        <f t="shared" ca="1" si="3"/>
        <v>21</v>
      </c>
      <c r="AR34" s="10">
        <f t="shared" ca="1" si="3"/>
        <v>19</v>
      </c>
      <c r="AS34" s="10">
        <f t="shared" ca="1" si="3"/>
        <v>15</v>
      </c>
      <c r="AT34" s="10">
        <f t="shared" ca="1" si="3"/>
        <v>19</v>
      </c>
      <c r="AU34" s="10">
        <f t="shared" ca="1" si="3"/>
        <v>21</v>
      </c>
      <c r="AV34" s="10">
        <f t="shared" ca="1" si="3"/>
        <v>18</v>
      </c>
      <c r="AW34" s="10">
        <f t="shared" ca="1" si="3"/>
        <v>12</v>
      </c>
      <c r="AX34" s="10">
        <f t="shared" ca="1" si="3"/>
        <v>20</v>
      </c>
      <c r="AY34" s="10">
        <f t="shared" ca="1" si="3"/>
        <v>18</v>
      </c>
      <c r="AZ34" s="10">
        <f t="shared" ca="1" si="3"/>
        <v>26</v>
      </c>
      <c r="BA34" s="10">
        <f t="shared" ca="1" si="3"/>
        <v>28</v>
      </c>
      <c r="BB34" s="10">
        <f t="shared" ca="1" si="3"/>
        <v>42</v>
      </c>
      <c r="BC34" s="10">
        <f t="shared" ca="1" si="3"/>
        <v>16</v>
      </c>
      <c r="BD34" s="10">
        <f ca="1">SUM(BD35:BD50)</f>
        <v>0</v>
      </c>
    </row>
    <row r="35" spans="1:56" x14ac:dyDescent="0.35">
      <c r="A35" s="14" t="s">
        <v>132</v>
      </c>
      <c r="B35" s="15">
        <f ca="1">SUM(D35:BD35)</f>
        <v>404</v>
      </c>
      <c r="C35" s="16">
        <f ca="1">IFERROR(B35/[2]Tablas!$B5*100000,"N/D")</f>
        <v>123.2041621049614</v>
      </c>
      <c r="D35" s="15">
        <f ca="1">IFERROR(GETPIVOTDATA("Cuenta de CANT",Tabla9,"PROV",[2]Tablas!$A$49,"SEFIS",D$52,"CANT",[2]Tablas!$A5),0)</f>
        <v>7</v>
      </c>
      <c r="E35" s="15">
        <f ca="1">IFERROR(GETPIVOTDATA("Cuenta de CANT",Tabla9,"PROV",[2]Tablas!$A$49,"SEFIS",E$52,"CANT",[2]Tablas!$A5),0)</f>
        <v>14</v>
      </c>
      <c r="F35" s="15">
        <f ca="1">IFERROR(GETPIVOTDATA("Cuenta de CANT",Tabla9,"PROV",[2]Tablas!$A$49,"SEFIS",F$52,"CANT",[2]Tablas!$A5),0)</f>
        <v>5</v>
      </c>
      <c r="G35" s="15">
        <f ca="1">IFERROR(GETPIVOTDATA("Cuenta de CANT",Tabla9,"PROV",[2]Tablas!$A$49,"SEFIS",G$52,"CANT",[2]Tablas!$A5),0)</f>
        <v>2</v>
      </c>
      <c r="H35" s="15">
        <f ca="1">IFERROR(GETPIVOTDATA("Cuenta de CANT",Tabla9,"PROV",[2]Tablas!$A$49,"SEFIS",H$52,"CANT",[2]Tablas!$A5),0)</f>
        <v>4</v>
      </c>
      <c r="I35" s="15">
        <f ca="1">IFERROR(GETPIVOTDATA("Cuenta de CANT",Tabla9,"PROV",[2]Tablas!$A$49,"SEFIS",I$52,"CANT",[2]Tablas!$A5),0)</f>
        <v>6</v>
      </c>
      <c r="J35" s="15">
        <f ca="1">IFERROR(GETPIVOTDATA("Cuenta de CANT",Tabla9,"PROV",[2]Tablas!$A$49,"SEFIS",J$52,"CANT",[2]Tablas!$A5),0)</f>
        <v>2</v>
      </c>
      <c r="K35" s="15">
        <f ca="1">IFERROR(GETPIVOTDATA("Cuenta de CANT",Tabla9,"PROV",[2]Tablas!$A$49,"SEFIS",K$52,"CANT",[2]Tablas!$A5),0)</f>
        <v>1</v>
      </c>
      <c r="L35" s="15">
        <f ca="1">IFERROR(GETPIVOTDATA("Cuenta de CANT",Tabla9,"PROV",[2]Tablas!$A$49,"SEFIS",L$52,"CANT",[2]Tablas!$A5),0)</f>
        <v>2</v>
      </c>
      <c r="M35" s="15">
        <f ca="1">IFERROR(GETPIVOTDATA("Cuenta de CANT",Tabla9,"PROV",[2]Tablas!$A$49,"SEFIS",M$52,"CANT",[2]Tablas!$A5),0)</f>
        <v>4</v>
      </c>
      <c r="N35" s="15">
        <f ca="1">IFERROR(GETPIVOTDATA("Cuenta de CANT",Tabla9,"PROV",[2]Tablas!$A$49,"SEFIS",N$52,"CANT",[2]Tablas!$A5),0)</f>
        <v>4</v>
      </c>
      <c r="O35" s="15">
        <f ca="1">IFERROR(GETPIVOTDATA("Cuenta de CANT",Tabla9,"PROV",[2]Tablas!$A$49,"SEFIS",O$52,"CANT",[2]Tablas!$A5),0)</f>
        <v>3</v>
      </c>
      <c r="P35" s="15">
        <f ca="1">IFERROR(GETPIVOTDATA("Cuenta de CANT",Tabla9,"PROV",[2]Tablas!$A$49,"SEFIS",P$52,"CANT",[2]Tablas!$A5),0)</f>
        <v>6</v>
      </c>
      <c r="Q35" s="15">
        <f ca="1">IFERROR(GETPIVOTDATA("Cuenta de CANT",Tabla9,"PROV",[2]Tablas!$A$49,"SEFIS",Q$52,"CANT",[2]Tablas!$A5),0)</f>
        <v>5</v>
      </c>
      <c r="R35" s="15">
        <f ca="1">IFERROR(GETPIVOTDATA("Cuenta de CANT",Tabla9,"PROV",[2]Tablas!$A$49,"SEFIS",R$52,"CANT",[2]Tablas!$A5),0)</f>
        <v>1</v>
      </c>
      <c r="S35" s="15">
        <f ca="1">IFERROR(GETPIVOTDATA("Cuenta de CANT",Tabla9,"PROV",[2]Tablas!$A$49,"SEFIS",S$52,"CANT",[2]Tablas!$A5),0)</f>
        <v>5</v>
      </c>
      <c r="T35" s="15">
        <f ca="1">IFERROR(GETPIVOTDATA("Cuenta de CANT",Tabla9,"PROV",[2]Tablas!$A$49,"SEFIS",T$52,"CANT",[2]Tablas!$A5),0)</f>
        <v>2</v>
      </c>
      <c r="U35" s="15">
        <f ca="1">IFERROR(GETPIVOTDATA("Cuenta de CANT",Tabla9,"PROV",[2]Tablas!$A$49,"SEFIS",U$52,"CANT",[2]Tablas!$A5),0)</f>
        <v>6</v>
      </c>
      <c r="V35" s="15">
        <f ca="1">IFERROR(GETPIVOTDATA("Cuenta de CANT",Tabla9,"PROV",[2]Tablas!$A$49,"SEFIS",V$52,"CANT",[2]Tablas!$A5),0)</f>
        <v>12</v>
      </c>
      <c r="W35" s="15">
        <f ca="1">IFERROR(GETPIVOTDATA("Cuenta de CANT",Tabla9,"PROV",[2]Tablas!$A$49,"SEFIS",W$52,"CANT",[2]Tablas!$A5),0)</f>
        <v>4</v>
      </c>
      <c r="X35" s="15">
        <f ca="1">IFERROR(GETPIVOTDATA("Cuenta de CANT",Tabla9,"PROV",[2]Tablas!$A$49,"SEFIS",X$52,"CANT",[2]Tablas!$A5),0)</f>
        <v>5</v>
      </c>
      <c r="Y35" s="15">
        <f ca="1">IFERROR(GETPIVOTDATA("Cuenta de CANT",Tabla9,"PROV",[2]Tablas!$A$49,"SEFIS",Y$52,"CANT",[2]Tablas!$A5),0)</f>
        <v>2</v>
      </c>
      <c r="Z35" s="15">
        <f ca="1">IFERROR(GETPIVOTDATA("Cuenta de CANT",Tabla9,"PROV",[2]Tablas!$A$49,"SEFIS",Z$52,"CANT",[2]Tablas!$A5),0)</f>
        <v>5</v>
      </c>
      <c r="AA35" s="15">
        <f ca="1">IFERROR(GETPIVOTDATA("Cuenta de CANT",Tabla9,"PROV",[2]Tablas!$A$49,"SEFIS",AA$52,"CANT",[2]Tablas!$A5),0)</f>
        <v>5</v>
      </c>
      <c r="AB35" s="15">
        <f ca="1">IFERROR(GETPIVOTDATA("Cuenta de CANT",Tabla9,"PROV",[2]Tablas!$A$49,"SEFIS",AB$52,"CANT",[2]Tablas!$A5),0)</f>
        <v>6</v>
      </c>
      <c r="AC35" s="15">
        <f ca="1">IFERROR(GETPIVOTDATA("Cuenta de CANT",Tabla9,"PROV",[2]Tablas!$A$49,"SEFIS",AC$52,"CANT",[2]Tablas!$A5),0)</f>
        <v>2</v>
      </c>
      <c r="AD35" s="15">
        <f ca="1">IFERROR(GETPIVOTDATA("Cuenta de CANT",Tabla9,"PROV",[2]Tablas!$A$49,"SEFIS",AD$52,"CANT",[2]Tablas!$A5),0)</f>
        <v>8</v>
      </c>
      <c r="AE35" s="15">
        <f ca="1">IFERROR(GETPIVOTDATA("Cuenta de CANT",Tabla9,"PROV",[2]Tablas!$A$49,"SEFIS",AE$52,"CANT",[2]Tablas!$A5),0)</f>
        <v>7</v>
      </c>
      <c r="AF35" s="15">
        <f ca="1">IFERROR(GETPIVOTDATA("Cuenta de CANT",Tabla9,"PROV",[2]Tablas!$A$49,"SEFIS",AF$52,"CANT",[2]Tablas!$A5),0)</f>
        <v>2</v>
      </c>
      <c r="AG35" s="15">
        <f ca="1">IFERROR(GETPIVOTDATA("Cuenta de CANT",Tabla9,"PROV",[2]Tablas!$A$49,"SEFIS",AG$52,"CANT",[2]Tablas!$A5),0)</f>
        <v>12</v>
      </c>
      <c r="AH35" s="15">
        <f ca="1">IFERROR(GETPIVOTDATA("Cuenta de CANT",Tabla9,"PROV",[2]Tablas!$A$49,"SEFIS",AH$52,"CANT",[2]Tablas!$A5),0)</f>
        <v>5</v>
      </c>
      <c r="AI35" s="15">
        <f ca="1">IFERROR(GETPIVOTDATA("Cuenta de CANT",Tabla9,"PROV",[2]Tablas!$A$49,"SEFIS",AI$52,"CANT",[2]Tablas!$A5),0)</f>
        <v>6</v>
      </c>
      <c r="AJ35" s="15">
        <f ca="1">IFERROR(GETPIVOTDATA("Cuenta de CANT",Tabla9,"PROV",[2]Tablas!$A$49,"SEFIS",AJ$52,"CANT",[2]Tablas!$A5),0)</f>
        <v>16</v>
      </c>
      <c r="AK35" s="15">
        <f ca="1">IFERROR(GETPIVOTDATA("Cuenta de CANT",Tabla9,"PROV",[2]Tablas!$A$49,"SEFIS",AK$52,"CANT",[2]Tablas!$A5),0)</f>
        <v>18</v>
      </c>
      <c r="AL35" s="15">
        <f ca="1">IFERROR(GETPIVOTDATA("Cuenta de CANT",Tabla9,"PROV",[2]Tablas!$A$49,"SEFIS",AL$52,"CANT",[2]Tablas!$A5),0)</f>
        <v>11</v>
      </c>
      <c r="AM35" s="15">
        <f ca="1">IFERROR(GETPIVOTDATA("Cuenta de CANT",Tabla9,"PROV",[2]Tablas!$A$49,"SEFIS",AM$52,"CANT",[2]Tablas!$A5),0)</f>
        <v>12</v>
      </c>
      <c r="AN35" s="15">
        <f ca="1">IFERROR(GETPIVOTDATA("Cuenta de CANT",Tabla9,"PROV",[2]Tablas!$A$49,"SEFIS",AN$52,"CANT",[2]Tablas!$A5),0)</f>
        <v>12</v>
      </c>
      <c r="AO35" s="15">
        <f ca="1">IFERROR(GETPIVOTDATA("Cuenta de CANT",Tabla9,"PROV",[2]Tablas!$A$49,"SEFIS",AO$52,"CANT",[2]Tablas!$A5),0)</f>
        <v>12</v>
      </c>
      <c r="AP35" s="15">
        <f ca="1">IFERROR(GETPIVOTDATA("Cuenta de CANT",Tabla9,"PROV",[2]Tablas!$A$49,"SEFIS",AP$52,"CANT",[2]Tablas!$A5),0)</f>
        <v>17</v>
      </c>
      <c r="AQ35" s="15">
        <f ca="1">IFERROR(GETPIVOTDATA("Cuenta de CANT",Tabla9,"PROV",[2]Tablas!$A$49,"SEFIS",AQ$52,"CANT",[2]Tablas!$A5),0)</f>
        <v>9</v>
      </c>
      <c r="AR35" s="15">
        <f ca="1">IFERROR(GETPIVOTDATA("Cuenta de CANT",Tabla9,"PROV",[2]Tablas!$A$49,"SEFIS",AR$52,"CANT",[2]Tablas!$A5),0)</f>
        <v>9</v>
      </c>
      <c r="AS35" s="15">
        <f ca="1">IFERROR(GETPIVOTDATA("Cuenta de CANT",Tabla9,"PROV",[2]Tablas!$A$49,"SEFIS",AS$52,"CANT",[2]Tablas!$A5),0)</f>
        <v>6</v>
      </c>
      <c r="AT35" s="15">
        <f ca="1">IFERROR(GETPIVOTDATA("Cuenta de CANT",Tabla9,"PROV",[2]Tablas!$A$49,"SEFIS",AT$52,"CANT",[2]Tablas!$A5),0)</f>
        <v>14</v>
      </c>
      <c r="AU35" s="15">
        <f ca="1">IFERROR(GETPIVOTDATA("Cuenta de CANT",Tabla9,"PROV",[2]Tablas!$A$49,"SEFIS",AU$52,"CANT",[2]Tablas!$A5),0)</f>
        <v>16</v>
      </c>
      <c r="AV35" s="15">
        <f ca="1">IFERROR(GETPIVOTDATA("Cuenta de CANT",Tabla9,"PROV",[2]Tablas!$A$49,"SEFIS",AV$52,"CANT",[2]Tablas!$A5),0)</f>
        <v>14</v>
      </c>
      <c r="AW35" s="15">
        <f ca="1">IFERROR(GETPIVOTDATA("Cuenta de CANT",Tabla9,"PROV",[2]Tablas!$A$49,"SEFIS",AW$52,"CANT",[2]Tablas!$A5),0)</f>
        <v>6</v>
      </c>
      <c r="AX35" s="15">
        <f ca="1">IFERROR(GETPIVOTDATA("Cuenta de CANT",Tabla9,"PROV",[2]Tablas!$A$49,"SEFIS",AX$52,"CANT",[2]Tablas!$A5),0)</f>
        <v>13</v>
      </c>
      <c r="AY35" s="15">
        <f ca="1">IFERROR(GETPIVOTDATA("Cuenta de CANT",Tabla9,"PROV",[2]Tablas!$A$49,"SEFIS",AY$52,"CANT",[2]Tablas!$A5),0)</f>
        <v>7</v>
      </c>
      <c r="AZ35" s="15">
        <f ca="1">IFERROR(GETPIVOTDATA("Cuenta de CANT",Tabla9,"PROV",[2]Tablas!$A$49,"SEFIS",AZ$52,"CANT",[2]Tablas!$A5),0)</f>
        <v>17</v>
      </c>
      <c r="BA35" s="15">
        <f ca="1">IFERROR(GETPIVOTDATA("Cuenta de CANT",Tabla9,"PROV",[2]Tablas!$A$49,"SEFIS",BA$52,"CANT",[2]Tablas!$A5),0)</f>
        <v>16</v>
      </c>
      <c r="BB35" s="15">
        <f ca="1">IFERROR(GETPIVOTDATA("Cuenta de CANT",Tabla9,"PROV",[2]Tablas!$A$49,"SEFIS",BB$52,"CANT",[2]Tablas!$A5),0)</f>
        <v>13</v>
      </c>
      <c r="BC35" s="15">
        <f ca="1">IFERROR(GETPIVOTDATA("Cuenta de CANT",Tabla9,"PROV",[2]Tablas!$A$49,"SEFIS",BC$52,"CANT",[2]Tablas!$A5),0)</f>
        <v>6</v>
      </c>
      <c r="BD35" s="15">
        <f ca="1">IFERROR(GETPIVOTDATA("Cuenta de CANT",Tabla9,"PROV",[2]Tablas!$A$49,"SEFIS",BD$52,"CANT",[2]Tablas!$A5),0)</f>
        <v>0</v>
      </c>
    </row>
    <row r="36" spans="1:56" x14ac:dyDescent="0.35">
      <c r="A36" s="14" t="s">
        <v>133</v>
      </c>
      <c r="B36" s="15">
        <f t="shared" ref="B36:B49" ca="1" si="4">SUM(D36:BD36)</f>
        <v>23</v>
      </c>
      <c r="C36" s="16">
        <f ca="1">IFERROR(B36/[2]Tablas!$B6*100000,"N/D")</f>
        <v>24.865133677120831</v>
      </c>
      <c r="D36" s="15">
        <f ca="1">IFERROR(GETPIVOTDATA("Cuenta de CANT",Tabla9,"PROV",[2]Tablas!$A$49,"SEFIS",D$52,"CANT",[2]Tablas!$A6),0)</f>
        <v>1</v>
      </c>
      <c r="E36" s="15">
        <f ca="1">IFERROR(GETPIVOTDATA("Cuenta de CANT",Tabla9,"PROV",[2]Tablas!$A$49,"SEFIS",E$52,"CANT",[2]Tablas!$A6),0)</f>
        <v>0</v>
      </c>
      <c r="F36" s="15">
        <f ca="1">IFERROR(GETPIVOTDATA("Cuenta de CANT",Tabla9,"PROV",[2]Tablas!$A$49,"SEFIS",F$52,"CANT",[2]Tablas!$A6),0)</f>
        <v>0</v>
      </c>
      <c r="G36" s="15">
        <f ca="1">IFERROR(GETPIVOTDATA("Cuenta de CANT",Tabla9,"PROV",[2]Tablas!$A$49,"SEFIS",G$52,"CANT",[2]Tablas!$A6),0)</f>
        <v>0</v>
      </c>
      <c r="H36" s="15">
        <f ca="1">IFERROR(GETPIVOTDATA("Cuenta de CANT",Tabla9,"PROV",[2]Tablas!$A$49,"SEFIS",H$52,"CANT",[2]Tablas!$A6),0)</f>
        <v>0</v>
      </c>
      <c r="I36" s="15">
        <f ca="1">IFERROR(GETPIVOTDATA("Cuenta de CANT",Tabla9,"PROV",[2]Tablas!$A$49,"SEFIS",I$52,"CANT",[2]Tablas!$A6),0)</f>
        <v>0</v>
      </c>
      <c r="J36" s="15">
        <f ca="1">IFERROR(GETPIVOTDATA("Cuenta de CANT",Tabla9,"PROV",[2]Tablas!$A$49,"SEFIS",J$52,"CANT",[2]Tablas!$A6),0)</f>
        <v>1</v>
      </c>
      <c r="K36" s="15">
        <f ca="1">IFERROR(GETPIVOTDATA("Cuenta de CANT",Tabla9,"PROV",[2]Tablas!$A$49,"SEFIS",K$52,"CANT",[2]Tablas!$A6),0)</f>
        <v>1</v>
      </c>
      <c r="L36" s="15">
        <f ca="1">IFERROR(GETPIVOTDATA("Cuenta de CANT",Tabla9,"PROV",[2]Tablas!$A$49,"SEFIS",L$52,"CANT",[2]Tablas!$A6),0)</f>
        <v>0</v>
      </c>
      <c r="M36" s="15">
        <f ca="1">IFERROR(GETPIVOTDATA("Cuenta de CANT",Tabla9,"PROV",[2]Tablas!$A$49,"SEFIS",M$52,"CANT",[2]Tablas!$A6),0)</f>
        <v>0</v>
      </c>
      <c r="N36" s="15">
        <f ca="1">IFERROR(GETPIVOTDATA("Cuenta de CANT",Tabla9,"PROV",[2]Tablas!$A$49,"SEFIS",N$52,"CANT",[2]Tablas!$A6),0)</f>
        <v>0</v>
      </c>
      <c r="O36" s="15">
        <f ca="1">IFERROR(GETPIVOTDATA("Cuenta de CANT",Tabla9,"PROV",[2]Tablas!$A$49,"SEFIS",O$52,"CANT",[2]Tablas!$A6),0)</f>
        <v>0</v>
      </c>
      <c r="P36" s="15">
        <f ca="1">IFERROR(GETPIVOTDATA("Cuenta de CANT",Tabla9,"PROV",[2]Tablas!$A$49,"SEFIS",P$52,"CANT",[2]Tablas!$A6),0)</f>
        <v>0</v>
      </c>
      <c r="Q36" s="15">
        <f ca="1">IFERROR(GETPIVOTDATA("Cuenta de CANT",Tabla9,"PROV",[2]Tablas!$A$49,"SEFIS",Q$52,"CANT",[2]Tablas!$A6),0)</f>
        <v>0</v>
      </c>
      <c r="R36" s="15">
        <f ca="1">IFERROR(GETPIVOTDATA("Cuenta de CANT",Tabla9,"PROV",[2]Tablas!$A$49,"SEFIS",R$52,"CANT",[2]Tablas!$A6),0)</f>
        <v>0</v>
      </c>
      <c r="S36" s="15">
        <f ca="1">IFERROR(GETPIVOTDATA("Cuenta de CANT",Tabla9,"PROV",[2]Tablas!$A$49,"SEFIS",S$52,"CANT",[2]Tablas!$A6),0)</f>
        <v>0</v>
      </c>
      <c r="T36" s="15">
        <f ca="1">IFERROR(GETPIVOTDATA("Cuenta de CANT",Tabla9,"PROV",[2]Tablas!$A$49,"SEFIS",T$52,"CANT",[2]Tablas!$A6),0)</f>
        <v>0</v>
      </c>
      <c r="U36" s="15">
        <f ca="1">IFERROR(GETPIVOTDATA("Cuenta de CANT",Tabla9,"PROV",[2]Tablas!$A$49,"SEFIS",U$52,"CANT",[2]Tablas!$A6),0)</f>
        <v>0</v>
      </c>
      <c r="V36" s="15">
        <f ca="1">IFERROR(GETPIVOTDATA("Cuenta de CANT",Tabla9,"PROV",[2]Tablas!$A$49,"SEFIS",V$52,"CANT",[2]Tablas!$A6),0)</f>
        <v>1</v>
      </c>
      <c r="W36" s="15">
        <f ca="1">IFERROR(GETPIVOTDATA("Cuenta de CANT",Tabla9,"PROV",[2]Tablas!$A$49,"SEFIS",W$52,"CANT",[2]Tablas!$A6),0)</f>
        <v>0</v>
      </c>
      <c r="X36" s="15">
        <f ca="1">IFERROR(GETPIVOTDATA("Cuenta de CANT",Tabla9,"PROV",[2]Tablas!$A$49,"SEFIS",X$52,"CANT",[2]Tablas!$A6),0)</f>
        <v>1</v>
      </c>
      <c r="Y36" s="15">
        <f ca="1">IFERROR(GETPIVOTDATA("Cuenta de CANT",Tabla9,"PROV",[2]Tablas!$A$49,"SEFIS",Y$52,"CANT",[2]Tablas!$A6),0)</f>
        <v>0</v>
      </c>
      <c r="Z36" s="15">
        <f ca="1">IFERROR(GETPIVOTDATA("Cuenta de CANT",Tabla9,"PROV",[2]Tablas!$A$49,"SEFIS",Z$52,"CANT",[2]Tablas!$A6),0)</f>
        <v>0</v>
      </c>
      <c r="AA36" s="15">
        <f ca="1">IFERROR(GETPIVOTDATA("Cuenta de CANT",Tabla9,"PROV",[2]Tablas!$A$49,"SEFIS",AA$52,"CANT",[2]Tablas!$A6),0)</f>
        <v>1</v>
      </c>
      <c r="AB36" s="15">
        <f ca="1">IFERROR(GETPIVOTDATA("Cuenta de CANT",Tabla9,"PROV",[2]Tablas!$A$49,"SEFIS",AB$52,"CANT",[2]Tablas!$A6),0)</f>
        <v>3</v>
      </c>
      <c r="AC36" s="15">
        <f ca="1">IFERROR(GETPIVOTDATA("Cuenta de CANT",Tabla9,"PROV",[2]Tablas!$A$49,"SEFIS",AC$52,"CANT",[2]Tablas!$A6),0)</f>
        <v>0</v>
      </c>
      <c r="AD36" s="15">
        <f ca="1">IFERROR(GETPIVOTDATA("Cuenta de CANT",Tabla9,"PROV",[2]Tablas!$A$49,"SEFIS",AD$52,"CANT",[2]Tablas!$A6),0)</f>
        <v>0</v>
      </c>
      <c r="AE36" s="15">
        <f ca="1">IFERROR(GETPIVOTDATA("Cuenta de CANT",Tabla9,"PROV",[2]Tablas!$A$49,"SEFIS",AE$52,"CANT",[2]Tablas!$A6),0)</f>
        <v>2</v>
      </c>
      <c r="AF36" s="15">
        <f ca="1">IFERROR(GETPIVOTDATA("Cuenta de CANT",Tabla9,"PROV",[2]Tablas!$A$49,"SEFIS",AF$52,"CANT",[2]Tablas!$A6),0)</f>
        <v>1</v>
      </c>
      <c r="AG36" s="15">
        <f ca="1">IFERROR(GETPIVOTDATA("Cuenta de CANT",Tabla9,"PROV",[2]Tablas!$A$49,"SEFIS",AG$52,"CANT",[2]Tablas!$A6),0)</f>
        <v>1</v>
      </c>
      <c r="AH36" s="15">
        <f ca="1">IFERROR(GETPIVOTDATA("Cuenta de CANT",Tabla9,"PROV",[2]Tablas!$A$49,"SEFIS",AH$52,"CANT",[2]Tablas!$A6),0)</f>
        <v>0</v>
      </c>
      <c r="AI36" s="15">
        <f ca="1">IFERROR(GETPIVOTDATA("Cuenta de CANT",Tabla9,"PROV",[2]Tablas!$A$49,"SEFIS",AI$52,"CANT",[2]Tablas!$A6),0)</f>
        <v>1</v>
      </c>
      <c r="AJ36" s="15">
        <f ca="1">IFERROR(GETPIVOTDATA("Cuenta de CANT",Tabla9,"PROV",[2]Tablas!$A$49,"SEFIS",AJ$52,"CANT",[2]Tablas!$A6),0)</f>
        <v>1</v>
      </c>
      <c r="AK36" s="15">
        <f ca="1">IFERROR(GETPIVOTDATA("Cuenta de CANT",Tabla9,"PROV",[2]Tablas!$A$49,"SEFIS",AK$52,"CANT",[2]Tablas!$A6),0)</f>
        <v>0</v>
      </c>
      <c r="AL36" s="15">
        <f ca="1">IFERROR(GETPIVOTDATA("Cuenta de CANT",Tabla9,"PROV",[2]Tablas!$A$49,"SEFIS",AL$52,"CANT",[2]Tablas!$A6),0)</f>
        <v>1</v>
      </c>
      <c r="AM36" s="15">
        <f ca="1">IFERROR(GETPIVOTDATA("Cuenta de CANT",Tabla9,"PROV",[2]Tablas!$A$49,"SEFIS",AM$52,"CANT",[2]Tablas!$A6),0)</f>
        <v>0</v>
      </c>
      <c r="AN36" s="15">
        <f ca="1">IFERROR(GETPIVOTDATA("Cuenta de CANT",Tabla9,"PROV",[2]Tablas!$A$49,"SEFIS",AN$52,"CANT",[2]Tablas!$A6),0)</f>
        <v>0</v>
      </c>
      <c r="AO36" s="15">
        <f ca="1">IFERROR(GETPIVOTDATA("Cuenta de CANT",Tabla9,"PROV",[2]Tablas!$A$49,"SEFIS",AO$52,"CANT",[2]Tablas!$A6),0)</f>
        <v>0</v>
      </c>
      <c r="AP36" s="15">
        <f ca="1">IFERROR(GETPIVOTDATA("Cuenta de CANT",Tabla9,"PROV",[2]Tablas!$A$49,"SEFIS",AP$52,"CANT",[2]Tablas!$A6),0)</f>
        <v>2</v>
      </c>
      <c r="AQ36" s="15">
        <f ca="1">IFERROR(GETPIVOTDATA("Cuenta de CANT",Tabla9,"PROV",[2]Tablas!$A$49,"SEFIS",AQ$52,"CANT",[2]Tablas!$A6),0)</f>
        <v>0</v>
      </c>
      <c r="AR36" s="15">
        <f ca="1">IFERROR(GETPIVOTDATA("Cuenta de CANT",Tabla9,"PROV",[2]Tablas!$A$49,"SEFIS",AR$52,"CANT",[2]Tablas!$A6),0)</f>
        <v>0</v>
      </c>
      <c r="AS36" s="15">
        <f ca="1">IFERROR(GETPIVOTDATA("Cuenta de CANT",Tabla9,"PROV",[2]Tablas!$A$49,"SEFIS",AS$52,"CANT",[2]Tablas!$A6),0)</f>
        <v>0</v>
      </c>
      <c r="AT36" s="15">
        <f ca="1">IFERROR(GETPIVOTDATA("Cuenta de CANT",Tabla9,"PROV",[2]Tablas!$A$49,"SEFIS",AT$52,"CANT",[2]Tablas!$A6),0)</f>
        <v>0</v>
      </c>
      <c r="AU36" s="15">
        <f ca="1">IFERROR(GETPIVOTDATA("Cuenta de CANT",Tabla9,"PROV",[2]Tablas!$A$49,"SEFIS",AU$52,"CANT",[2]Tablas!$A6),0)</f>
        <v>1</v>
      </c>
      <c r="AV36" s="15">
        <f ca="1">IFERROR(GETPIVOTDATA("Cuenta de CANT",Tabla9,"PROV",[2]Tablas!$A$49,"SEFIS",AV$52,"CANT",[2]Tablas!$A6),0)</f>
        <v>0</v>
      </c>
      <c r="AW36" s="15">
        <f ca="1">IFERROR(GETPIVOTDATA("Cuenta de CANT",Tabla9,"PROV",[2]Tablas!$A$49,"SEFIS",AW$52,"CANT",[2]Tablas!$A6),0)</f>
        <v>1</v>
      </c>
      <c r="AX36" s="15">
        <f ca="1">IFERROR(GETPIVOTDATA("Cuenta de CANT",Tabla9,"PROV",[2]Tablas!$A$49,"SEFIS",AX$52,"CANT",[2]Tablas!$A6),0)</f>
        <v>2</v>
      </c>
      <c r="AY36" s="15">
        <f ca="1">IFERROR(GETPIVOTDATA("Cuenta de CANT",Tabla9,"PROV",[2]Tablas!$A$49,"SEFIS",AY$52,"CANT",[2]Tablas!$A6),0)</f>
        <v>1</v>
      </c>
      <c r="AZ36" s="15">
        <f ca="1">IFERROR(GETPIVOTDATA("Cuenta de CANT",Tabla9,"PROV",[2]Tablas!$A$49,"SEFIS",AZ$52,"CANT",[2]Tablas!$A6),0)</f>
        <v>0</v>
      </c>
      <c r="BA36" s="15">
        <f ca="1">IFERROR(GETPIVOTDATA("Cuenta de CANT",Tabla9,"PROV",[2]Tablas!$A$49,"SEFIS",BA$52,"CANT",[2]Tablas!$A6),0)</f>
        <v>0</v>
      </c>
      <c r="BB36" s="15">
        <f ca="1">IFERROR(GETPIVOTDATA("Cuenta de CANT",Tabla9,"PROV",[2]Tablas!$A$49,"SEFIS",BB$52,"CANT",[2]Tablas!$A6),0)</f>
        <v>0</v>
      </c>
      <c r="BC36" s="15">
        <f ca="1">IFERROR(GETPIVOTDATA("Cuenta de CANT",Tabla9,"PROV",[2]Tablas!$A$49,"SEFIS",BC$52,"CANT",[2]Tablas!$A6),0)</f>
        <v>0</v>
      </c>
      <c r="BD36" s="15">
        <f ca="1">IFERROR(GETPIVOTDATA("Cuenta de CANT",Tabla9,"PROV",[2]Tablas!$A$49,"SEFIS",BD$52,"CANT",[2]Tablas!$A6),0)</f>
        <v>0</v>
      </c>
    </row>
    <row r="37" spans="1:56" x14ac:dyDescent="0.35">
      <c r="A37" s="14" t="s">
        <v>134</v>
      </c>
      <c r="B37" s="15">
        <f t="shared" ca="1" si="4"/>
        <v>21</v>
      </c>
      <c r="C37" s="16">
        <f ca="1">IFERROR(B37/[2]Tablas!$B7*100000,"N/D")</f>
        <v>25.952198521960504</v>
      </c>
      <c r="D37" s="15">
        <f ca="1">IFERROR(GETPIVOTDATA("Cuenta de CANT",Tabla9,"PROV",[2]Tablas!$A$49,"SEFIS",D$52,"CANT",[2]Tablas!$A7),0)</f>
        <v>0</v>
      </c>
      <c r="E37" s="15">
        <f ca="1">IFERROR(GETPIVOTDATA("Cuenta de CANT",Tabla9,"PROV",[2]Tablas!$A$49,"SEFIS",E$52,"CANT",[2]Tablas!$A7),0)</f>
        <v>2</v>
      </c>
      <c r="F37" s="15">
        <f ca="1">IFERROR(GETPIVOTDATA("Cuenta de CANT",Tabla9,"PROV",[2]Tablas!$A$49,"SEFIS",F$52,"CANT",[2]Tablas!$A7),0)</f>
        <v>0</v>
      </c>
      <c r="G37" s="15">
        <f ca="1">IFERROR(GETPIVOTDATA("Cuenta de CANT",Tabla9,"PROV",[2]Tablas!$A$49,"SEFIS",G$52,"CANT",[2]Tablas!$A7),0)</f>
        <v>1</v>
      </c>
      <c r="H37" s="15">
        <f ca="1">IFERROR(GETPIVOTDATA("Cuenta de CANT",Tabla9,"PROV",[2]Tablas!$A$49,"SEFIS",H$52,"CANT",[2]Tablas!$A7),0)</f>
        <v>4</v>
      </c>
      <c r="I37" s="15">
        <f ca="1">IFERROR(GETPIVOTDATA("Cuenta de CANT",Tabla9,"PROV",[2]Tablas!$A$49,"SEFIS",I$52,"CANT",[2]Tablas!$A7),0)</f>
        <v>0</v>
      </c>
      <c r="J37" s="15">
        <f ca="1">IFERROR(GETPIVOTDATA("Cuenta de CANT",Tabla9,"PROV",[2]Tablas!$A$49,"SEFIS",J$52,"CANT",[2]Tablas!$A7),0)</f>
        <v>1</v>
      </c>
      <c r="K37" s="15">
        <f ca="1">IFERROR(GETPIVOTDATA("Cuenta de CANT",Tabla9,"PROV",[2]Tablas!$A$49,"SEFIS",K$52,"CANT",[2]Tablas!$A7),0)</f>
        <v>0</v>
      </c>
      <c r="L37" s="15">
        <f ca="1">IFERROR(GETPIVOTDATA("Cuenta de CANT",Tabla9,"PROV",[2]Tablas!$A$49,"SEFIS",L$52,"CANT",[2]Tablas!$A7),0)</f>
        <v>0</v>
      </c>
      <c r="M37" s="15">
        <f ca="1">IFERROR(GETPIVOTDATA("Cuenta de CANT",Tabla9,"PROV",[2]Tablas!$A$49,"SEFIS",M$52,"CANT",[2]Tablas!$A7),0)</f>
        <v>0</v>
      </c>
      <c r="N37" s="15">
        <f ca="1">IFERROR(GETPIVOTDATA("Cuenta de CANT",Tabla9,"PROV",[2]Tablas!$A$49,"SEFIS",N$52,"CANT",[2]Tablas!$A7),0)</f>
        <v>1</v>
      </c>
      <c r="O37" s="15">
        <f ca="1">IFERROR(GETPIVOTDATA("Cuenta de CANT",Tabla9,"PROV",[2]Tablas!$A$49,"SEFIS",O$52,"CANT",[2]Tablas!$A7),0)</f>
        <v>1</v>
      </c>
      <c r="P37" s="15">
        <f ca="1">IFERROR(GETPIVOTDATA("Cuenta de CANT",Tabla9,"PROV",[2]Tablas!$A$49,"SEFIS",P$52,"CANT",[2]Tablas!$A7),0)</f>
        <v>2</v>
      </c>
      <c r="Q37" s="15">
        <f ca="1">IFERROR(GETPIVOTDATA("Cuenta de CANT",Tabla9,"PROV",[2]Tablas!$A$49,"SEFIS",Q$52,"CANT",[2]Tablas!$A7),0)</f>
        <v>1</v>
      </c>
      <c r="R37" s="15">
        <f ca="1">IFERROR(GETPIVOTDATA("Cuenta de CANT",Tabla9,"PROV",[2]Tablas!$A$49,"SEFIS",R$52,"CANT",[2]Tablas!$A7),0)</f>
        <v>0</v>
      </c>
      <c r="S37" s="15">
        <f ca="1">IFERROR(GETPIVOTDATA("Cuenta de CANT",Tabla9,"PROV",[2]Tablas!$A$49,"SEFIS",S$52,"CANT",[2]Tablas!$A7),0)</f>
        <v>0</v>
      </c>
      <c r="T37" s="15">
        <f ca="1">IFERROR(GETPIVOTDATA("Cuenta de CANT",Tabla9,"PROV",[2]Tablas!$A$49,"SEFIS",T$52,"CANT",[2]Tablas!$A7),0)</f>
        <v>1</v>
      </c>
      <c r="U37" s="15">
        <f ca="1">IFERROR(GETPIVOTDATA("Cuenta de CANT",Tabla9,"PROV",[2]Tablas!$A$49,"SEFIS",U$52,"CANT",[2]Tablas!$A7),0)</f>
        <v>0</v>
      </c>
      <c r="V37" s="15">
        <f ca="1">IFERROR(GETPIVOTDATA("Cuenta de CANT",Tabla9,"PROV",[2]Tablas!$A$49,"SEFIS",V$52,"CANT",[2]Tablas!$A7),0)</f>
        <v>0</v>
      </c>
      <c r="W37" s="15">
        <f ca="1">IFERROR(GETPIVOTDATA("Cuenta de CANT",Tabla9,"PROV",[2]Tablas!$A$49,"SEFIS",W$52,"CANT",[2]Tablas!$A7),0)</f>
        <v>0</v>
      </c>
      <c r="X37" s="15">
        <f ca="1">IFERROR(GETPIVOTDATA("Cuenta de CANT",Tabla9,"PROV",[2]Tablas!$A$49,"SEFIS",X$52,"CANT",[2]Tablas!$A7),0)</f>
        <v>0</v>
      </c>
      <c r="Y37" s="15">
        <f ca="1">IFERROR(GETPIVOTDATA("Cuenta de CANT",Tabla9,"PROV",[2]Tablas!$A$49,"SEFIS",Y$52,"CANT",[2]Tablas!$A7),0)</f>
        <v>0</v>
      </c>
      <c r="Z37" s="15">
        <f ca="1">IFERROR(GETPIVOTDATA("Cuenta de CANT",Tabla9,"PROV",[2]Tablas!$A$49,"SEFIS",Z$52,"CANT",[2]Tablas!$A7),0)</f>
        <v>0</v>
      </c>
      <c r="AA37" s="15">
        <f ca="1">IFERROR(GETPIVOTDATA("Cuenta de CANT",Tabla9,"PROV",[2]Tablas!$A$49,"SEFIS",AA$52,"CANT",[2]Tablas!$A7),0)</f>
        <v>0</v>
      </c>
      <c r="AB37" s="15">
        <f ca="1">IFERROR(GETPIVOTDATA("Cuenta de CANT",Tabla9,"PROV",[2]Tablas!$A$49,"SEFIS",AB$52,"CANT",[2]Tablas!$A7),0)</f>
        <v>0</v>
      </c>
      <c r="AC37" s="15">
        <f ca="1">IFERROR(GETPIVOTDATA("Cuenta de CANT",Tabla9,"PROV",[2]Tablas!$A$49,"SEFIS",AC$52,"CANT",[2]Tablas!$A7),0)</f>
        <v>1</v>
      </c>
      <c r="AD37" s="15">
        <f ca="1">IFERROR(GETPIVOTDATA("Cuenta de CANT",Tabla9,"PROV",[2]Tablas!$A$49,"SEFIS",AD$52,"CANT",[2]Tablas!$A7),0)</f>
        <v>0</v>
      </c>
      <c r="AE37" s="15">
        <f ca="1">IFERROR(GETPIVOTDATA("Cuenta de CANT",Tabla9,"PROV",[2]Tablas!$A$49,"SEFIS",AE$52,"CANT",[2]Tablas!$A7),0)</f>
        <v>0</v>
      </c>
      <c r="AF37" s="15">
        <f ca="1">IFERROR(GETPIVOTDATA("Cuenta de CANT",Tabla9,"PROV",[2]Tablas!$A$49,"SEFIS",AF$52,"CANT",[2]Tablas!$A7),0)</f>
        <v>0</v>
      </c>
      <c r="AG37" s="15">
        <f ca="1">IFERROR(GETPIVOTDATA("Cuenta de CANT",Tabla9,"PROV",[2]Tablas!$A$49,"SEFIS",AG$52,"CANT",[2]Tablas!$A7),0)</f>
        <v>1</v>
      </c>
      <c r="AH37" s="15">
        <f ca="1">IFERROR(GETPIVOTDATA("Cuenta de CANT",Tabla9,"PROV",[2]Tablas!$A$49,"SEFIS",AH$52,"CANT",[2]Tablas!$A7),0)</f>
        <v>0</v>
      </c>
      <c r="AI37" s="15">
        <f ca="1">IFERROR(GETPIVOTDATA("Cuenta de CANT",Tabla9,"PROV",[2]Tablas!$A$49,"SEFIS",AI$52,"CANT",[2]Tablas!$A7),0)</f>
        <v>0</v>
      </c>
      <c r="AJ37" s="15">
        <f ca="1">IFERROR(GETPIVOTDATA("Cuenta de CANT",Tabla9,"PROV",[2]Tablas!$A$49,"SEFIS",AJ$52,"CANT",[2]Tablas!$A7),0)</f>
        <v>2</v>
      </c>
      <c r="AK37" s="15">
        <f ca="1">IFERROR(GETPIVOTDATA("Cuenta de CANT",Tabla9,"PROV",[2]Tablas!$A$49,"SEFIS",AK$52,"CANT",[2]Tablas!$A7),0)</f>
        <v>0</v>
      </c>
      <c r="AL37" s="15">
        <f ca="1">IFERROR(GETPIVOTDATA("Cuenta de CANT",Tabla9,"PROV",[2]Tablas!$A$49,"SEFIS",AL$52,"CANT",[2]Tablas!$A7),0)</f>
        <v>1</v>
      </c>
      <c r="AM37" s="15">
        <f ca="1">IFERROR(GETPIVOTDATA("Cuenta de CANT",Tabla9,"PROV",[2]Tablas!$A$49,"SEFIS",AM$52,"CANT",[2]Tablas!$A7),0)</f>
        <v>0</v>
      </c>
      <c r="AN37" s="15">
        <f ca="1">IFERROR(GETPIVOTDATA("Cuenta de CANT",Tabla9,"PROV",[2]Tablas!$A$49,"SEFIS",AN$52,"CANT",[2]Tablas!$A7),0)</f>
        <v>0</v>
      </c>
      <c r="AO37" s="15">
        <f ca="1">IFERROR(GETPIVOTDATA("Cuenta de CANT",Tabla9,"PROV",[2]Tablas!$A$49,"SEFIS",AO$52,"CANT",[2]Tablas!$A7),0)</f>
        <v>0</v>
      </c>
      <c r="AP37" s="15">
        <f ca="1">IFERROR(GETPIVOTDATA("Cuenta de CANT",Tabla9,"PROV",[2]Tablas!$A$49,"SEFIS",AP$52,"CANT",[2]Tablas!$A7),0)</f>
        <v>1</v>
      </c>
      <c r="AQ37" s="15">
        <f ca="1">IFERROR(GETPIVOTDATA("Cuenta de CANT",Tabla9,"PROV",[2]Tablas!$A$49,"SEFIS",AQ$52,"CANT",[2]Tablas!$A7),0)</f>
        <v>0</v>
      </c>
      <c r="AR37" s="15">
        <f ca="1">IFERROR(GETPIVOTDATA("Cuenta de CANT",Tabla9,"PROV",[2]Tablas!$A$49,"SEFIS",AR$52,"CANT",[2]Tablas!$A7),0)</f>
        <v>0</v>
      </c>
      <c r="AS37" s="15">
        <f ca="1">IFERROR(GETPIVOTDATA("Cuenta de CANT",Tabla9,"PROV",[2]Tablas!$A$49,"SEFIS",AS$52,"CANT",[2]Tablas!$A7),0)</f>
        <v>0</v>
      </c>
      <c r="AT37" s="15">
        <f ca="1">IFERROR(GETPIVOTDATA("Cuenta de CANT",Tabla9,"PROV",[2]Tablas!$A$49,"SEFIS",AT$52,"CANT",[2]Tablas!$A7),0)</f>
        <v>0</v>
      </c>
      <c r="AU37" s="15">
        <f ca="1">IFERROR(GETPIVOTDATA("Cuenta de CANT",Tabla9,"PROV",[2]Tablas!$A$49,"SEFIS",AU$52,"CANT",[2]Tablas!$A7),0)</f>
        <v>0</v>
      </c>
      <c r="AV37" s="15">
        <f ca="1">IFERROR(GETPIVOTDATA("Cuenta de CANT",Tabla9,"PROV",[2]Tablas!$A$49,"SEFIS",AV$52,"CANT",[2]Tablas!$A7),0)</f>
        <v>0</v>
      </c>
      <c r="AW37" s="15">
        <f ca="1">IFERROR(GETPIVOTDATA("Cuenta de CANT",Tabla9,"PROV",[2]Tablas!$A$49,"SEFIS",AW$52,"CANT",[2]Tablas!$A7),0)</f>
        <v>0</v>
      </c>
      <c r="AX37" s="15">
        <f ca="1">IFERROR(GETPIVOTDATA("Cuenta de CANT",Tabla9,"PROV",[2]Tablas!$A$49,"SEFIS",AX$52,"CANT",[2]Tablas!$A7),0)</f>
        <v>0</v>
      </c>
      <c r="AY37" s="15">
        <f ca="1">IFERROR(GETPIVOTDATA("Cuenta de CANT",Tabla9,"PROV",[2]Tablas!$A$49,"SEFIS",AY$52,"CANT",[2]Tablas!$A7),0)</f>
        <v>1</v>
      </c>
      <c r="AZ37" s="15">
        <f ca="1">IFERROR(GETPIVOTDATA("Cuenta de CANT",Tabla9,"PROV",[2]Tablas!$A$49,"SEFIS",AZ$52,"CANT",[2]Tablas!$A7),0)</f>
        <v>0</v>
      </c>
      <c r="BA37" s="15">
        <f ca="1">IFERROR(GETPIVOTDATA("Cuenta de CANT",Tabla9,"PROV",[2]Tablas!$A$49,"SEFIS",BA$52,"CANT",[2]Tablas!$A7),0)</f>
        <v>0</v>
      </c>
      <c r="BB37" s="15">
        <f ca="1">IFERROR(GETPIVOTDATA("Cuenta de CANT",Tabla9,"PROV",[2]Tablas!$A$49,"SEFIS",BB$52,"CANT",[2]Tablas!$A7),0)</f>
        <v>0</v>
      </c>
      <c r="BC37" s="15">
        <f ca="1">IFERROR(GETPIVOTDATA("Cuenta de CANT",Tabla9,"PROV",[2]Tablas!$A$49,"SEFIS",BC$52,"CANT",[2]Tablas!$A7),0)</f>
        <v>0</v>
      </c>
      <c r="BD37" s="15">
        <f ca="1">IFERROR(GETPIVOTDATA("Cuenta de CANT",Tabla9,"PROV",[2]Tablas!$A$49,"SEFIS",BD$52,"CANT",[2]Tablas!$A7),0)</f>
        <v>0</v>
      </c>
    </row>
    <row r="38" spans="1:56" x14ac:dyDescent="0.35">
      <c r="A38" s="14" t="s">
        <v>135</v>
      </c>
      <c r="B38" s="15">
        <f t="shared" ca="1" si="4"/>
        <v>7</v>
      </c>
      <c r="C38" s="16">
        <f ca="1">IFERROR(B38/[2]Tablas!$B8*100000,"N/D")</f>
        <v>92.788971367974554</v>
      </c>
      <c r="D38" s="15">
        <f ca="1">IFERROR(GETPIVOTDATA("Cuenta de CANT",Tabla9,"PROV",[2]Tablas!$A$49,"SEFIS",D$52,"CANT",[2]Tablas!$A8),0)</f>
        <v>0</v>
      </c>
      <c r="E38" s="15">
        <f ca="1">IFERROR(GETPIVOTDATA("Cuenta de CANT",Tabla9,"PROV",[2]Tablas!$A$49,"SEFIS",E$52,"CANT",[2]Tablas!$A8),0)</f>
        <v>0</v>
      </c>
      <c r="F38" s="15">
        <f ca="1">IFERROR(GETPIVOTDATA("Cuenta de CANT",Tabla9,"PROV",[2]Tablas!$A$49,"SEFIS",F$52,"CANT",[2]Tablas!$A8),0)</f>
        <v>0</v>
      </c>
      <c r="G38" s="15">
        <f ca="1">IFERROR(GETPIVOTDATA("Cuenta de CANT",Tabla9,"PROV",[2]Tablas!$A$49,"SEFIS",G$52,"CANT",[2]Tablas!$A8),0)</f>
        <v>0</v>
      </c>
      <c r="H38" s="15">
        <f ca="1">IFERROR(GETPIVOTDATA("Cuenta de CANT",Tabla9,"PROV",[2]Tablas!$A$49,"SEFIS",H$52,"CANT",[2]Tablas!$A8),0)</f>
        <v>0</v>
      </c>
      <c r="I38" s="15">
        <f ca="1">IFERROR(GETPIVOTDATA("Cuenta de CANT",Tabla9,"PROV",[2]Tablas!$A$49,"SEFIS",I$52,"CANT",[2]Tablas!$A8),0)</f>
        <v>0</v>
      </c>
      <c r="J38" s="15">
        <f ca="1">IFERROR(GETPIVOTDATA("Cuenta de CANT",Tabla9,"PROV",[2]Tablas!$A$49,"SEFIS",J$52,"CANT",[2]Tablas!$A8),0)</f>
        <v>0</v>
      </c>
      <c r="K38" s="15">
        <f ca="1">IFERROR(GETPIVOTDATA("Cuenta de CANT",Tabla9,"PROV",[2]Tablas!$A$49,"SEFIS",K$52,"CANT",[2]Tablas!$A8),0)</f>
        <v>0</v>
      </c>
      <c r="L38" s="15">
        <f ca="1">IFERROR(GETPIVOTDATA("Cuenta de CANT",Tabla9,"PROV",[2]Tablas!$A$49,"SEFIS",L$52,"CANT",[2]Tablas!$A8),0)</f>
        <v>0</v>
      </c>
      <c r="M38" s="15">
        <f ca="1">IFERROR(GETPIVOTDATA("Cuenta de CANT",Tabla9,"PROV",[2]Tablas!$A$49,"SEFIS",M$52,"CANT",[2]Tablas!$A8),0)</f>
        <v>0</v>
      </c>
      <c r="N38" s="15">
        <f ca="1">IFERROR(GETPIVOTDATA("Cuenta de CANT",Tabla9,"PROV",[2]Tablas!$A$49,"SEFIS",N$52,"CANT",[2]Tablas!$A8),0)</f>
        <v>0</v>
      </c>
      <c r="O38" s="15">
        <f ca="1">IFERROR(GETPIVOTDATA("Cuenta de CANT",Tabla9,"PROV",[2]Tablas!$A$49,"SEFIS",O$52,"CANT",[2]Tablas!$A8),0)</f>
        <v>0</v>
      </c>
      <c r="P38" s="15">
        <f ca="1">IFERROR(GETPIVOTDATA("Cuenta de CANT",Tabla9,"PROV",[2]Tablas!$A$49,"SEFIS",P$52,"CANT",[2]Tablas!$A8),0)</f>
        <v>0</v>
      </c>
      <c r="Q38" s="15">
        <f ca="1">IFERROR(GETPIVOTDATA("Cuenta de CANT",Tabla9,"PROV",[2]Tablas!$A$49,"SEFIS",Q$52,"CANT",[2]Tablas!$A8),0)</f>
        <v>0</v>
      </c>
      <c r="R38" s="15">
        <f ca="1">IFERROR(GETPIVOTDATA("Cuenta de CANT",Tabla9,"PROV",[2]Tablas!$A$49,"SEFIS",R$52,"CANT",[2]Tablas!$A8),0)</f>
        <v>0</v>
      </c>
      <c r="S38" s="15">
        <f ca="1">IFERROR(GETPIVOTDATA("Cuenta de CANT",Tabla9,"PROV",[2]Tablas!$A$49,"SEFIS",S$52,"CANT",[2]Tablas!$A8),0)</f>
        <v>0</v>
      </c>
      <c r="T38" s="15">
        <f ca="1">IFERROR(GETPIVOTDATA("Cuenta de CANT",Tabla9,"PROV",[2]Tablas!$A$49,"SEFIS",T$52,"CANT",[2]Tablas!$A8),0)</f>
        <v>0</v>
      </c>
      <c r="U38" s="15">
        <f ca="1">IFERROR(GETPIVOTDATA("Cuenta de CANT",Tabla9,"PROV",[2]Tablas!$A$49,"SEFIS",U$52,"CANT",[2]Tablas!$A8),0)</f>
        <v>0</v>
      </c>
      <c r="V38" s="15">
        <f ca="1">IFERROR(GETPIVOTDATA("Cuenta de CANT",Tabla9,"PROV",[2]Tablas!$A$49,"SEFIS",V$52,"CANT",[2]Tablas!$A8),0)</f>
        <v>0</v>
      </c>
      <c r="W38" s="15">
        <f ca="1">IFERROR(GETPIVOTDATA("Cuenta de CANT",Tabla9,"PROV",[2]Tablas!$A$49,"SEFIS",W$52,"CANT",[2]Tablas!$A8),0)</f>
        <v>0</v>
      </c>
      <c r="X38" s="15">
        <f ca="1">IFERROR(GETPIVOTDATA("Cuenta de CANT",Tabla9,"PROV",[2]Tablas!$A$49,"SEFIS",X$52,"CANT",[2]Tablas!$A8),0)</f>
        <v>1</v>
      </c>
      <c r="Y38" s="15">
        <f ca="1">IFERROR(GETPIVOTDATA("Cuenta de CANT",Tabla9,"PROV",[2]Tablas!$A$49,"SEFIS",Y$52,"CANT",[2]Tablas!$A8),0)</f>
        <v>0</v>
      </c>
      <c r="Z38" s="15">
        <f ca="1">IFERROR(GETPIVOTDATA("Cuenta de CANT",Tabla9,"PROV",[2]Tablas!$A$49,"SEFIS",Z$52,"CANT",[2]Tablas!$A8),0)</f>
        <v>1</v>
      </c>
      <c r="AA38" s="15">
        <f ca="1">IFERROR(GETPIVOTDATA("Cuenta de CANT",Tabla9,"PROV",[2]Tablas!$A$49,"SEFIS",AA$52,"CANT",[2]Tablas!$A8),0)</f>
        <v>0</v>
      </c>
      <c r="AB38" s="15">
        <f ca="1">IFERROR(GETPIVOTDATA("Cuenta de CANT",Tabla9,"PROV",[2]Tablas!$A$49,"SEFIS",AB$52,"CANT",[2]Tablas!$A8),0)</f>
        <v>0</v>
      </c>
      <c r="AC38" s="15">
        <f ca="1">IFERROR(GETPIVOTDATA("Cuenta de CANT",Tabla9,"PROV",[2]Tablas!$A$49,"SEFIS",AC$52,"CANT",[2]Tablas!$A8),0)</f>
        <v>0</v>
      </c>
      <c r="AD38" s="15">
        <f ca="1">IFERROR(GETPIVOTDATA("Cuenta de CANT",Tabla9,"PROV",[2]Tablas!$A$49,"SEFIS",AD$52,"CANT",[2]Tablas!$A8),0)</f>
        <v>0</v>
      </c>
      <c r="AE38" s="15">
        <f ca="1">IFERROR(GETPIVOTDATA("Cuenta de CANT",Tabla9,"PROV",[2]Tablas!$A$49,"SEFIS",AE$52,"CANT",[2]Tablas!$A8),0)</f>
        <v>0</v>
      </c>
      <c r="AF38" s="15">
        <f ca="1">IFERROR(GETPIVOTDATA("Cuenta de CANT",Tabla9,"PROV",[2]Tablas!$A$49,"SEFIS",AF$52,"CANT",[2]Tablas!$A8),0)</f>
        <v>0</v>
      </c>
      <c r="AG38" s="15">
        <f ca="1">IFERROR(GETPIVOTDATA("Cuenta de CANT",Tabla9,"PROV",[2]Tablas!$A$49,"SEFIS",AG$52,"CANT",[2]Tablas!$A8),0)</f>
        <v>0</v>
      </c>
      <c r="AH38" s="15">
        <f ca="1">IFERROR(GETPIVOTDATA("Cuenta de CANT",Tabla9,"PROV",[2]Tablas!$A$49,"SEFIS",AH$52,"CANT",[2]Tablas!$A8),0)</f>
        <v>0</v>
      </c>
      <c r="AI38" s="15">
        <f ca="1">IFERROR(GETPIVOTDATA("Cuenta de CANT",Tabla9,"PROV",[2]Tablas!$A$49,"SEFIS",AI$52,"CANT",[2]Tablas!$A8),0)</f>
        <v>1</v>
      </c>
      <c r="AJ38" s="15">
        <f ca="1">IFERROR(GETPIVOTDATA("Cuenta de CANT",Tabla9,"PROV",[2]Tablas!$A$49,"SEFIS",AJ$52,"CANT",[2]Tablas!$A8),0)</f>
        <v>0</v>
      </c>
      <c r="AK38" s="15">
        <f ca="1">IFERROR(GETPIVOTDATA("Cuenta de CANT",Tabla9,"PROV",[2]Tablas!$A$49,"SEFIS",AK$52,"CANT",[2]Tablas!$A8),0)</f>
        <v>0</v>
      </c>
      <c r="AL38" s="15">
        <f ca="1">IFERROR(GETPIVOTDATA("Cuenta de CANT",Tabla9,"PROV",[2]Tablas!$A$49,"SEFIS",AL$52,"CANT",[2]Tablas!$A8),0)</f>
        <v>0</v>
      </c>
      <c r="AM38" s="15">
        <f ca="1">IFERROR(GETPIVOTDATA("Cuenta de CANT",Tabla9,"PROV",[2]Tablas!$A$49,"SEFIS",AM$52,"CANT",[2]Tablas!$A8),0)</f>
        <v>0</v>
      </c>
      <c r="AN38" s="15">
        <f ca="1">IFERROR(GETPIVOTDATA("Cuenta de CANT",Tabla9,"PROV",[2]Tablas!$A$49,"SEFIS",AN$52,"CANT",[2]Tablas!$A8),0)</f>
        <v>1</v>
      </c>
      <c r="AO38" s="15">
        <f ca="1">IFERROR(GETPIVOTDATA("Cuenta de CANT",Tabla9,"PROV",[2]Tablas!$A$49,"SEFIS",AO$52,"CANT",[2]Tablas!$A8),0)</f>
        <v>0</v>
      </c>
      <c r="AP38" s="15">
        <f ca="1">IFERROR(GETPIVOTDATA("Cuenta de CANT",Tabla9,"PROV",[2]Tablas!$A$49,"SEFIS",AP$52,"CANT",[2]Tablas!$A8),0)</f>
        <v>0</v>
      </c>
      <c r="AQ38" s="15">
        <f ca="1">IFERROR(GETPIVOTDATA("Cuenta de CANT",Tabla9,"PROV",[2]Tablas!$A$49,"SEFIS",AQ$52,"CANT",[2]Tablas!$A8),0)</f>
        <v>0</v>
      </c>
      <c r="AR38" s="15">
        <f ca="1">IFERROR(GETPIVOTDATA("Cuenta de CANT",Tabla9,"PROV",[2]Tablas!$A$49,"SEFIS",AR$52,"CANT",[2]Tablas!$A8),0)</f>
        <v>0</v>
      </c>
      <c r="AS38" s="15">
        <f ca="1">IFERROR(GETPIVOTDATA("Cuenta de CANT",Tabla9,"PROV",[2]Tablas!$A$49,"SEFIS",AS$52,"CANT",[2]Tablas!$A8),0)</f>
        <v>0</v>
      </c>
      <c r="AT38" s="15">
        <f ca="1">IFERROR(GETPIVOTDATA("Cuenta de CANT",Tabla9,"PROV",[2]Tablas!$A$49,"SEFIS",AT$52,"CANT",[2]Tablas!$A8),0)</f>
        <v>0</v>
      </c>
      <c r="AU38" s="15">
        <f ca="1">IFERROR(GETPIVOTDATA("Cuenta de CANT",Tabla9,"PROV",[2]Tablas!$A$49,"SEFIS",AU$52,"CANT",[2]Tablas!$A8),0)</f>
        <v>0</v>
      </c>
      <c r="AV38" s="15">
        <f ca="1">IFERROR(GETPIVOTDATA("Cuenta de CANT",Tabla9,"PROV",[2]Tablas!$A$49,"SEFIS",AV$52,"CANT",[2]Tablas!$A8),0)</f>
        <v>0</v>
      </c>
      <c r="AW38" s="15">
        <f ca="1">IFERROR(GETPIVOTDATA("Cuenta de CANT",Tabla9,"PROV",[2]Tablas!$A$49,"SEFIS",AW$52,"CANT",[2]Tablas!$A8),0)</f>
        <v>0</v>
      </c>
      <c r="AX38" s="15">
        <f ca="1">IFERROR(GETPIVOTDATA("Cuenta de CANT",Tabla9,"PROV",[2]Tablas!$A$49,"SEFIS",AX$52,"CANT",[2]Tablas!$A8),0)</f>
        <v>0</v>
      </c>
      <c r="AY38" s="15">
        <f ca="1">IFERROR(GETPIVOTDATA("Cuenta de CANT",Tabla9,"PROV",[2]Tablas!$A$49,"SEFIS",AY$52,"CANT",[2]Tablas!$A8),0)</f>
        <v>0</v>
      </c>
      <c r="AZ38" s="15">
        <f ca="1">IFERROR(GETPIVOTDATA("Cuenta de CANT",Tabla9,"PROV",[2]Tablas!$A$49,"SEFIS",AZ$52,"CANT",[2]Tablas!$A8),0)</f>
        <v>0</v>
      </c>
      <c r="BA38" s="15">
        <f ca="1">IFERROR(GETPIVOTDATA("Cuenta de CANT",Tabla9,"PROV",[2]Tablas!$A$49,"SEFIS",BA$52,"CANT",[2]Tablas!$A8),0)</f>
        <v>0</v>
      </c>
      <c r="BB38" s="15">
        <f ca="1">IFERROR(GETPIVOTDATA("Cuenta de CANT",Tabla9,"PROV",[2]Tablas!$A$49,"SEFIS",BB$52,"CANT",[2]Tablas!$A8),0)</f>
        <v>3</v>
      </c>
      <c r="BC38" s="15">
        <f ca="1">IFERROR(GETPIVOTDATA("Cuenta de CANT",Tabla9,"PROV",[2]Tablas!$A$49,"SEFIS",BC$52,"CANT",[2]Tablas!$A8),0)</f>
        <v>0</v>
      </c>
      <c r="BD38" s="15">
        <f ca="1">IFERROR(GETPIVOTDATA("Cuenta de CANT",Tabla9,"PROV",[2]Tablas!$A$49,"SEFIS",BD$52,"CANT",[2]Tablas!$A8),0)</f>
        <v>0</v>
      </c>
    </row>
    <row r="39" spans="1:56" x14ac:dyDescent="0.35">
      <c r="A39" s="14" t="s">
        <v>136</v>
      </c>
      <c r="B39" s="15">
        <f t="shared" ca="1" si="4"/>
        <v>40</v>
      </c>
      <c r="C39" s="16">
        <f ca="1">IFERROR(B39/[2]Tablas!$B9*100000,"N/D")</f>
        <v>130.9328968903437</v>
      </c>
      <c r="D39" s="15">
        <f ca="1">IFERROR(GETPIVOTDATA("Cuenta de CANT",Tabla9,"PROV",[2]Tablas!$A$49,"SEFIS",D$52,"CANT",[2]Tablas!$A9),0)</f>
        <v>1</v>
      </c>
      <c r="E39" s="15">
        <f ca="1">IFERROR(GETPIVOTDATA("Cuenta de CANT",Tabla9,"PROV",[2]Tablas!$A$49,"SEFIS",E$52,"CANT",[2]Tablas!$A9),0)</f>
        <v>4</v>
      </c>
      <c r="F39" s="15">
        <f ca="1">IFERROR(GETPIVOTDATA("Cuenta de CANT",Tabla9,"PROV",[2]Tablas!$A$49,"SEFIS",F$52,"CANT",[2]Tablas!$A9),0)</f>
        <v>1</v>
      </c>
      <c r="G39" s="15">
        <f ca="1">IFERROR(GETPIVOTDATA("Cuenta de CANT",Tabla9,"PROV",[2]Tablas!$A$49,"SEFIS",G$52,"CANT",[2]Tablas!$A9),0)</f>
        <v>0</v>
      </c>
      <c r="H39" s="15">
        <f ca="1">IFERROR(GETPIVOTDATA("Cuenta de CANT",Tabla9,"PROV",[2]Tablas!$A$49,"SEFIS",H$52,"CANT",[2]Tablas!$A9),0)</f>
        <v>0</v>
      </c>
      <c r="I39" s="15">
        <f ca="1">IFERROR(GETPIVOTDATA("Cuenta de CANT",Tabla9,"PROV",[2]Tablas!$A$49,"SEFIS",I$52,"CANT",[2]Tablas!$A9),0)</f>
        <v>1</v>
      </c>
      <c r="J39" s="15">
        <f ca="1">IFERROR(GETPIVOTDATA("Cuenta de CANT",Tabla9,"PROV",[2]Tablas!$A$49,"SEFIS",J$52,"CANT",[2]Tablas!$A9),0)</f>
        <v>0</v>
      </c>
      <c r="K39" s="15">
        <f ca="1">IFERROR(GETPIVOTDATA("Cuenta de CANT",Tabla9,"PROV",[2]Tablas!$A$49,"SEFIS",K$52,"CANT",[2]Tablas!$A9),0)</f>
        <v>0</v>
      </c>
      <c r="L39" s="15">
        <f ca="1">IFERROR(GETPIVOTDATA("Cuenta de CANT",Tabla9,"PROV",[2]Tablas!$A$49,"SEFIS",L$52,"CANT",[2]Tablas!$A9),0)</f>
        <v>0</v>
      </c>
      <c r="M39" s="15">
        <f ca="1">IFERROR(GETPIVOTDATA("Cuenta de CANT",Tabla9,"PROV",[2]Tablas!$A$49,"SEFIS",M$52,"CANT",[2]Tablas!$A9),0)</f>
        <v>0</v>
      </c>
      <c r="N39" s="15">
        <f ca="1">IFERROR(GETPIVOTDATA("Cuenta de CANT",Tabla9,"PROV",[2]Tablas!$A$49,"SEFIS",N$52,"CANT",[2]Tablas!$A9),0)</f>
        <v>0</v>
      </c>
      <c r="O39" s="15">
        <f ca="1">IFERROR(GETPIVOTDATA("Cuenta de CANT",Tabla9,"PROV",[2]Tablas!$A$49,"SEFIS",O$52,"CANT",[2]Tablas!$A9),0)</f>
        <v>0</v>
      </c>
      <c r="P39" s="15">
        <f ca="1">IFERROR(GETPIVOTDATA("Cuenta de CANT",Tabla9,"PROV",[2]Tablas!$A$49,"SEFIS",P$52,"CANT",[2]Tablas!$A9),0)</f>
        <v>0</v>
      </c>
      <c r="Q39" s="15">
        <f ca="1">IFERROR(GETPIVOTDATA("Cuenta de CANT",Tabla9,"PROV",[2]Tablas!$A$49,"SEFIS",Q$52,"CANT",[2]Tablas!$A9),0)</f>
        <v>0</v>
      </c>
      <c r="R39" s="15">
        <f ca="1">IFERROR(GETPIVOTDATA("Cuenta de CANT",Tabla9,"PROV",[2]Tablas!$A$49,"SEFIS",R$52,"CANT",[2]Tablas!$A9),0)</f>
        <v>0</v>
      </c>
      <c r="S39" s="15">
        <f ca="1">IFERROR(GETPIVOTDATA("Cuenta de CANT",Tabla9,"PROV",[2]Tablas!$A$49,"SEFIS",S$52,"CANT",[2]Tablas!$A9),0)</f>
        <v>0</v>
      </c>
      <c r="T39" s="15">
        <f ca="1">IFERROR(GETPIVOTDATA("Cuenta de CANT",Tabla9,"PROV",[2]Tablas!$A$49,"SEFIS",T$52,"CANT",[2]Tablas!$A9),0)</f>
        <v>1</v>
      </c>
      <c r="U39" s="15">
        <f ca="1">IFERROR(GETPIVOTDATA("Cuenta de CANT",Tabla9,"PROV",[2]Tablas!$A$49,"SEFIS",U$52,"CANT",[2]Tablas!$A9),0)</f>
        <v>2</v>
      </c>
      <c r="V39" s="15">
        <f ca="1">IFERROR(GETPIVOTDATA("Cuenta de CANT",Tabla9,"PROV",[2]Tablas!$A$49,"SEFIS",V$52,"CANT",[2]Tablas!$A9),0)</f>
        <v>2</v>
      </c>
      <c r="W39" s="15">
        <f ca="1">IFERROR(GETPIVOTDATA("Cuenta de CANT",Tabla9,"PROV",[2]Tablas!$A$49,"SEFIS",W$52,"CANT",[2]Tablas!$A9),0)</f>
        <v>1</v>
      </c>
      <c r="X39" s="15">
        <f ca="1">IFERROR(GETPIVOTDATA("Cuenta de CANT",Tabla9,"PROV",[2]Tablas!$A$49,"SEFIS",X$52,"CANT",[2]Tablas!$A9),0)</f>
        <v>1</v>
      </c>
      <c r="Y39" s="15">
        <f ca="1">IFERROR(GETPIVOTDATA("Cuenta de CANT",Tabla9,"PROV",[2]Tablas!$A$49,"SEFIS",Y$52,"CANT",[2]Tablas!$A9),0)</f>
        <v>1</v>
      </c>
      <c r="Z39" s="15">
        <f ca="1">IFERROR(GETPIVOTDATA("Cuenta de CANT",Tabla9,"PROV",[2]Tablas!$A$49,"SEFIS",Z$52,"CANT",[2]Tablas!$A9),0)</f>
        <v>0</v>
      </c>
      <c r="AA39" s="15">
        <f ca="1">IFERROR(GETPIVOTDATA("Cuenta de CANT",Tabla9,"PROV",[2]Tablas!$A$49,"SEFIS",AA$52,"CANT",[2]Tablas!$A9),0)</f>
        <v>0</v>
      </c>
      <c r="AB39" s="15">
        <f ca="1">IFERROR(GETPIVOTDATA("Cuenta de CANT",Tabla9,"PROV",[2]Tablas!$A$49,"SEFIS",AB$52,"CANT",[2]Tablas!$A9),0)</f>
        <v>0</v>
      </c>
      <c r="AC39" s="15">
        <f ca="1">IFERROR(GETPIVOTDATA("Cuenta de CANT",Tabla9,"PROV",[2]Tablas!$A$49,"SEFIS",AC$52,"CANT",[2]Tablas!$A9),0)</f>
        <v>0</v>
      </c>
      <c r="AD39" s="15">
        <f ca="1">IFERROR(GETPIVOTDATA("Cuenta de CANT",Tabla9,"PROV",[2]Tablas!$A$49,"SEFIS",AD$52,"CANT",[2]Tablas!$A9),0)</f>
        <v>1</v>
      </c>
      <c r="AE39" s="15">
        <f ca="1">IFERROR(GETPIVOTDATA("Cuenta de CANT",Tabla9,"PROV",[2]Tablas!$A$49,"SEFIS",AE$52,"CANT",[2]Tablas!$A9),0)</f>
        <v>0</v>
      </c>
      <c r="AF39" s="15">
        <f ca="1">IFERROR(GETPIVOTDATA("Cuenta de CANT",Tabla9,"PROV",[2]Tablas!$A$49,"SEFIS",AF$52,"CANT",[2]Tablas!$A9),0)</f>
        <v>1</v>
      </c>
      <c r="AG39" s="15">
        <f ca="1">IFERROR(GETPIVOTDATA("Cuenta de CANT",Tabla9,"PROV",[2]Tablas!$A$49,"SEFIS",AG$52,"CANT",[2]Tablas!$A9),0)</f>
        <v>1</v>
      </c>
      <c r="AH39" s="15">
        <f ca="1">IFERROR(GETPIVOTDATA("Cuenta de CANT",Tabla9,"PROV",[2]Tablas!$A$49,"SEFIS",AH$52,"CANT",[2]Tablas!$A9),0)</f>
        <v>1</v>
      </c>
      <c r="AI39" s="15">
        <f ca="1">IFERROR(GETPIVOTDATA("Cuenta de CANT",Tabla9,"PROV",[2]Tablas!$A$49,"SEFIS",AI$52,"CANT",[2]Tablas!$A9),0)</f>
        <v>0</v>
      </c>
      <c r="AJ39" s="15">
        <f ca="1">IFERROR(GETPIVOTDATA("Cuenta de CANT",Tabla9,"PROV",[2]Tablas!$A$49,"SEFIS",AJ$52,"CANT",[2]Tablas!$A9),0)</f>
        <v>0</v>
      </c>
      <c r="AK39" s="15">
        <f ca="1">IFERROR(GETPIVOTDATA("Cuenta de CANT",Tabla9,"PROV",[2]Tablas!$A$49,"SEFIS",AK$52,"CANT",[2]Tablas!$A9),0)</f>
        <v>0</v>
      </c>
      <c r="AL39" s="15">
        <f ca="1">IFERROR(GETPIVOTDATA("Cuenta de CANT",Tabla9,"PROV",[2]Tablas!$A$49,"SEFIS",AL$52,"CANT",[2]Tablas!$A9),0)</f>
        <v>1</v>
      </c>
      <c r="AM39" s="15">
        <f ca="1">IFERROR(GETPIVOTDATA("Cuenta de CANT",Tabla9,"PROV",[2]Tablas!$A$49,"SEFIS",AM$52,"CANT",[2]Tablas!$A9),0)</f>
        <v>3</v>
      </c>
      <c r="AN39" s="15">
        <f ca="1">IFERROR(GETPIVOTDATA("Cuenta de CANT",Tabla9,"PROV",[2]Tablas!$A$49,"SEFIS",AN$52,"CANT",[2]Tablas!$A9),0)</f>
        <v>0</v>
      </c>
      <c r="AO39" s="15">
        <f ca="1">IFERROR(GETPIVOTDATA("Cuenta de CANT",Tabla9,"PROV",[2]Tablas!$A$49,"SEFIS",AO$52,"CANT",[2]Tablas!$A9),0)</f>
        <v>0</v>
      </c>
      <c r="AP39" s="15">
        <f ca="1">IFERROR(GETPIVOTDATA("Cuenta de CANT",Tabla9,"PROV",[2]Tablas!$A$49,"SEFIS",AP$52,"CANT",[2]Tablas!$A9),0)</f>
        <v>2</v>
      </c>
      <c r="AQ39" s="15">
        <f ca="1">IFERROR(GETPIVOTDATA("Cuenta de CANT",Tabla9,"PROV",[2]Tablas!$A$49,"SEFIS",AQ$52,"CANT",[2]Tablas!$A9),0)</f>
        <v>3</v>
      </c>
      <c r="AR39" s="15">
        <f ca="1">IFERROR(GETPIVOTDATA("Cuenta de CANT",Tabla9,"PROV",[2]Tablas!$A$49,"SEFIS",AR$52,"CANT",[2]Tablas!$A9),0)</f>
        <v>1</v>
      </c>
      <c r="AS39" s="15">
        <f ca="1">IFERROR(GETPIVOTDATA("Cuenta de CANT",Tabla9,"PROV",[2]Tablas!$A$49,"SEFIS",AS$52,"CANT",[2]Tablas!$A9),0)</f>
        <v>2</v>
      </c>
      <c r="AT39" s="15">
        <f ca="1">IFERROR(GETPIVOTDATA("Cuenta de CANT",Tabla9,"PROV",[2]Tablas!$A$49,"SEFIS",AT$52,"CANT",[2]Tablas!$A9),0)</f>
        <v>2</v>
      </c>
      <c r="AU39" s="15">
        <f ca="1">IFERROR(GETPIVOTDATA("Cuenta de CANT",Tabla9,"PROV",[2]Tablas!$A$49,"SEFIS",AU$52,"CANT",[2]Tablas!$A9),0)</f>
        <v>0</v>
      </c>
      <c r="AV39" s="15">
        <f ca="1">IFERROR(GETPIVOTDATA("Cuenta de CANT",Tabla9,"PROV",[2]Tablas!$A$49,"SEFIS",AV$52,"CANT",[2]Tablas!$A9),0)</f>
        <v>1</v>
      </c>
      <c r="AW39" s="15">
        <f ca="1">IFERROR(GETPIVOTDATA("Cuenta de CANT",Tabla9,"PROV",[2]Tablas!$A$49,"SEFIS",AW$52,"CANT",[2]Tablas!$A9),0)</f>
        <v>1</v>
      </c>
      <c r="AX39" s="15">
        <f ca="1">IFERROR(GETPIVOTDATA("Cuenta de CANT",Tabla9,"PROV",[2]Tablas!$A$49,"SEFIS",AX$52,"CANT",[2]Tablas!$A9),0)</f>
        <v>0</v>
      </c>
      <c r="AY39" s="15">
        <f ca="1">IFERROR(GETPIVOTDATA("Cuenta de CANT",Tabla9,"PROV",[2]Tablas!$A$49,"SEFIS",AY$52,"CANT",[2]Tablas!$A9),0)</f>
        <v>1</v>
      </c>
      <c r="AZ39" s="15">
        <f ca="1">IFERROR(GETPIVOTDATA("Cuenta de CANT",Tabla9,"PROV",[2]Tablas!$A$49,"SEFIS",AZ$52,"CANT",[2]Tablas!$A9),0)</f>
        <v>1</v>
      </c>
      <c r="BA39" s="15">
        <f ca="1">IFERROR(GETPIVOTDATA("Cuenta de CANT",Tabla9,"PROV",[2]Tablas!$A$49,"SEFIS",BA$52,"CANT",[2]Tablas!$A9),0)</f>
        <v>0</v>
      </c>
      <c r="BB39" s="15">
        <f ca="1">IFERROR(GETPIVOTDATA("Cuenta de CANT",Tabla9,"PROV",[2]Tablas!$A$49,"SEFIS",BB$52,"CANT",[2]Tablas!$A9),0)</f>
        <v>2</v>
      </c>
      <c r="BC39" s="15">
        <f ca="1">IFERROR(GETPIVOTDATA("Cuenta de CANT",Tabla9,"PROV",[2]Tablas!$A$49,"SEFIS",BC$52,"CANT",[2]Tablas!$A9),0)</f>
        <v>1</v>
      </c>
      <c r="BD39" s="15">
        <f ca="1">IFERROR(GETPIVOTDATA("Cuenta de CANT",Tabla9,"PROV",[2]Tablas!$A$49,"SEFIS",BD$52,"CANT",[2]Tablas!$A9),0)</f>
        <v>0</v>
      </c>
    </row>
    <row r="40" spans="1:56" x14ac:dyDescent="0.35">
      <c r="A40" s="14" t="s">
        <v>137</v>
      </c>
      <c r="B40" s="15">
        <f t="shared" ca="1" si="4"/>
        <v>19</v>
      </c>
      <c r="C40" s="16">
        <f ca="1">IFERROR(B40/[2]Tablas!$B10*100000,"N/D")</f>
        <v>37.734350174769624</v>
      </c>
      <c r="D40" s="15">
        <f ca="1">IFERROR(GETPIVOTDATA("Cuenta de CANT",Tabla9,"PROV",[2]Tablas!$A$49,"SEFIS",D$52,"CANT",[2]Tablas!$A10),0)</f>
        <v>0</v>
      </c>
      <c r="E40" s="15">
        <f ca="1">IFERROR(GETPIVOTDATA("Cuenta de CANT",Tabla9,"PROV",[2]Tablas!$A$49,"SEFIS",E$52,"CANT",[2]Tablas!$A10),0)</f>
        <v>1</v>
      </c>
      <c r="F40" s="15">
        <f ca="1">IFERROR(GETPIVOTDATA("Cuenta de CANT",Tabla9,"PROV",[2]Tablas!$A$49,"SEFIS",F$52,"CANT",[2]Tablas!$A10),0)</f>
        <v>1</v>
      </c>
      <c r="G40" s="15">
        <f ca="1">IFERROR(GETPIVOTDATA("Cuenta de CANT",Tabla9,"PROV",[2]Tablas!$A$49,"SEFIS",G$52,"CANT",[2]Tablas!$A10),0)</f>
        <v>1</v>
      </c>
      <c r="H40" s="15">
        <f ca="1">IFERROR(GETPIVOTDATA("Cuenta de CANT",Tabla9,"PROV",[2]Tablas!$A$49,"SEFIS",H$52,"CANT",[2]Tablas!$A10),0)</f>
        <v>0</v>
      </c>
      <c r="I40" s="15">
        <f ca="1">IFERROR(GETPIVOTDATA("Cuenta de CANT",Tabla9,"PROV",[2]Tablas!$A$49,"SEFIS",I$52,"CANT",[2]Tablas!$A10),0)</f>
        <v>0</v>
      </c>
      <c r="J40" s="15">
        <f ca="1">IFERROR(GETPIVOTDATA("Cuenta de CANT",Tabla9,"PROV",[2]Tablas!$A$49,"SEFIS",J$52,"CANT",[2]Tablas!$A10),0)</f>
        <v>0</v>
      </c>
      <c r="K40" s="15">
        <f ca="1">IFERROR(GETPIVOTDATA("Cuenta de CANT",Tabla9,"PROV",[2]Tablas!$A$49,"SEFIS",K$52,"CANT",[2]Tablas!$A10),0)</f>
        <v>0</v>
      </c>
      <c r="L40" s="15">
        <f ca="1">IFERROR(GETPIVOTDATA("Cuenta de CANT",Tabla9,"PROV",[2]Tablas!$A$49,"SEFIS",L$52,"CANT",[2]Tablas!$A10),0)</f>
        <v>1</v>
      </c>
      <c r="M40" s="15">
        <f ca="1">IFERROR(GETPIVOTDATA("Cuenta de CANT",Tabla9,"PROV",[2]Tablas!$A$49,"SEFIS",M$52,"CANT",[2]Tablas!$A10),0)</f>
        <v>1</v>
      </c>
      <c r="N40" s="15">
        <f ca="1">IFERROR(GETPIVOTDATA("Cuenta de CANT",Tabla9,"PROV",[2]Tablas!$A$49,"SEFIS",N$52,"CANT",[2]Tablas!$A10),0)</f>
        <v>0</v>
      </c>
      <c r="O40" s="15">
        <f ca="1">IFERROR(GETPIVOTDATA("Cuenta de CANT",Tabla9,"PROV",[2]Tablas!$A$49,"SEFIS",O$52,"CANT",[2]Tablas!$A10),0)</f>
        <v>0</v>
      </c>
      <c r="P40" s="15">
        <f ca="1">IFERROR(GETPIVOTDATA("Cuenta de CANT",Tabla9,"PROV",[2]Tablas!$A$49,"SEFIS",P$52,"CANT",[2]Tablas!$A10),0)</f>
        <v>0</v>
      </c>
      <c r="Q40" s="15">
        <f ca="1">IFERROR(GETPIVOTDATA("Cuenta de CANT",Tabla9,"PROV",[2]Tablas!$A$49,"SEFIS",Q$52,"CANT",[2]Tablas!$A10),0)</f>
        <v>1</v>
      </c>
      <c r="R40" s="15">
        <f ca="1">IFERROR(GETPIVOTDATA("Cuenta de CANT",Tabla9,"PROV",[2]Tablas!$A$49,"SEFIS",R$52,"CANT",[2]Tablas!$A10),0)</f>
        <v>0</v>
      </c>
      <c r="S40" s="15">
        <f ca="1">IFERROR(GETPIVOTDATA("Cuenta de CANT",Tabla9,"PROV",[2]Tablas!$A$49,"SEFIS",S$52,"CANT",[2]Tablas!$A10),0)</f>
        <v>0</v>
      </c>
      <c r="T40" s="15">
        <f ca="1">IFERROR(GETPIVOTDATA("Cuenta de CANT",Tabla9,"PROV",[2]Tablas!$A$49,"SEFIS",T$52,"CANT",[2]Tablas!$A10),0)</f>
        <v>0</v>
      </c>
      <c r="U40" s="15">
        <f ca="1">IFERROR(GETPIVOTDATA("Cuenta de CANT",Tabla9,"PROV",[2]Tablas!$A$49,"SEFIS",U$52,"CANT",[2]Tablas!$A10),0)</f>
        <v>0</v>
      </c>
      <c r="V40" s="15">
        <f ca="1">IFERROR(GETPIVOTDATA("Cuenta de CANT",Tabla9,"PROV",[2]Tablas!$A$49,"SEFIS",V$52,"CANT",[2]Tablas!$A10),0)</f>
        <v>0</v>
      </c>
      <c r="W40" s="15">
        <f ca="1">IFERROR(GETPIVOTDATA("Cuenta de CANT",Tabla9,"PROV",[2]Tablas!$A$49,"SEFIS",W$52,"CANT",[2]Tablas!$A10),0)</f>
        <v>1</v>
      </c>
      <c r="X40" s="15">
        <f ca="1">IFERROR(GETPIVOTDATA("Cuenta de CANT",Tabla9,"PROV",[2]Tablas!$A$49,"SEFIS",X$52,"CANT",[2]Tablas!$A10),0)</f>
        <v>0</v>
      </c>
      <c r="Y40" s="15">
        <f ca="1">IFERROR(GETPIVOTDATA("Cuenta de CANT",Tabla9,"PROV",[2]Tablas!$A$49,"SEFIS",Y$52,"CANT",[2]Tablas!$A10),0)</f>
        <v>0</v>
      </c>
      <c r="Z40" s="15">
        <f ca="1">IFERROR(GETPIVOTDATA("Cuenta de CANT",Tabla9,"PROV",[2]Tablas!$A$49,"SEFIS",Z$52,"CANT",[2]Tablas!$A10),0)</f>
        <v>0</v>
      </c>
      <c r="AA40" s="15">
        <f ca="1">IFERROR(GETPIVOTDATA("Cuenta de CANT",Tabla9,"PROV",[2]Tablas!$A$49,"SEFIS",AA$52,"CANT",[2]Tablas!$A10),0)</f>
        <v>0</v>
      </c>
      <c r="AB40" s="15">
        <f ca="1">IFERROR(GETPIVOTDATA("Cuenta de CANT",Tabla9,"PROV",[2]Tablas!$A$49,"SEFIS",AB$52,"CANT",[2]Tablas!$A10),0)</f>
        <v>0</v>
      </c>
      <c r="AC40" s="15">
        <f ca="1">IFERROR(GETPIVOTDATA("Cuenta de CANT",Tabla9,"PROV",[2]Tablas!$A$49,"SEFIS",AC$52,"CANT",[2]Tablas!$A10),0)</f>
        <v>1</v>
      </c>
      <c r="AD40" s="15">
        <f ca="1">IFERROR(GETPIVOTDATA("Cuenta de CANT",Tabla9,"PROV",[2]Tablas!$A$49,"SEFIS",AD$52,"CANT",[2]Tablas!$A10),0)</f>
        <v>1</v>
      </c>
      <c r="AE40" s="15">
        <f ca="1">IFERROR(GETPIVOTDATA("Cuenta de CANT",Tabla9,"PROV",[2]Tablas!$A$49,"SEFIS",AE$52,"CANT",[2]Tablas!$A10),0)</f>
        <v>0</v>
      </c>
      <c r="AF40" s="15">
        <f ca="1">IFERROR(GETPIVOTDATA("Cuenta de CANT",Tabla9,"PROV",[2]Tablas!$A$49,"SEFIS",AF$52,"CANT",[2]Tablas!$A10),0)</f>
        <v>1</v>
      </c>
      <c r="AG40" s="15">
        <f ca="1">IFERROR(GETPIVOTDATA("Cuenta de CANT",Tabla9,"PROV",[2]Tablas!$A$49,"SEFIS",AG$52,"CANT",[2]Tablas!$A10),0)</f>
        <v>0</v>
      </c>
      <c r="AH40" s="15">
        <f ca="1">IFERROR(GETPIVOTDATA("Cuenta de CANT",Tabla9,"PROV",[2]Tablas!$A$49,"SEFIS",AH$52,"CANT",[2]Tablas!$A10),0)</f>
        <v>1</v>
      </c>
      <c r="AI40" s="15">
        <f ca="1">IFERROR(GETPIVOTDATA("Cuenta de CANT",Tabla9,"PROV",[2]Tablas!$A$49,"SEFIS",AI$52,"CANT",[2]Tablas!$A10),0)</f>
        <v>0</v>
      </c>
      <c r="AJ40" s="15">
        <f ca="1">IFERROR(GETPIVOTDATA("Cuenta de CANT",Tabla9,"PROV",[2]Tablas!$A$49,"SEFIS",AJ$52,"CANT",[2]Tablas!$A10),0)</f>
        <v>0</v>
      </c>
      <c r="AK40" s="15">
        <f ca="1">IFERROR(GETPIVOTDATA("Cuenta de CANT",Tabla9,"PROV",[2]Tablas!$A$49,"SEFIS",AK$52,"CANT",[2]Tablas!$A10),0)</f>
        <v>0</v>
      </c>
      <c r="AL40" s="15">
        <f ca="1">IFERROR(GETPIVOTDATA("Cuenta de CANT",Tabla9,"PROV",[2]Tablas!$A$49,"SEFIS",AL$52,"CANT",[2]Tablas!$A10),0)</f>
        <v>0</v>
      </c>
      <c r="AM40" s="15">
        <f ca="1">IFERROR(GETPIVOTDATA("Cuenta de CANT",Tabla9,"PROV",[2]Tablas!$A$49,"SEFIS",AM$52,"CANT",[2]Tablas!$A10),0)</f>
        <v>0</v>
      </c>
      <c r="AN40" s="15">
        <f ca="1">IFERROR(GETPIVOTDATA("Cuenta de CANT",Tabla9,"PROV",[2]Tablas!$A$49,"SEFIS",AN$52,"CANT",[2]Tablas!$A10),0)</f>
        <v>2</v>
      </c>
      <c r="AO40" s="15">
        <f ca="1">IFERROR(GETPIVOTDATA("Cuenta de CANT",Tabla9,"PROV",[2]Tablas!$A$49,"SEFIS",AO$52,"CANT",[2]Tablas!$A10),0)</f>
        <v>1</v>
      </c>
      <c r="AP40" s="15">
        <f ca="1">IFERROR(GETPIVOTDATA("Cuenta de CANT",Tabla9,"PROV",[2]Tablas!$A$49,"SEFIS",AP$52,"CANT",[2]Tablas!$A10),0)</f>
        <v>0</v>
      </c>
      <c r="AQ40" s="15">
        <f ca="1">IFERROR(GETPIVOTDATA("Cuenta de CANT",Tabla9,"PROV",[2]Tablas!$A$49,"SEFIS",AQ$52,"CANT",[2]Tablas!$A10),0)</f>
        <v>0</v>
      </c>
      <c r="AR40" s="15">
        <f ca="1">IFERROR(GETPIVOTDATA("Cuenta de CANT",Tabla9,"PROV",[2]Tablas!$A$49,"SEFIS",AR$52,"CANT",[2]Tablas!$A10),0)</f>
        <v>3</v>
      </c>
      <c r="AS40" s="15">
        <f ca="1">IFERROR(GETPIVOTDATA("Cuenta de CANT",Tabla9,"PROV",[2]Tablas!$A$49,"SEFIS",AS$52,"CANT",[2]Tablas!$A10),0)</f>
        <v>0</v>
      </c>
      <c r="AT40" s="15">
        <f ca="1">IFERROR(GETPIVOTDATA("Cuenta de CANT",Tabla9,"PROV",[2]Tablas!$A$49,"SEFIS",AT$52,"CANT",[2]Tablas!$A10),0)</f>
        <v>0</v>
      </c>
      <c r="AU40" s="15">
        <f ca="1">IFERROR(GETPIVOTDATA("Cuenta de CANT",Tabla9,"PROV",[2]Tablas!$A$49,"SEFIS",AU$52,"CANT",[2]Tablas!$A10),0)</f>
        <v>0</v>
      </c>
      <c r="AV40" s="15">
        <f ca="1">IFERROR(GETPIVOTDATA("Cuenta de CANT",Tabla9,"PROV",[2]Tablas!$A$49,"SEFIS",AV$52,"CANT",[2]Tablas!$A10),0)</f>
        <v>1</v>
      </c>
      <c r="AW40" s="15">
        <f ca="1">IFERROR(GETPIVOTDATA("Cuenta de CANT",Tabla9,"PROV",[2]Tablas!$A$49,"SEFIS",AW$52,"CANT",[2]Tablas!$A10),0)</f>
        <v>0</v>
      </c>
      <c r="AX40" s="15">
        <f ca="1">IFERROR(GETPIVOTDATA("Cuenta de CANT",Tabla9,"PROV",[2]Tablas!$A$49,"SEFIS",AX$52,"CANT",[2]Tablas!$A10),0)</f>
        <v>0</v>
      </c>
      <c r="AY40" s="15">
        <f ca="1">IFERROR(GETPIVOTDATA("Cuenta de CANT",Tabla9,"PROV",[2]Tablas!$A$49,"SEFIS",AY$52,"CANT",[2]Tablas!$A10),0)</f>
        <v>1</v>
      </c>
      <c r="AZ40" s="15">
        <f ca="1">IFERROR(GETPIVOTDATA("Cuenta de CANT",Tabla9,"PROV",[2]Tablas!$A$49,"SEFIS",AZ$52,"CANT",[2]Tablas!$A10),0)</f>
        <v>0</v>
      </c>
      <c r="BA40" s="15">
        <f ca="1">IFERROR(GETPIVOTDATA("Cuenta de CANT",Tabla9,"PROV",[2]Tablas!$A$49,"SEFIS",BA$52,"CANT",[2]Tablas!$A10),0)</f>
        <v>0</v>
      </c>
      <c r="BB40" s="15">
        <f ca="1">IFERROR(GETPIVOTDATA("Cuenta de CANT",Tabla9,"PROV",[2]Tablas!$A$49,"SEFIS",BB$52,"CANT",[2]Tablas!$A10),0)</f>
        <v>0</v>
      </c>
      <c r="BC40" s="15">
        <f ca="1">IFERROR(GETPIVOTDATA("Cuenta de CANT",Tabla9,"PROV",[2]Tablas!$A$49,"SEFIS",BC$52,"CANT",[2]Tablas!$A10),0)</f>
        <v>0</v>
      </c>
      <c r="BD40" s="15">
        <f ca="1">IFERROR(GETPIVOTDATA("Cuenta de CANT",Tabla9,"PROV",[2]Tablas!$A$49,"SEFIS",BD$52,"CANT",[2]Tablas!$A10),0)</f>
        <v>0</v>
      </c>
    </row>
    <row r="41" spans="1:56" x14ac:dyDescent="0.35">
      <c r="A41" s="14" t="s">
        <v>138</v>
      </c>
      <c r="B41" s="15">
        <f t="shared" ca="1" si="4"/>
        <v>12</v>
      </c>
      <c r="C41" s="16">
        <f ca="1">IFERROR(B41/[2]Tablas!$B11*100000,"N/D")</f>
        <v>28.084628346751543</v>
      </c>
      <c r="D41" s="15">
        <f ca="1">IFERROR(GETPIVOTDATA("Cuenta de CANT",Tabla9,"PROV",[2]Tablas!$A$49,"SEFIS",D$52,"CANT",[2]Tablas!$A11),0)</f>
        <v>2</v>
      </c>
      <c r="E41" s="15">
        <f ca="1">IFERROR(GETPIVOTDATA("Cuenta de CANT",Tabla9,"PROV",[2]Tablas!$A$49,"SEFIS",E$52,"CANT",[2]Tablas!$A11),0)</f>
        <v>2</v>
      </c>
      <c r="F41" s="15">
        <f ca="1">IFERROR(GETPIVOTDATA("Cuenta de CANT",Tabla9,"PROV",[2]Tablas!$A$49,"SEFIS",F$52,"CANT",[2]Tablas!$A11),0)</f>
        <v>0</v>
      </c>
      <c r="G41" s="15">
        <f ca="1">IFERROR(GETPIVOTDATA("Cuenta de CANT",Tabla9,"PROV",[2]Tablas!$A$49,"SEFIS",G$52,"CANT",[2]Tablas!$A11),0)</f>
        <v>0</v>
      </c>
      <c r="H41" s="15">
        <f ca="1">IFERROR(GETPIVOTDATA("Cuenta de CANT",Tabla9,"PROV",[2]Tablas!$A$49,"SEFIS",H$52,"CANT",[2]Tablas!$A11),0)</f>
        <v>0</v>
      </c>
      <c r="I41" s="15">
        <f ca="1">IFERROR(GETPIVOTDATA("Cuenta de CANT",Tabla9,"PROV",[2]Tablas!$A$49,"SEFIS",I$52,"CANT",[2]Tablas!$A11),0)</f>
        <v>0</v>
      </c>
      <c r="J41" s="15">
        <f ca="1">IFERROR(GETPIVOTDATA("Cuenta de CANT",Tabla9,"PROV",[2]Tablas!$A$49,"SEFIS",J$52,"CANT",[2]Tablas!$A11),0)</f>
        <v>0</v>
      </c>
      <c r="K41" s="15">
        <f ca="1">IFERROR(GETPIVOTDATA("Cuenta de CANT",Tabla9,"PROV",[2]Tablas!$A$49,"SEFIS",K$52,"CANT",[2]Tablas!$A11),0)</f>
        <v>0</v>
      </c>
      <c r="L41" s="15">
        <f ca="1">IFERROR(GETPIVOTDATA("Cuenta de CANT",Tabla9,"PROV",[2]Tablas!$A$49,"SEFIS",L$52,"CANT",[2]Tablas!$A11),0)</f>
        <v>0</v>
      </c>
      <c r="M41" s="15">
        <f ca="1">IFERROR(GETPIVOTDATA("Cuenta de CANT",Tabla9,"PROV",[2]Tablas!$A$49,"SEFIS",M$52,"CANT",[2]Tablas!$A11),0)</f>
        <v>0</v>
      </c>
      <c r="N41" s="15">
        <f ca="1">IFERROR(GETPIVOTDATA("Cuenta de CANT",Tabla9,"PROV",[2]Tablas!$A$49,"SEFIS",N$52,"CANT",[2]Tablas!$A11),0)</f>
        <v>0</v>
      </c>
      <c r="O41" s="15">
        <f ca="1">IFERROR(GETPIVOTDATA("Cuenta de CANT",Tabla9,"PROV",[2]Tablas!$A$49,"SEFIS",O$52,"CANT",[2]Tablas!$A11),0)</f>
        <v>0</v>
      </c>
      <c r="P41" s="15">
        <f ca="1">IFERROR(GETPIVOTDATA("Cuenta de CANT",Tabla9,"PROV",[2]Tablas!$A$49,"SEFIS",P$52,"CANT",[2]Tablas!$A11),0)</f>
        <v>1</v>
      </c>
      <c r="Q41" s="15">
        <f ca="1">IFERROR(GETPIVOTDATA("Cuenta de CANT",Tabla9,"PROV",[2]Tablas!$A$49,"SEFIS",Q$52,"CANT",[2]Tablas!$A11),0)</f>
        <v>1</v>
      </c>
      <c r="R41" s="15">
        <f ca="1">IFERROR(GETPIVOTDATA("Cuenta de CANT",Tabla9,"PROV",[2]Tablas!$A$49,"SEFIS",R$52,"CANT",[2]Tablas!$A11),0)</f>
        <v>0</v>
      </c>
      <c r="S41" s="15">
        <f ca="1">IFERROR(GETPIVOTDATA("Cuenta de CANT",Tabla9,"PROV",[2]Tablas!$A$49,"SEFIS",S$52,"CANT",[2]Tablas!$A11),0)</f>
        <v>0</v>
      </c>
      <c r="T41" s="15">
        <f ca="1">IFERROR(GETPIVOTDATA("Cuenta de CANT",Tabla9,"PROV",[2]Tablas!$A$49,"SEFIS",T$52,"CANT",[2]Tablas!$A11),0)</f>
        <v>0</v>
      </c>
      <c r="U41" s="15">
        <f ca="1">IFERROR(GETPIVOTDATA("Cuenta de CANT",Tabla9,"PROV",[2]Tablas!$A$49,"SEFIS",U$52,"CANT",[2]Tablas!$A11),0)</f>
        <v>0</v>
      </c>
      <c r="V41" s="15">
        <f ca="1">IFERROR(GETPIVOTDATA("Cuenta de CANT",Tabla9,"PROV",[2]Tablas!$A$49,"SEFIS",V$52,"CANT",[2]Tablas!$A11),0)</f>
        <v>0</v>
      </c>
      <c r="W41" s="15">
        <f ca="1">IFERROR(GETPIVOTDATA("Cuenta de CANT",Tabla9,"PROV",[2]Tablas!$A$49,"SEFIS",W$52,"CANT",[2]Tablas!$A11),0)</f>
        <v>0</v>
      </c>
      <c r="X41" s="15">
        <f ca="1">IFERROR(GETPIVOTDATA("Cuenta de CANT",Tabla9,"PROV",[2]Tablas!$A$49,"SEFIS",X$52,"CANT",[2]Tablas!$A11),0)</f>
        <v>1</v>
      </c>
      <c r="Y41" s="15">
        <f ca="1">IFERROR(GETPIVOTDATA("Cuenta de CANT",Tabla9,"PROV",[2]Tablas!$A$49,"SEFIS",Y$52,"CANT",[2]Tablas!$A11),0)</f>
        <v>0</v>
      </c>
      <c r="Z41" s="15">
        <f ca="1">IFERROR(GETPIVOTDATA("Cuenta de CANT",Tabla9,"PROV",[2]Tablas!$A$49,"SEFIS",Z$52,"CANT",[2]Tablas!$A11),0)</f>
        <v>0</v>
      </c>
      <c r="AA41" s="15">
        <f ca="1">IFERROR(GETPIVOTDATA("Cuenta de CANT",Tabla9,"PROV",[2]Tablas!$A$49,"SEFIS",AA$52,"CANT",[2]Tablas!$A11),0)</f>
        <v>0</v>
      </c>
      <c r="AB41" s="15">
        <f ca="1">IFERROR(GETPIVOTDATA("Cuenta de CANT",Tabla9,"PROV",[2]Tablas!$A$49,"SEFIS",AB$52,"CANT",[2]Tablas!$A11),0)</f>
        <v>0</v>
      </c>
      <c r="AC41" s="15">
        <f ca="1">IFERROR(GETPIVOTDATA("Cuenta de CANT",Tabla9,"PROV",[2]Tablas!$A$49,"SEFIS",AC$52,"CANT",[2]Tablas!$A11),0)</f>
        <v>0</v>
      </c>
      <c r="AD41" s="15">
        <f ca="1">IFERROR(GETPIVOTDATA("Cuenta de CANT",Tabla9,"PROV",[2]Tablas!$A$49,"SEFIS",AD$52,"CANT",[2]Tablas!$A11),0)</f>
        <v>1</v>
      </c>
      <c r="AE41" s="15">
        <f ca="1">IFERROR(GETPIVOTDATA("Cuenta de CANT",Tabla9,"PROV",[2]Tablas!$A$49,"SEFIS",AE$52,"CANT",[2]Tablas!$A11),0)</f>
        <v>0</v>
      </c>
      <c r="AF41" s="15">
        <f ca="1">IFERROR(GETPIVOTDATA("Cuenta de CANT",Tabla9,"PROV",[2]Tablas!$A$49,"SEFIS",AF$52,"CANT",[2]Tablas!$A11),0)</f>
        <v>0</v>
      </c>
      <c r="AG41" s="15">
        <f ca="1">IFERROR(GETPIVOTDATA("Cuenta de CANT",Tabla9,"PROV",[2]Tablas!$A$49,"SEFIS",AG$52,"CANT",[2]Tablas!$A11),0)</f>
        <v>0</v>
      </c>
      <c r="AH41" s="15">
        <f ca="1">IFERROR(GETPIVOTDATA("Cuenta de CANT",Tabla9,"PROV",[2]Tablas!$A$49,"SEFIS",AH$52,"CANT",[2]Tablas!$A11),0)</f>
        <v>0</v>
      </c>
      <c r="AI41" s="15">
        <f ca="1">IFERROR(GETPIVOTDATA("Cuenta de CANT",Tabla9,"PROV",[2]Tablas!$A$49,"SEFIS",AI$52,"CANT",[2]Tablas!$A11),0)</f>
        <v>0</v>
      </c>
      <c r="AJ41" s="15">
        <f ca="1">IFERROR(GETPIVOTDATA("Cuenta de CANT",Tabla9,"PROV",[2]Tablas!$A$49,"SEFIS",AJ$52,"CANT",[2]Tablas!$A11),0)</f>
        <v>0</v>
      </c>
      <c r="AK41" s="15">
        <f ca="1">IFERROR(GETPIVOTDATA("Cuenta de CANT",Tabla9,"PROV",[2]Tablas!$A$49,"SEFIS",AK$52,"CANT",[2]Tablas!$A11),0)</f>
        <v>0</v>
      </c>
      <c r="AL41" s="15">
        <f ca="1">IFERROR(GETPIVOTDATA("Cuenta de CANT",Tabla9,"PROV",[2]Tablas!$A$49,"SEFIS",AL$52,"CANT",[2]Tablas!$A11),0)</f>
        <v>0</v>
      </c>
      <c r="AM41" s="15">
        <f ca="1">IFERROR(GETPIVOTDATA("Cuenta de CANT",Tabla9,"PROV",[2]Tablas!$A$49,"SEFIS",AM$52,"CANT",[2]Tablas!$A11),0)</f>
        <v>0</v>
      </c>
      <c r="AN41" s="15">
        <f ca="1">IFERROR(GETPIVOTDATA("Cuenta de CANT",Tabla9,"PROV",[2]Tablas!$A$49,"SEFIS",AN$52,"CANT",[2]Tablas!$A11),0)</f>
        <v>0</v>
      </c>
      <c r="AO41" s="15">
        <f ca="1">IFERROR(GETPIVOTDATA("Cuenta de CANT",Tabla9,"PROV",[2]Tablas!$A$49,"SEFIS",AO$52,"CANT",[2]Tablas!$A11),0)</f>
        <v>1</v>
      </c>
      <c r="AP41" s="15">
        <f ca="1">IFERROR(GETPIVOTDATA("Cuenta de CANT",Tabla9,"PROV",[2]Tablas!$A$49,"SEFIS",AP$52,"CANT",[2]Tablas!$A11),0)</f>
        <v>0</v>
      </c>
      <c r="AQ41" s="15">
        <f ca="1">IFERROR(GETPIVOTDATA("Cuenta de CANT",Tabla9,"PROV",[2]Tablas!$A$49,"SEFIS",AQ$52,"CANT",[2]Tablas!$A11),0)</f>
        <v>0</v>
      </c>
      <c r="AR41" s="15">
        <f ca="1">IFERROR(GETPIVOTDATA("Cuenta de CANT",Tabla9,"PROV",[2]Tablas!$A$49,"SEFIS",AR$52,"CANT",[2]Tablas!$A11),0)</f>
        <v>0</v>
      </c>
      <c r="AS41" s="15">
        <f ca="1">IFERROR(GETPIVOTDATA("Cuenta de CANT",Tabla9,"PROV",[2]Tablas!$A$49,"SEFIS",AS$52,"CANT",[2]Tablas!$A11),0)</f>
        <v>0</v>
      </c>
      <c r="AT41" s="15">
        <f ca="1">IFERROR(GETPIVOTDATA("Cuenta de CANT",Tabla9,"PROV",[2]Tablas!$A$49,"SEFIS",AT$52,"CANT",[2]Tablas!$A11),0)</f>
        <v>0</v>
      </c>
      <c r="AU41" s="15">
        <f ca="1">IFERROR(GETPIVOTDATA("Cuenta de CANT",Tabla9,"PROV",[2]Tablas!$A$49,"SEFIS",AU$52,"CANT",[2]Tablas!$A11),0)</f>
        <v>0</v>
      </c>
      <c r="AV41" s="15">
        <f ca="1">IFERROR(GETPIVOTDATA("Cuenta de CANT",Tabla9,"PROV",[2]Tablas!$A$49,"SEFIS",AV$52,"CANT",[2]Tablas!$A11),0)</f>
        <v>1</v>
      </c>
      <c r="AW41" s="15">
        <f ca="1">IFERROR(GETPIVOTDATA("Cuenta de CANT",Tabla9,"PROV",[2]Tablas!$A$49,"SEFIS",AW$52,"CANT",[2]Tablas!$A11),0)</f>
        <v>0</v>
      </c>
      <c r="AX41" s="15">
        <f ca="1">IFERROR(GETPIVOTDATA("Cuenta de CANT",Tabla9,"PROV",[2]Tablas!$A$49,"SEFIS",AX$52,"CANT",[2]Tablas!$A11),0)</f>
        <v>1</v>
      </c>
      <c r="AY41" s="15">
        <f ca="1">IFERROR(GETPIVOTDATA("Cuenta de CANT",Tabla9,"PROV",[2]Tablas!$A$49,"SEFIS",AY$52,"CANT",[2]Tablas!$A11),0)</f>
        <v>0</v>
      </c>
      <c r="AZ41" s="15">
        <f ca="1">IFERROR(GETPIVOTDATA("Cuenta de CANT",Tabla9,"PROV",[2]Tablas!$A$49,"SEFIS",AZ$52,"CANT",[2]Tablas!$A11),0)</f>
        <v>0</v>
      </c>
      <c r="BA41" s="15">
        <f ca="1">IFERROR(GETPIVOTDATA("Cuenta de CANT",Tabla9,"PROV",[2]Tablas!$A$49,"SEFIS",BA$52,"CANT",[2]Tablas!$A11),0)</f>
        <v>0</v>
      </c>
      <c r="BB41" s="15">
        <f ca="1">IFERROR(GETPIVOTDATA("Cuenta de CANT",Tabla9,"PROV",[2]Tablas!$A$49,"SEFIS",BB$52,"CANT",[2]Tablas!$A11),0)</f>
        <v>0</v>
      </c>
      <c r="BC41" s="15">
        <f ca="1">IFERROR(GETPIVOTDATA("Cuenta de CANT",Tabla9,"PROV",[2]Tablas!$A$49,"SEFIS",BC$52,"CANT",[2]Tablas!$A11),0)</f>
        <v>1</v>
      </c>
      <c r="BD41" s="15">
        <f ca="1">IFERROR(GETPIVOTDATA("Cuenta de CANT",Tabla9,"PROV",[2]Tablas!$A$49,"SEFIS",BD$52,"CANT",[2]Tablas!$A11),0)</f>
        <v>0</v>
      </c>
    </row>
    <row r="42" spans="1:56" x14ac:dyDescent="0.35">
      <c r="A42" s="14" t="s">
        <v>139</v>
      </c>
      <c r="B42" s="15">
        <f t="shared" ca="1" si="4"/>
        <v>13</v>
      </c>
      <c r="C42" s="16">
        <f ca="1">IFERROR(B42/[2]Tablas!$B12*100000,"N/D")</f>
        <v>36.506599269868012</v>
      </c>
      <c r="D42" s="15">
        <f ca="1">IFERROR(GETPIVOTDATA("Cuenta de CANT",Tabla9,"PROV",[2]Tablas!$A$49,"SEFIS",D$52,"CANT",[2]Tablas!$A12),0)</f>
        <v>0</v>
      </c>
      <c r="E42" s="15">
        <f ca="1">IFERROR(GETPIVOTDATA("Cuenta de CANT",Tabla9,"PROV",[2]Tablas!$A$49,"SEFIS",E$52,"CANT",[2]Tablas!$A12),0)</f>
        <v>0</v>
      </c>
      <c r="F42" s="15">
        <f ca="1">IFERROR(GETPIVOTDATA("Cuenta de CANT",Tabla9,"PROV",[2]Tablas!$A$49,"SEFIS",F$52,"CANT",[2]Tablas!$A12),0)</f>
        <v>0</v>
      </c>
      <c r="G42" s="15">
        <f ca="1">IFERROR(GETPIVOTDATA("Cuenta de CANT",Tabla9,"PROV",[2]Tablas!$A$49,"SEFIS",G$52,"CANT",[2]Tablas!$A12),0)</f>
        <v>1</v>
      </c>
      <c r="H42" s="15">
        <f ca="1">IFERROR(GETPIVOTDATA("Cuenta de CANT",Tabla9,"PROV",[2]Tablas!$A$49,"SEFIS",H$52,"CANT",[2]Tablas!$A12),0)</f>
        <v>1</v>
      </c>
      <c r="I42" s="15">
        <f ca="1">IFERROR(GETPIVOTDATA("Cuenta de CANT",Tabla9,"PROV",[2]Tablas!$A$49,"SEFIS",I$52,"CANT",[2]Tablas!$A12),0)</f>
        <v>0</v>
      </c>
      <c r="J42" s="15">
        <f ca="1">IFERROR(GETPIVOTDATA("Cuenta de CANT",Tabla9,"PROV",[2]Tablas!$A$49,"SEFIS",J$52,"CANT",[2]Tablas!$A12),0)</f>
        <v>0</v>
      </c>
      <c r="K42" s="15">
        <f ca="1">IFERROR(GETPIVOTDATA("Cuenta de CANT",Tabla9,"PROV",[2]Tablas!$A$49,"SEFIS",K$52,"CANT",[2]Tablas!$A12),0)</f>
        <v>0</v>
      </c>
      <c r="L42" s="15">
        <f ca="1">IFERROR(GETPIVOTDATA("Cuenta de CANT",Tabla9,"PROV",[2]Tablas!$A$49,"SEFIS",L$52,"CANT",[2]Tablas!$A12),0)</f>
        <v>1</v>
      </c>
      <c r="M42" s="15">
        <f ca="1">IFERROR(GETPIVOTDATA("Cuenta de CANT",Tabla9,"PROV",[2]Tablas!$A$49,"SEFIS",M$52,"CANT",[2]Tablas!$A12),0)</f>
        <v>0</v>
      </c>
      <c r="N42" s="15">
        <f ca="1">IFERROR(GETPIVOTDATA("Cuenta de CANT",Tabla9,"PROV",[2]Tablas!$A$49,"SEFIS",N$52,"CANT",[2]Tablas!$A12),0)</f>
        <v>0</v>
      </c>
      <c r="O42" s="15">
        <f ca="1">IFERROR(GETPIVOTDATA("Cuenta de CANT",Tabla9,"PROV",[2]Tablas!$A$49,"SEFIS",O$52,"CANT",[2]Tablas!$A12),0)</f>
        <v>0</v>
      </c>
      <c r="P42" s="15">
        <f ca="1">IFERROR(GETPIVOTDATA("Cuenta de CANT",Tabla9,"PROV",[2]Tablas!$A$49,"SEFIS",P$52,"CANT",[2]Tablas!$A12),0)</f>
        <v>0</v>
      </c>
      <c r="Q42" s="15">
        <f ca="1">IFERROR(GETPIVOTDATA("Cuenta de CANT",Tabla9,"PROV",[2]Tablas!$A$49,"SEFIS",Q$52,"CANT",[2]Tablas!$A12),0)</f>
        <v>1</v>
      </c>
      <c r="R42" s="15">
        <f ca="1">IFERROR(GETPIVOTDATA("Cuenta de CANT",Tabla9,"PROV",[2]Tablas!$A$49,"SEFIS",R$52,"CANT",[2]Tablas!$A12),0)</f>
        <v>0</v>
      </c>
      <c r="S42" s="15">
        <f ca="1">IFERROR(GETPIVOTDATA("Cuenta de CANT",Tabla9,"PROV",[2]Tablas!$A$49,"SEFIS",S$52,"CANT",[2]Tablas!$A12),0)</f>
        <v>0</v>
      </c>
      <c r="T42" s="15">
        <f ca="1">IFERROR(GETPIVOTDATA("Cuenta de CANT",Tabla9,"PROV",[2]Tablas!$A$49,"SEFIS",T$52,"CANT",[2]Tablas!$A12),0)</f>
        <v>0</v>
      </c>
      <c r="U42" s="15">
        <f ca="1">IFERROR(GETPIVOTDATA("Cuenta de CANT",Tabla9,"PROV",[2]Tablas!$A$49,"SEFIS",U$52,"CANT",[2]Tablas!$A12),0)</f>
        <v>1</v>
      </c>
      <c r="V42" s="15">
        <f ca="1">IFERROR(GETPIVOTDATA("Cuenta de CANT",Tabla9,"PROV",[2]Tablas!$A$49,"SEFIS",V$52,"CANT",[2]Tablas!$A12),0)</f>
        <v>0</v>
      </c>
      <c r="W42" s="15">
        <f ca="1">IFERROR(GETPIVOTDATA("Cuenta de CANT",Tabla9,"PROV",[2]Tablas!$A$49,"SEFIS",W$52,"CANT",[2]Tablas!$A12),0)</f>
        <v>1</v>
      </c>
      <c r="X42" s="15">
        <f ca="1">IFERROR(GETPIVOTDATA("Cuenta de CANT",Tabla9,"PROV",[2]Tablas!$A$49,"SEFIS",X$52,"CANT",[2]Tablas!$A12),0)</f>
        <v>0</v>
      </c>
      <c r="Y42" s="15">
        <f ca="1">IFERROR(GETPIVOTDATA("Cuenta de CANT",Tabla9,"PROV",[2]Tablas!$A$49,"SEFIS",Y$52,"CANT",[2]Tablas!$A12),0)</f>
        <v>0</v>
      </c>
      <c r="Z42" s="15">
        <f ca="1">IFERROR(GETPIVOTDATA("Cuenta de CANT",Tabla9,"PROV",[2]Tablas!$A$49,"SEFIS",Z$52,"CANT",[2]Tablas!$A12),0)</f>
        <v>0</v>
      </c>
      <c r="AA42" s="15">
        <f ca="1">IFERROR(GETPIVOTDATA("Cuenta de CANT",Tabla9,"PROV",[2]Tablas!$A$49,"SEFIS",AA$52,"CANT",[2]Tablas!$A12),0)</f>
        <v>0</v>
      </c>
      <c r="AB42" s="15">
        <f ca="1">IFERROR(GETPIVOTDATA("Cuenta de CANT",Tabla9,"PROV",[2]Tablas!$A$49,"SEFIS",AB$52,"CANT",[2]Tablas!$A12),0)</f>
        <v>0</v>
      </c>
      <c r="AC42" s="15">
        <f ca="1">IFERROR(GETPIVOTDATA("Cuenta de CANT",Tabla9,"PROV",[2]Tablas!$A$49,"SEFIS",AC$52,"CANT",[2]Tablas!$A12),0)</f>
        <v>0</v>
      </c>
      <c r="AD42" s="15">
        <f ca="1">IFERROR(GETPIVOTDATA("Cuenta de CANT",Tabla9,"PROV",[2]Tablas!$A$49,"SEFIS",AD$52,"CANT",[2]Tablas!$A12),0)</f>
        <v>0</v>
      </c>
      <c r="AE42" s="15">
        <f ca="1">IFERROR(GETPIVOTDATA("Cuenta de CANT",Tabla9,"PROV",[2]Tablas!$A$49,"SEFIS",AE$52,"CANT",[2]Tablas!$A12),0)</f>
        <v>0</v>
      </c>
      <c r="AF42" s="15">
        <f ca="1">IFERROR(GETPIVOTDATA("Cuenta de CANT",Tabla9,"PROV",[2]Tablas!$A$49,"SEFIS",AF$52,"CANT",[2]Tablas!$A12),0)</f>
        <v>0</v>
      </c>
      <c r="AG42" s="15">
        <f ca="1">IFERROR(GETPIVOTDATA("Cuenta de CANT",Tabla9,"PROV",[2]Tablas!$A$49,"SEFIS",AG$52,"CANT",[2]Tablas!$A12),0)</f>
        <v>0</v>
      </c>
      <c r="AH42" s="15">
        <f ca="1">IFERROR(GETPIVOTDATA("Cuenta de CANT",Tabla9,"PROV",[2]Tablas!$A$49,"SEFIS",AH$52,"CANT",[2]Tablas!$A12),0)</f>
        <v>0</v>
      </c>
      <c r="AI42" s="15">
        <f ca="1">IFERROR(GETPIVOTDATA("Cuenta de CANT",Tabla9,"PROV",[2]Tablas!$A$49,"SEFIS",AI$52,"CANT",[2]Tablas!$A12),0)</f>
        <v>0</v>
      </c>
      <c r="AJ42" s="15">
        <f ca="1">IFERROR(GETPIVOTDATA("Cuenta de CANT",Tabla9,"PROV",[2]Tablas!$A$49,"SEFIS",AJ$52,"CANT",[2]Tablas!$A12),0)</f>
        <v>1</v>
      </c>
      <c r="AK42" s="15">
        <f ca="1">IFERROR(GETPIVOTDATA("Cuenta de CANT",Tabla9,"PROV",[2]Tablas!$A$49,"SEFIS",AK$52,"CANT",[2]Tablas!$A12),0)</f>
        <v>0</v>
      </c>
      <c r="AL42" s="15">
        <f ca="1">IFERROR(GETPIVOTDATA("Cuenta de CANT",Tabla9,"PROV",[2]Tablas!$A$49,"SEFIS",AL$52,"CANT",[2]Tablas!$A12),0)</f>
        <v>3</v>
      </c>
      <c r="AM42" s="15">
        <f ca="1">IFERROR(GETPIVOTDATA("Cuenta de CANT",Tabla9,"PROV",[2]Tablas!$A$49,"SEFIS",AM$52,"CANT",[2]Tablas!$A12),0)</f>
        <v>1</v>
      </c>
      <c r="AN42" s="15">
        <f ca="1">IFERROR(GETPIVOTDATA("Cuenta de CANT",Tabla9,"PROV",[2]Tablas!$A$49,"SEFIS",AN$52,"CANT",[2]Tablas!$A12),0)</f>
        <v>0</v>
      </c>
      <c r="AO42" s="15">
        <f ca="1">IFERROR(GETPIVOTDATA("Cuenta de CANT",Tabla9,"PROV",[2]Tablas!$A$49,"SEFIS",AO$52,"CANT",[2]Tablas!$A12),0)</f>
        <v>1</v>
      </c>
      <c r="AP42" s="15">
        <f ca="1">IFERROR(GETPIVOTDATA("Cuenta de CANT",Tabla9,"PROV",[2]Tablas!$A$49,"SEFIS",AP$52,"CANT",[2]Tablas!$A12),0)</f>
        <v>0</v>
      </c>
      <c r="AQ42" s="15">
        <f ca="1">IFERROR(GETPIVOTDATA("Cuenta de CANT",Tabla9,"PROV",[2]Tablas!$A$49,"SEFIS",AQ$52,"CANT",[2]Tablas!$A12),0)</f>
        <v>0</v>
      </c>
      <c r="AR42" s="15">
        <f ca="1">IFERROR(GETPIVOTDATA("Cuenta de CANT",Tabla9,"PROV",[2]Tablas!$A$49,"SEFIS",AR$52,"CANT",[2]Tablas!$A12),0)</f>
        <v>0</v>
      </c>
      <c r="AS42" s="15">
        <f ca="1">IFERROR(GETPIVOTDATA("Cuenta de CANT",Tabla9,"PROV",[2]Tablas!$A$49,"SEFIS",AS$52,"CANT",[2]Tablas!$A12),0)</f>
        <v>1</v>
      </c>
      <c r="AT42" s="15">
        <f ca="1">IFERROR(GETPIVOTDATA("Cuenta de CANT",Tabla9,"PROV",[2]Tablas!$A$49,"SEFIS",AT$52,"CANT",[2]Tablas!$A12),0)</f>
        <v>0</v>
      </c>
      <c r="AU42" s="15">
        <f ca="1">IFERROR(GETPIVOTDATA("Cuenta de CANT",Tabla9,"PROV",[2]Tablas!$A$49,"SEFIS",AU$52,"CANT",[2]Tablas!$A12),0)</f>
        <v>0</v>
      </c>
      <c r="AV42" s="15">
        <f ca="1">IFERROR(GETPIVOTDATA("Cuenta de CANT",Tabla9,"PROV",[2]Tablas!$A$49,"SEFIS",AV$52,"CANT",[2]Tablas!$A12),0)</f>
        <v>0</v>
      </c>
      <c r="AW42" s="15">
        <f ca="1">IFERROR(GETPIVOTDATA("Cuenta de CANT",Tabla9,"PROV",[2]Tablas!$A$49,"SEFIS",AW$52,"CANT",[2]Tablas!$A12),0)</f>
        <v>0</v>
      </c>
      <c r="AX42" s="15">
        <f ca="1">IFERROR(GETPIVOTDATA("Cuenta de CANT",Tabla9,"PROV",[2]Tablas!$A$49,"SEFIS",AX$52,"CANT",[2]Tablas!$A12),0)</f>
        <v>0</v>
      </c>
      <c r="AY42" s="15">
        <f ca="1">IFERROR(GETPIVOTDATA("Cuenta de CANT",Tabla9,"PROV",[2]Tablas!$A$49,"SEFIS",AY$52,"CANT",[2]Tablas!$A12),0)</f>
        <v>0</v>
      </c>
      <c r="AZ42" s="15">
        <f ca="1">IFERROR(GETPIVOTDATA("Cuenta de CANT",Tabla9,"PROV",[2]Tablas!$A$49,"SEFIS",AZ$52,"CANT",[2]Tablas!$A12),0)</f>
        <v>0</v>
      </c>
      <c r="BA42" s="15">
        <f ca="1">IFERROR(GETPIVOTDATA("Cuenta de CANT",Tabla9,"PROV",[2]Tablas!$A$49,"SEFIS",BA$52,"CANT",[2]Tablas!$A12),0)</f>
        <v>0</v>
      </c>
      <c r="BB42" s="15">
        <f ca="1">IFERROR(GETPIVOTDATA("Cuenta de CANT",Tabla9,"PROV",[2]Tablas!$A$49,"SEFIS",BB$52,"CANT",[2]Tablas!$A12),0)</f>
        <v>0</v>
      </c>
      <c r="BC42" s="15">
        <f ca="1">IFERROR(GETPIVOTDATA("Cuenta de CANT",Tabla9,"PROV",[2]Tablas!$A$49,"SEFIS",BC$52,"CANT",[2]Tablas!$A12),0)</f>
        <v>0</v>
      </c>
      <c r="BD42" s="15">
        <f ca="1">IFERROR(GETPIVOTDATA("Cuenta de CANT",Tabla9,"PROV",[2]Tablas!$A$49,"SEFIS",BD$52,"CANT",[2]Tablas!$A12),0)</f>
        <v>0</v>
      </c>
    </row>
    <row r="43" spans="1:56" x14ac:dyDescent="0.35">
      <c r="A43" s="14" t="s">
        <v>140</v>
      </c>
      <c r="B43" s="15">
        <f t="shared" ca="1" si="4"/>
        <v>26</v>
      </c>
      <c r="C43" s="16">
        <f ca="1">IFERROR(B43/[2]Tablas!$B13*100000,"N/D")</f>
        <v>103.11322625421377</v>
      </c>
      <c r="D43" s="15">
        <f ca="1">IFERROR(GETPIVOTDATA("Cuenta de CANT",Tabla9,"PROV",[2]Tablas!$A$49,"SEFIS",D$52,"CANT",[2]Tablas!$A13),0)</f>
        <v>0</v>
      </c>
      <c r="E43" s="15">
        <f ca="1">IFERROR(GETPIVOTDATA("Cuenta de CANT",Tabla9,"PROV",[2]Tablas!$A$49,"SEFIS",E$52,"CANT",[2]Tablas!$A13),0)</f>
        <v>0</v>
      </c>
      <c r="F43" s="15">
        <f ca="1">IFERROR(GETPIVOTDATA("Cuenta de CANT",Tabla9,"PROV",[2]Tablas!$A$49,"SEFIS",F$52,"CANT",[2]Tablas!$A13),0)</f>
        <v>0</v>
      </c>
      <c r="G43" s="15">
        <f ca="1">IFERROR(GETPIVOTDATA("Cuenta de CANT",Tabla9,"PROV",[2]Tablas!$A$49,"SEFIS",G$52,"CANT",[2]Tablas!$A13),0)</f>
        <v>2</v>
      </c>
      <c r="H43" s="15">
        <f ca="1">IFERROR(GETPIVOTDATA("Cuenta de CANT",Tabla9,"PROV",[2]Tablas!$A$49,"SEFIS",H$52,"CANT",[2]Tablas!$A13),0)</f>
        <v>1</v>
      </c>
      <c r="I43" s="15">
        <f ca="1">IFERROR(GETPIVOTDATA("Cuenta de CANT",Tabla9,"PROV",[2]Tablas!$A$49,"SEFIS",I$52,"CANT",[2]Tablas!$A13),0)</f>
        <v>0</v>
      </c>
      <c r="J43" s="15">
        <f ca="1">IFERROR(GETPIVOTDATA("Cuenta de CANT",Tabla9,"PROV",[2]Tablas!$A$49,"SEFIS",J$52,"CANT",[2]Tablas!$A13),0)</f>
        <v>0</v>
      </c>
      <c r="K43" s="15">
        <f ca="1">IFERROR(GETPIVOTDATA("Cuenta de CANT",Tabla9,"PROV",[2]Tablas!$A$49,"SEFIS",K$52,"CANT",[2]Tablas!$A13),0)</f>
        <v>0</v>
      </c>
      <c r="L43" s="15">
        <f ca="1">IFERROR(GETPIVOTDATA("Cuenta de CANT",Tabla9,"PROV",[2]Tablas!$A$49,"SEFIS",L$52,"CANT",[2]Tablas!$A13),0)</f>
        <v>0</v>
      </c>
      <c r="M43" s="15">
        <f ca="1">IFERROR(GETPIVOTDATA("Cuenta de CANT",Tabla9,"PROV",[2]Tablas!$A$49,"SEFIS",M$52,"CANT",[2]Tablas!$A13),0)</f>
        <v>0</v>
      </c>
      <c r="N43" s="15">
        <f ca="1">IFERROR(GETPIVOTDATA("Cuenta de CANT",Tabla9,"PROV",[2]Tablas!$A$49,"SEFIS",N$52,"CANT",[2]Tablas!$A13),0)</f>
        <v>0</v>
      </c>
      <c r="O43" s="15">
        <f ca="1">IFERROR(GETPIVOTDATA("Cuenta de CANT",Tabla9,"PROV",[2]Tablas!$A$49,"SEFIS",O$52,"CANT",[2]Tablas!$A13),0)</f>
        <v>1</v>
      </c>
      <c r="P43" s="15">
        <f ca="1">IFERROR(GETPIVOTDATA("Cuenta de CANT",Tabla9,"PROV",[2]Tablas!$A$49,"SEFIS",P$52,"CANT",[2]Tablas!$A13),0)</f>
        <v>1</v>
      </c>
      <c r="Q43" s="15">
        <f ca="1">IFERROR(GETPIVOTDATA("Cuenta de CANT",Tabla9,"PROV",[2]Tablas!$A$49,"SEFIS",Q$52,"CANT",[2]Tablas!$A13),0)</f>
        <v>0</v>
      </c>
      <c r="R43" s="15">
        <f ca="1">IFERROR(GETPIVOTDATA("Cuenta de CANT",Tabla9,"PROV",[2]Tablas!$A$49,"SEFIS",R$52,"CANT",[2]Tablas!$A13),0)</f>
        <v>0</v>
      </c>
      <c r="S43" s="15">
        <f ca="1">IFERROR(GETPIVOTDATA("Cuenta de CANT",Tabla9,"PROV",[2]Tablas!$A$49,"SEFIS",S$52,"CANT",[2]Tablas!$A13),0)</f>
        <v>0</v>
      </c>
      <c r="T43" s="15">
        <f ca="1">IFERROR(GETPIVOTDATA("Cuenta de CANT",Tabla9,"PROV",[2]Tablas!$A$49,"SEFIS",T$52,"CANT",[2]Tablas!$A13),0)</f>
        <v>0</v>
      </c>
      <c r="U43" s="15">
        <f ca="1">IFERROR(GETPIVOTDATA("Cuenta de CANT",Tabla9,"PROV",[2]Tablas!$A$49,"SEFIS",U$52,"CANT",[2]Tablas!$A13),0)</f>
        <v>0</v>
      </c>
      <c r="V43" s="15">
        <f ca="1">IFERROR(GETPIVOTDATA("Cuenta de CANT",Tabla9,"PROV",[2]Tablas!$A$49,"SEFIS",V$52,"CANT",[2]Tablas!$A13),0)</f>
        <v>0</v>
      </c>
      <c r="W43" s="15">
        <f ca="1">IFERROR(GETPIVOTDATA("Cuenta de CANT",Tabla9,"PROV",[2]Tablas!$A$49,"SEFIS",W$52,"CANT",[2]Tablas!$A13),0)</f>
        <v>1</v>
      </c>
      <c r="X43" s="15">
        <f ca="1">IFERROR(GETPIVOTDATA("Cuenta de CANT",Tabla9,"PROV",[2]Tablas!$A$49,"SEFIS",X$52,"CANT",[2]Tablas!$A13),0)</f>
        <v>0</v>
      </c>
      <c r="Y43" s="15">
        <f ca="1">IFERROR(GETPIVOTDATA("Cuenta de CANT",Tabla9,"PROV",[2]Tablas!$A$49,"SEFIS",Y$52,"CANT",[2]Tablas!$A13),0)</f>
        <v>1</v>
      </c>
      <c r="Z43" s="15">
        <f ca="1">IFERROR(GETPIVOTDATA("Cuenta de CANT",Tabla9,"PROV",[2]Tablas!$A$49,"SEFIS",Z$52,"CANT",[2]Tablas!$A13),0)</f>
        <v>0</v>
      </c>
      <c r="AA43" s="15">
        <f ca="1">IFERROR(GETPIVOTDATA("Cuenta de CANT",Tabla9,"PROV",[2]Tablas!$A$49,"SEFIS",AA$52,"CANT",[2]Tablas!$A13),0)</f>
        <v>0</v>
      </c>
      <c r="AB43" s="15">
        <f ca="1">IFERROR(GETPIVOTDATA("Cuenta de CANT",Tabla9,"PROV",[2]Tablas!$A$49,"SEFIS",AB$52,"CANT",[2]Tablas!$A13),0)</f>
        <v>0</v>
      </c>
      <c r="AC43" s="15">
        <f ca="1">IFERROR(GETPIVOTDATA("Cuenta de CANT",Tabla9,"PROV",[2]Tablas!$A$49,"SEFIS",AC$52,"CANT",[2]Tablas!$A13),0)</f>
        <v>0</v>
      </c>
      <c r="AD43" s="15">
        <f ca="1">IFERROR(GETPIVOTDATA("Cuenta de CANT",Tabla9,"PROV",[2]Tablas!$A$49,"SEFIS",AD$52,"CANT",[2]Tablas!$A13),0)</f>
        <v>1</v>
      </c>
      <c r="AE43" s="15">
        <f ca="1">IFERROR(GETPIVOTDATA("Cuenta de CANT",Tabla9,"PROV",[2]Tablas!$A$49,"SEFIS",AE$52,"CANT",[2]Tablas!$A13),0)</f>
        <v>1</v>
      </c>
      <c r="AF43" s="15">
        <f ca="1">IFERROR(GETPIVOTDATA("Cuenta de CANT",Tabla9,"PROV",[2]Tablas!$A$49,"SEFIS",AF$52,"CANT",[2]Tablas!$A13),0)</f>
        <v>0</v>
      </c>
      <c r="AG43" s="15">
        <f ca="1">IFERROR(GETPIVOTDATA("Cuenta de CANT",Tabla9,"PROV",[2]Tablas!$A$49,"SEFIS",AG$52,"CANT",[2]Tablas!$A13),0)</f>
        <v>0</v>
      </c>
      <c r="AH43" s="15">
        <f ca="1">IFERROR(GETPIVOTDATA("Cuenta de CANT",Tabla9,"PROV",[2]Tablas!$A$49,"SEFIS",AH$52,"CANT",[2]Tablas!$A13),0)</f>
        <v>0</v>
      </c>
      <c r="AI43" s="15">
        <f ca="1">IFERROR(GETPIVOTDATA("Cuenta de CANT",Tabla9,"PROV",[2]Tablas!$A$49,"SEFIS",AI$52,"CANT",[2]Tablas!$A13),0)</f>
        <v>0</v>
      </c>
      <c r="AJ43" s="15">
        <f ca="1">IFERROR(GETPIVOTDATA("Cuenta de CANT",Tabla9,"PROV",[2]Tablas!$A$49,"SEFIS",AJ$52,"CANT",[2]Tablas!$A13),0)</f>
        <v>1</v>
      </c>
      <c r="AK43" s="15">
        <f ca="1">IFERROR(GETPIVOTDATA("Cuenta de CANT",Tabla9,"PROV",[2]Tablas!$A$49,"SEFIS",AK$52,"CANT",[2]Tablas!$A13),0)</f>
        <v>1</v>
      </c>
      <c r="AL43" s="15">
        <f ca="1">IFERROR(GETPIVOTDATA("Cuenta de CANT",Tabla9,"PROV",[2]Tablas!$A$49,"SEFIS",AL$52,"CANT",[2]Tablas!$A13),0)</f>
        <v>0</v>
      </c>
      <c r="AM43" s="15">
        <f ca="1">IFERROR(GETPIVOTDATA("Cuenta de CANT",Tabla9,"PROV",[2]Tablas!$A$49,"SEFIS",AM$52,"CANT",[2]Tablas!$A13),0)</f>
        <v>1</v>
      </c>
      <c r="AN43" s="15">
        <f ca="1">IFERROR(GETPIVOTDATA("Cuenta de CANT",Tabla9,"PROV",[2]Tablas!$A$49,"SEFIS",AN$52,"CANT",[2]Tablas!$A13),0)</f>
        <v>0</v>
      </c>
      <c r="AO43" s="15">
        <f ca="1">IFERROR(GETPIVOTDATA("Cuenta de CANT",Tabla9,"PROV",[2]Tablas!$A$49,"SEFIS",AO$52,"CANT",[2]Tablas!$A13),0)</f>
        <v>1</v>
      </c>
      <c r="AP43" s="15">
        <f ca="1">IFERROR(GETPIVOTDATA("Cuenta de CANT",Tabla9,"PROV",[2]Tablas!$A$49,"SEFIS",AP$52,"CANT",[2]Tablas!$A13),0)</f>
        <v>0</v>
      </c>
      <c r="AQ43" s="15">
        <f ca="1">IFERROR(GETPIVOTDATA("Cuenta de CANT",Tabla9,"PROV",[2]Tablas!$A$49,"SEFIS",AQ$52,"CANT",[2]Tablas!$A13),0)</f>
        <v>0</v>
      </c>
      <c r="AR43" s="15">
        <f ca="1">IFERROR(GETPIVOTDATA("Cuenta de CANT",Tabla9,"PROV",[2]Tablas!$A$49,"SEFIS",AR$52,"CANT",[2]Tablas!$A13),0)</f>
        <v>0</v>
      </c>
      <c r="AS43" s="15">
        <f ca="1">IFERROR(GETPIVOTDATA("Cuenta de CANT",Tabla9,"PROV",[2]Tablas!$A$49,"SEFIS",AS$52,"CANT",[2]Tablas!$A13),0)</f>
        <v>0</v>
      </c>
      <c r="AT43" s="15">
        <f ca="1">IFERROR(GETPIVOTDATA("Cuenta de CANT",Tabla9,"PROV",[2]Tablas!$A$49,"SEFIS",AT$52,"CANT",[2]Tablas!$A13),0)</f>
        <v>0</v>
      </c>
      <c r="AU43" s="15">
        <f ca="1">IFERROR(GETPIVOTDATA("Cuenta de CANT",Tabla9,"PROV",[2]Tablas!$A$49,"SEFIS",AU$52,"CANT",[2]Tablas!$A13),0)</f>
        <v>0</v>
      </c>
      <c r="AV43" s="15">
        <f ca="1">IFERROR(GETPIVOTDATA("Cuenta de CANT",Tabla9,"PROV",[2]Tablas!$A$49,"SEFIS",AV$52,"CANT",[2]Tablas!$A13),0)</f>
        <v>1</v>
      </c>
      <c r="AW43" s="15">
        <f ca="1">IFERROR(GETPIVOTDATA("Cuenta de CANT",Tabla9,"PROV",[2]Tablas!$A$49,"SEFIS",AW$52,"CANT",[2]Tablas!$A13),0)</f>
        <v>0</v>
      </c>
      <c r="AX43" s="15">
        <f ca="1">IFERROR(GETPIVOTDATA("Cuenta de CANT",Tabla9,"PROV",[2]Tablas!$A$49,"SEFIS",AX$52,"CANT",[2]Tablas!$A13),0)</f>
        <v>1</v>
      </c>
      <c r="AY43" s="15">
        <f ca="1">IFERROR(GETPIVOTDATA("Cuenta de CANT",Tabla9,"PROV",[2]Tablas!$A$49,"SEFIS",AY$52,"CANT",[2]Tablas!$A13),0)</f>
        <v>0</v>
      </c>
      <c r="AZ43" s="15">
        <f ca="1">IFERROR(GETPIVOTDATA("Cuenta de CANT",Tabla9,"PROV",[2]Tablas!$A$49,"SEFIS",AZ$52,"CANT",[2]Tablas!$A13),0)</f>
        <v>2</v>
      </c>
      <c r="BA43" s="15">
        <f ca="1">IFERROR(GETPIVOTDATA("Cuenta de CANT",Tabla9,"PROV",[2]Tablas!$A$49,"SEFIS",BA$52,"CANT",[2]Tablas!$A13),0)</f>
        <v>3</v>
      </c>
      <c r="BB43" s="15">
        <f ca="1">IFERROR(GETPIVOTDATA("Cuenta de CANT",Tabla9,"PROV",[2]Tablas!$A$49,"SEFIS",BB$52,"CANT",[2]Tablas!$A13),0)</f>
        <v>5</v>
      </c>
      <c r="BC43" s="15">
        <f ca="1">IFERROR(GETPIVOTDATA("Cuenta de CANT",Tabla9,"PROV",[2]Tablas!$A$49,"SEFIS",BC$52,"CANT",[2]Tablas!$A13),0)</f>
        <v>1</v>
      </c>
      <c r="BD43" s="15">
        <f ca="1">IFERROR(GETPIVOTDATA("Cuenta de CANT",Tabla9,"PROV",[2]Tablas!$A$49,"SEFIS",BD$52,"CANT",[2]Tablas!$A13),0)</f>
        <v>0</v>
      </c>
    </row>
    <row r="44" spans="1:56" x14ac:dyDescent="0.35">
      <c r="A44" s="14" t="s">
        <v>141</v>
      </c>
      <c r="B44" s="15">
        <f t="shared" ca="1" si="4"/>
        <v>110</v>
      </c>
      <c r="C44" s="16">
        <f ca="1">IFERROR(B44/[2]Tablas!$B14*100000,"N/D")</f>
        <v>51.951732117977663</v>
      </c>
      <c r="D44" s="15">
        <f ca="1">IFERROR(GETPIVOTDATA("Cuenta de CANT",Tabla9,"PROV",[2]Tablas!$A$49,"SEFIS",D$52,"CANT",[2]Tablas!$A14),0)</f>
        <v>1</v>
      </c>
      <c r="E44" s="15">
        <f ca="1">IFERROR(GETPIVOTDATA("Cuenta de CANT",Tabla9,"PROV",[2]Tablas!$A$49,"SEFIS",E$52,"CANT",[2]Tablas!$A14),0)</f>
        <v>3</v>
      </c>
      <c r="F44" s="15">
        <f ca="1">IFERROR(GETPIVOTDATA("Cuenta de CANT",Tabla9,"PROV",[2]Tablas!$A$49,"SEFIS",F$52,"CANT",[2]Tablas!$A14),0)</f>
        <v>2</v>
      </c>
      <c r="G44" s="15">
        <f ca="1">IFERROR(GETPIVOTDATA("Cuenta de CANT",Tabla9,"PROV",[2]Tablas!$A$49,"SEFIS",G$52,"CANT",[2]Tablas!$A14),0)</f>
        <v>1</v>
      </c>
      <c r="H44" s="15">
        <f ca="1">IFERROR(GETPIVOTDATA("Cuenta de CANT",Tabla9,"PROV",[2]Tablas!$A$49,"SEFIS",H$52,"CANT",[2]Tablas!$A14),0)</f>
        <v>0</v>
      </c>
      <c r="I44" s="15">
        <f ca="1">IFERROR(GETPIVOTDATA("Cuenta de CANT",Tabla9,"PROV",[2]Tablas!$A$49,"SEFIS",I$52,"CANT",[2]Tablas!$A14),0)</f>
        <v>0</v>
      </c>
      <c r="J44" s="15">
        <f ca="1">IFERROR(GETPIVOTDATA("Cuenta de CANT",Tabla9,"PROV",[2]Tablas!$A$49,"SEFIS",J$52,"CANT",[2]Tablas!$A14),0)</f>
        <v>2</v>
      </c>
      <c r="K44" s="15">
        <f ca="1">IFERROR(GETPIVOTDATA("Cuenta de CANT",Tabla9,"PROV",[2]Tablas!$A$49,"SEFIS",K$52,"CANT",[2]Tablas!$A14),0)</f>
        <v>4</v>
      </c>
      <c r="L44" s="15">
        <f ca="1">IFERROR(GETPIVOTDATA("Cuenta de CANT",Tabla9,"PROV",[2]Tablas!$A$49,"SEFIS",L$52,"CANT",[2]Tablas!$A14),0)</f>
        <v>1</v>
      </c>
      <c r="M44" s="15">
        <f ca="1">IFERROR(GETPIVOTDATA("Cuenta de CANT",Tabla9,"PROV",[2]Tablas!$A$49,"SEFIS",M$52,"CANT",[2]Tablas!$A14),0)</f>
        <v>1</v>
      </c>
      <c r="N44" s="15">
        <f ca="1">IFERROR(GETPIVOTDATA("Cuenta de CANT",Tabla9,"PROV",[2]Tablas!$A$49,"SEFIS",N$52,"CANT",[2]Tablas!$A14),0)</f>
        <v>5</v>
      </c>
      <c r="O44" s="15">
        <f ca="1">IFERROR(GETPIVOTDATA("Cuenta de CANT",Tabla9,"PROV",[2]Tablas!$A$49,"SEFIS",O$52,"CANT",[2]Tablas!$A14),0)</f>
        <v>2</v>
      </c>
      <c r="P44" s="15">
        <f ca="1">IFERROR(GETPIVOTDATA("Cuenta de CANT",Tabla9,"PROV",[2]Tablas!$A$49,"SEFIS",P$52,"CANT",[2]Tablas!$A14),0)</f>
        <v>0</v>
      </c>
      <c r="Q44" s="15">
        <f ca="1">IFERROR(GETPIVOTDATA("Cuenta de CANT",Tabla9,"PROV",[2]Tablas!$A$49,"SEFIS",Q$52,"CANT",[2]Tablas!$A14),0)</f>
        <v>6</v>
      </c>
      <c r="R44" s="15">
        <f ca="1">IFERROR(GETPIVOTDATA("Cuenta de CANT",Tabla9,"PROV",[2]Tablas!$A$49,"SEFIS",R$52,"CANT",[2]Tablas!$A14),0)</f>
        <v>1</v>
      </c>
      <c r="S44" s="15">
        <f ca="1">IFERROR(GETPIVOTDATA("Cuenta de CANT",Tabla9,"PROV",[2]Tablas!$A$49,"SEFIS",S$52,"CANT",[2]Tablas!$A14),0)</f>
        <v>2</v>
      </c>
      <c r="T44" s="15">
        <f ca="1">IFERROR(GETPIVOTDATA("Cuenta de CANT",Tabla9,"PROV",[2]Tablas!$A$49,"SEFIS",T$52,"CANT",[2]Tablas!$A14),0)</f>
        <v>3</v>
      </c>
      <c r="U44" s="15">
        <f ca="1">IFERROR(GETPIVOTDATA("Cuenta de CANT",Tabla9,"PROV",[2]Tablas!$A$49,"SEFIS",U$52,"CANT",[2]Tablas!$A14),0)</f>
        <v>0</v>
      </c>
      <c r="V44" s="15">
        <f ca="1">IFERROR(GETPIVOTDATA("Cuenta de CANT",Tabla9,"PROV",[2]Tablas!$A$49,"SEFIS",V$52,"CANT",[2]Tablas!$A14),0)</f>
        <v>0</v>
      </c>
      <c r="W44" s="15">
        <f ca="1">IFERROR(GETPIVOTDATA("Cuenta de CANT",Tabla9,"PROV",[2]Tablas!$A$49,"SEFIS",W$52,"CANT",[2]Tablas!$A14),0)</f>
        <v>1</v>
      </c>
      <c r="X44" s="15">
        <f ca="1">IFERROR(GETPIVOTDATA("Cuenta de CANT",Tabla9,"PROV",[2]Tablas!$A$49,"SEFIS",X$52,"CANT",[2]Tablas!$A14),0)</f>
        <v>1</v>
      </c>
      <c r="Y44" s="15">
        <f ca="1">IFERROR(GETPIVOTDATA("Cuenta de CANT",Tabla9,"PROV",[2]Tablas!$A$49,"SEFIS",Y$52,"CANT",[2]Tablas!$A14),0)</f>
        <v>1</v>
      </c>
      <c r="Z44" s="15">
        <f ca="1">IFERROR(GETPIVOTDATA("Cuenta de CANT",Tabla9,"PROV",[2]Tablas!$A$49,"SEFIS",Z$52,"CANT",[2]Tablas!$A14),0)</f>
        <v>0</v>
      </c>
      <c r="AA44" s="15">
        <f ca="1">IFERROR(GETPIVOTDATA("Cuenta de CANT",Tabla9,"PROV",[2]Tablas!$A$49,"SEFIS",AA$52,"CANT",[2]Tablas!$A14),0)</f>
        <v>0</v>
      </c>
      <c r="AB44" s="15">
        <f ca="1">IFERROR(GETPIVOTDATA("Cuenta de CANT",Tabla9,"PROV",[2]Tablas!$A$49,"SEFIS",AB$52,"CANT",[2]Tablas!$A14),0)</f>
        <v>1</v>
      </c>
      <c r="AC44" s="15">
        <f ca="1">IFERROR(GETPIVOTDATA("Cuenta de CANT",Tabla9,"PROV",[2]Tablas!$A$49,"SEFIS",AC$52,"CANT",[2]Tablas!$A14),0)</f>
        <v>2</v>
      </c>
      <c r="AD44" s="15">
        <f ca="1">IFERROR(GETPIVOTDATA("Cuenta de CANT",Tabla9,"PROV",[2]Tablas!$A$49,"SEFIS",AD$52,"CANT",[2]Tablas!$A14),0)</f>
        <v>1</v>
      </c>
      <c r="AE44" s="15">
        <f ca="1">IFERROR(GETPIVOTDATA("Cuenta de CANT",Tabla9,"PROV",[2]Tablas!$A$49,"SEFIS",AE$52,"CANT",[2]Tablas!$A14),0)</f>
        <v>2</v>
      </c>
      <c r="AF44" s="15">
        <f ca="1">IFERROR(GETPIVOTDATA("Cuenta de CANT",Tabla9,"PROV",[2]Tablas!$A$49,"SEFIS",AF$52,"CANT",[2]Tablas!$A14),0)</f>
        <v>0</v>
      </c>
      <c r="AG44" s="15">
        <f ca="1">IFERROR(GETPIVOTDATA("Cuenta de CANT",Tabla9,"PROV",[2]Tablas!$A$49,"SEFIS",AG$52,"CANT",[2]Tablas!$A14),0)</f>
        <v>0</v>
      </c>
      <c r="AH44" s="15">
        <f ca="1">IFERROR(GETPIVOTDATA("Cuenta de CANT",Tabla9,"PROV",[2]Tablas!$A$49,"SEFIS",AH$52,"CANT",[2]Tablas!$A14),0)</f>
        <v>3</v>
      </c>
      <c r="AI44" s="15">
        <f ca="1">IFERROR(GETPIVOTDATA("Cuenta de CANT",Tabla9,"PROV",[2]Tablas!$A$49,"SEFIS",AI$52,"CANT",[2]Tablas!$A14),0)</f>
        <v>1</v>
      </c>
      <c r="AJ44" s="15">
        <f ca="1">IFERROR(GETPIVOTDATA("Cuenta de CANT",Tabla9,"PROV",[2]Tablas!$A$49,"SEFIS",AJ$52,"CANT",[2]Tablas!$A14),0)</f>
        <v>1</v>
      </c>
      <c r="AK44" s="15">
        <f ca="1">IFERROR(GETPIVOTDATA("Cuenta de CANT",Tabla9,"PROV",[2]Tablas!$A$49,"SEFIS",AK$52,"CANT",[2]Tablas!$A14),0)</f>
        <v>1</v>
      </c>
      <c r="AL44" s="15">
        <f ca="1">IFERROR(GETPIVOTDATA("Cuenta de CANT",Tabla9,"PROV",[2]Tablas!$A$49,"SEFIS",AL$52,"CANT",[2]Tablas!$A14),0)</f>
        <v>1</v>
      </c>
      <c r="AM44" s="15">
        <f ca="1">IFERROR(GETPIVOTDATA("Cuenta de CANT",Tabla9,"PROV",[2]Tablas!$A$49,"SEFIS",AM$52,"CANT",[2]Tablas!$A14),0)</f>
        <v>2</v>
      </c>
      <c r="AN44" s="15">
        <f ca="1">IFERROR(GETPIVOTDATA("Cuenta de CANT",Tabla9,"PROV",[2]Tablas!$A$49,"SEFIS",AN$52,"CANT",[2]Tablas!$A14),0)</f>
        <v>4</v>
      </c>
      <c r="AO44" s="15">
        <f ca="1">IFERROR(GETPIVOTDATA("Cuenta de CANT",Tabla9,"PROV",[2]Tablas!$A$49,"SEFIS",AO$52,"CANT",[2]Tablas!$A14),0)</f>
        <v>1</v>
      </c>
      <c r="AP44" s="15">
        <f ca="1">IFERROR(GETPIVOTDATA("Cuenta de CANT",Tabla9,"PROV",[2]Tablas!$A$49,"SEFIS",AP$52,"CANT",[2]Tablas!$A14),0)</f>
        <v>5</v>
      </c>
      <c r="AQ44" s="15">
        <f ca="1">IFERROR(GETPIVOTDATA("Cuenta de CANT",Tabla9,"PROV",[2]Tablas!$A$49,"SEFIS",AQ$52,"CANT",[2]Tablas!$A14),0)</f>
        <v>8</v>
      </c>
      <c r="AR44" s="15">
        <f ca="1">IFERROR(GETPIVOTDATA("Cuenta de CANT",Tabla9,"PROV",[2]Tablas!$A$49,"SEFIS",AR$52,"CANT",[2]Tablas!$A14),0)</f>
        <v>5</v>
      </c>
      <c r="AS44" s="15">
        <f ca="1">IFERROR(GETPIVOTDATA("Cuenta de CANT",Tabla9,"PROV",[2]Tablas!$A$49,"SEFIS",AS$52,"CANT",[2]Tablas!$A14),0)</f>
        <v>3</v>
      </c>
      <c r="AT44" s="15">
        <f ca="1">IFERROR(GETPIVOTDATA("Cuenta de CANT",Tabla9,"PROV",[2]Tablas!$A$49,"SEFIS",AT$52,"CANT",[2]Tablas!$A14),0)</f>
        <v>2</v>
      </c>
      <c r="AU44" s="15">
        <f ca="1">IFERROR(GETPIVOTDATA("Cuenta de CANT",Tabla9,"PROV",[2]Tablas!$A$49,"SEFIS",AU$52,"CANT",[2]Tablas!$A14),0)</f>
        <v>2</v>
      </c>
      <c r="AV44" s="15">
        <f ca="1">IFERROR(GETPIVOTDATA("Cuenta de CANT",Tabla9,"PROV",[2]Tablas!$A$49,"SEFIS",AV$52,"CANT",[2]Tablas!$A14),0)</f>
        <v>0</v>
      </c>
      <c r="AW44" s="15">
        <f ca="1">IFERROR(GETPIVOTDATA("Cuenta de CANT",Tabla9,"PROV",[2]Tablas!$A$49,"SEFIS",AW$52,"CANT",[2]Tablas!$A14),0)</f>
        <v>3</v>
      </c>
      <c r="AX44" s="15">
        <f ca="1">IFERROR(GETPIVOTDATA("Cuenta de CANT",Tabla9,"PROV",[2]Tablas!$A$49,"SEFIS",AX$52,"CANT",[2]Tablas!$A14),0)</f>
        <v>3</v>
      </c>
      <c r="AY44" s="15">
        <f ca="1">IFERROR(GETPIVOTDATA("Cuenta de CANT",Tabla9,"PROV",[2]Tablas!$A$49,"SEFIS",AY$52,"CANT",[2]Tablas!$A14),0)</f>
        <v>4</v>
      </c>
      <c r="AZ44" s="15">
        <f ca="1">IFERROR(GETPIVOTDATA("Cuenta de CANT",Tabla9,"PROV",[2]Tablas!$A$49,"SEFIS",AZ$52,"CANT",[2]Tablas!$A14),0)</f>
        <v>3</v>
      </c>
      <c r="BA44" s="15">
        <f ca="1">IFERROR(GETPIVOTDATA("Cuenta de CANT",Tabla9,"PROV",[2]Tablas!$A$49,"SEFIS",BA$52,"CANT",[2]Tablas!$A14),0)</f>
        <v>4</v>
      </c>
      <c r="BB44" s="15">
        <f ca="1">IFERROR(GETPIVOTDATA("Cuenta de CANT",Tabla9,"PROV",[2]Tablas!$A$49,"SEFIS",BB$52,"CANT",[2]Tablas!$A14),0)</f>
        <v>9</v>
      </c>
      <c r="BC44" s="15">
        <f ca="1">IFERROR(GETPIVOTDATA("Cuenta de CANT",Tabla9,"PROV",[2]Tablas!$A$49,"SEFIS",BC$52,"CANT",[2]Tablas!$A14),0)</f>
        <v>2</v>
      </c>
      <c r="BD44" s="15">
        <f ca="1">IFERROR(GETPIVOTDATA("Cuenta de CANT",Tabla9,"PROV",[2]Tablas!$A$49,"SEFIS",BD$52,"CANT",[2]Tablas!$A14),0)</f>
        <v>0</v>
      </c>
    </row>
    <row r="45" spans="1:56" x14ac:dyDescent="0.35">
      <c r="A45" s="14" t="s">
        <v>142</v>
      </c>
      <c r="B45" s="15">
        <f t="shared" ca="1" si="4"/>
        <v>1</v>
      </c>
      <c r="C45" s="16">
        <f ca="1">IFERROR(B45/[2]Tablas!$B15*100000,"N/D")</f>
        <v>6.7380904251735059</v>
      </c>
      <c r="D45" s="15">
        <f ca="1">IFERROR(GETPIVOTDATA("Cuenta de CANT",Tabla9,"PROV",[2]Tablas!$A$49,"SEFIS",D$52,"CANT",[2]Tablas!$A15),0)</f>
        <v>0</v>
      </c>
      <c r="E45" s="15">
        <f ca="1">IFERROR(GETPIVOTDATA("Cuenta de CANT",Tabla9,"PROV",[2]Tablas!$A$49,"SEFIS",E$52,"CANT",[2]Tablas!$A15),0)</f>
        <v>0</v>
      </c>
      <c r="F45" s="15">
        <f ca="1">IFERROR(GETPIVOTDATA("Cuenta de CANT",Tabla9,"PROV",[2]Tablas!$A$49,"SEFIS",F$52,"CANT",[2]Tablas!$A15),0)</f>
        <v>0</v>
      </c>
      <c r="G45" s="15">
        <f ca="1">IFERROR(GETPIVOTDATA("Cuenta de CANT",Tabla9,"PROV",[2]Tablas!$A$49,"SEFIS",G$52,"CANT",[2]Tablas!$A15),0)</f>
        <v>0</v>
      </c>
      <c r="H45" s="15">
        <f ca="1">IFERROR(GETPIVOTDATA("Cuenta de CANT",Tabla9,"PROV",[2]Tablas!$A$49,"SEFIS",H$52,"CANT",[2]Tablas!$A15),0)</f>
        <v>0</v>
      </c>
      <c r="I45" s="15">
        <f ca="1">IFERROR(GETPIVOTDATA("Cuenta de CANT",Tabla9,"PROV",[2]Tablas!$A$49,"SEFIS",I$52,"CANT",[2]Tablas!$A15),0)</f>
        <v>0</v>
      </c>
      <c r="J45" s="15">
        <f ca="1">IFERROR(GETPIVOTDATA("Cuenta de CANT",Tabla9,"PROV",[2]Tablas!$A$49,"SEFIS",J$52,"CANT",[2]Tablas!$A15),0)</f>
        <v>0</v>
      </c>
      <c r="K45" s="15">
        <f ca="1">IFERROR(GETPIVOTDATA("Cuenta de CANT",Tabla9,"PROV",[2]Tablas!$A$49,"SEFIS",K$52,"CANT",[2]Tablas!$A15),0)</f>
        <v>0</v>
      </c>
      <c r="L45" s="15">
        <f ca="1">IFERROR(GETPIVOTDATA("Cuenta de CANT",Tabla9,"PROV",[2]Tablas!$A$49,"SEFIS",L$52,"CANT",[2]Tablas!$A15),0)</f>
        <v>0</v>
      </c>
      <c r="M45" s="15">
        <f ca="1">IFERROR(GETPIVOTDATA("Cuenta de CANT",Tabla9,"PROV",[2]Tablas!$A$49,"SEFIS",M$52,"CANT",[2]Tablas!$A15),0)</f>
        <v>0</v>
      </c>
      <c r="N45" s="15">
        <f ca="1">IFERROR(GETPIVOTDATA("Cuenta de CANT",Tabla9,"PROV",[2]Tablas!$A$49,"SEFIS",N$52,"CANT",[2]Tablas!$A15),0)</f>
        <v>0</v>
      </c>
      <c r="O45" s="15">
        <f ca="1">IFERROR(GETPIVOTDATA("Cuenta de CANT",Tabla9,"PROV",[2]Tablas!$A$49,"SEFIS",O$52,"CANT",[2]Tablas!$A15),0)</f>
        <v>0</v>
      </c>
      <c r="P45" s="15">
        <f ca="1">IFERROR(GETPIVOTDATA("Cuenta de CANT",Tabla9,"PROV",[2]Tablas!$A$49,"SEFIS",P$52,"CANT",[2]Tablas!$A15),0)</f>
        <v>0</v>
      </c>
      <c r="Q45" s="15">
        <f ca="1">IFERROR(GETPIVOTDATA("Cuenta de CANT",Tabla9,"PROV",[2]Tablas!$A$49,"SEFIS",Q$52,"CANT",[2]Tablas!$A15),0)</f>
        <v>0</v>
      </c>
      <c r="R45" s="15">
        <f ca="1">IFERROR(GETPIVOTDATA("Cuenta de CANT",Tabla9,"PROV",[2]Tablas!$A$49,"SEFIS",R$52,"CANT",[2]Tablas!$A15),0)</f>
        <v>0</v>
      </c>
      <c r="S45" s="15">
        <f ca="1">IFERROR(GETPIVOTDATA("Cuenta de CANT",Tabla9,"PROV",[2]Tablas!$A$49,"SEFIS",S$52,"CANT",[2]Tablas!$A15),0)</f>
        <v>0</v>
      </c>
      <c r="T45" s="15">
        <f ca="1">IFERROR(GETPIVOTDATA("Cuenta de CANT",Tabla9,"PROV",[2]Tablas!$A$49,"SEFIS",T$52,"CANT",[2]Tablas!$A15),0)</f>
        <v>0</v>
      </c>
      <c r="U45" s="15">
        <f ca="1">IFERROR(GETPIVOTDATA("Cuenta de CANT",Tabla9,"PROV",[2]Tablas!$A$49,"SEFIS",U$52,"CANT",[2]Tablas!$A15),0)</f>
        <v>0</v>
      </c>
      <c r="V45" s="15">
        <f ca="1">IFERROR(GETPIVOTDATA("Cuenta de CANT",Tabla9,"PROV",[2]Tablas!$A$49,"SEFIS",V$52,"CANT",[2]Tablas!$A15),0)</f>
        <v>0</v>
      </c>
      <c r="W45" s="15">
        <f ca="1">IFERROR(GETPIVOTDATA("Cuenta de CANT",Tabla9,"PROV",[2]Tablas!$A$49,"SEFIS",W$52,"CANT",[2]Tablas!$A15),0)</f>
        <v>0</v>
      </c>
      <c r="X45" s="15">
        <f ca="1">IFERROR(GETPIVOTDATA("Cuenta de CANT",Tabla9,"PROV",[2]Tablas!$A$49,"SEFIS",X$52,"CANT",[2]Tablas!$A15),0)</f>
        <v>0</v>
      </c>
      <c r="Y45" s="15">
        <f ca="1">IFERROR(GETPIVOTDATA("Cuenta de CANT",Tabla9,"PROV",[2]Tablas!$A$49,"SEFIS",Y$52,"CANT",[2]Tablas!$A15),0)</f>
        <v>1</v>
      </c>
      <c r="Z45" s="15">
        <f ca="1">IFERROR(GETPIVOTDATA("Cuenta de CANT",Tabla9,"PROV",[2]Tablas!$A$49,"SEFIS",Z$52,"CANT",[2]Tablas!$A15),0)</f>
        <v>0</v>
      </c>
      <c r="AA45" s="15">
        <f ca="1">IFERROR(GETPIVOTDATA("Cuenta de CANT",Tabla9,"PROV",[2]Tablas!$A$49,"SEFIS",AA$52,"CANT",[2]Tablas!$A15),0)</f>
        <v>0</v>
      </c>
      <c r="AB45" s="15">
        <f ca="1">IFERROR(GETPIVOTDATA("Cuenta de CANT",Tabla9,"PROV",[2]Tablas!$A$49,"SEFIS",AB$52,"CANT",[2]Tablas!$A15),0)</f>
        <v>0</v>
      </c>
      <c r="AC45" s="15">
        <f ca="1">IFERROR(GETPIVOTDATA("Cuenta de CANT",Tabla9,"PROV",[2]Tablas!$A$49,"SEFIS",AC$52,"CANT",[2]Tablas!$A15),0)</f>
        <v>0</v>
      </c>
      <c r="AD45" s="15">
        <f ca="1">IFERROR(GETPIVOTDATA("Cuenta de CANT",Tabla9,"PROV",[2]Tablas!$A$49,"SEFIS",AD$52,"CANT",[2]Tablas!$A15),0)</f>
        <v>0</v>
      </c>
      <c r="AE45" s="15">
        <f ca="1">IFERROR(GETPIVOTDATA("Cuenta de CANT",Tabla9,"PROV",[2]Tablas!$A$49,"SEFIS",AE$52,"CANT",[2]Tablas!$A15),0)</f>
        <v>0</v>
      </c>
      <c r="AF45" s="15">
        <f ca="1">IFERROR(GETPIVOTDATA("Cuenta de CANT",Tabla9,"PROV",[2]Tablas!$A$49,"SEFIS",AF$52,"CANT",[2]Tablas!$A15),0)</f>
        <v>0</v>
      </c>
      <c r="AG45" s="15">
        <f ca="1">IFERROR(GETPIVOTDATA("Cuenta de CANT",Tabla9,"PROV",[2]Tablas!$A$49,"SEFIS",AG$52,"CANT",[2]Tablas!$A15),0)</f>
        <v>0</v>
      </c>
      <c r="AH45" s="15">
        <f ca="1">IFERROR(GETPIVOTDATA("Cuenta de CANT",Tabla9,"PROV",[2]Tablas!$A$49,"SEFIS",AH$52,"CANT",[2]Tablas!$A15),0)</f>
        <v>0</v>
      </c>
      <c r="AI45" s="15">
        <f ca="1">IFERROR(GETPIVOTDATA("Cuenta de CANT",Tabla9,"PROV",[2]Tablas!$A$49,"SEFIS",AI$52,"CANT",[2]Tablas!$A15),0)</f>
        <v>0</v>
      </c>
      <c r="AJ45" s="15">
        <f ca="1">IFERROR(GETPIVOTDATA("Cuenta de CANT",Tabla9,"PROV",[2]Tablas!$A$49,"SEFIS",AJ$52,"CANT",[2]Tablas!$A15),0)</f>
        <v>0</v>
      </c>
      <c r="AK45" s="15">
        <f ca="1">IFERROR(GETPIVOTDATA("Cuenta de CANT",Tabla9,"PROV",[2]Tablas!$A$49,"SEFIS",AK$52,"CANT",[2]Tablas!$A15),0)</f>
        <v>0</v>
      </c>
      <c r="AL45" s="15">
        <f ca="1">IFERROR(GETPIVOTDATA("Cuenta de CANT",Tabla9,"PROV",[2]Tablas!$A$49,"SEFIS",AL$52,"CANT",[2]Tablas!$A15),0)</f>
        <v>0</v>
      </c>
      <c r="AM45" s="15">
        <f ca="1">IFERROR(GETPIVOTDATA("Cuenta de CANT",Tabla9,"PROV",[2]Tablas!$A$49,"SEFIS",AM$52,"CANT",[2]Tablas!$A15),0)</f>
        <v>0</v>
      </c>
      <c r="AN45" s="15">
        <f ca="1">IFERROR(GETPIVOTDATA("Cuenta de CANT",Tabla9,"PROV",[2]Tablas!$A$49,"SEFIS",AN$52,"CANT",[2]Tablas!$A15),0)</f>
        <v>0</v>
      </c>
      <c r="AO45" s="15">
        <f ca="1">IFERROR(GETPIVOTDATA("Cuenta de CANT",Tabla9,"PROV",[2]Tablas!$A$49,"SEFIS",AO$52,"CANT",[2]Tablas!$A15),0)</f>
        <v>0</v>
      </c>
      <c r="AP45" s="15">
        <f ca="1">IFERROR(GETPIVOTDATA("Cuenta de CANT",Tabla9,"PROV",[2]Tablas!$A$49,"SEFIS",AP$52,"CANT",[2]Tablas!$A15),0)</f>
        <v>0</v>
      </c>
      <c r="AQ45" s="15">
        <f ca="1">IFERROR(GETPIVOTDATA("Cuenta de CANT",Tabla9,"PROV",[2]Tablas!$A$49,"SEFIS",AQ$52,"CANT",[2]Tablas!$A15),0)</f>
        <v>0</v>
      </c>
      <c r="AR45" s="15">
        <f ca="1">IFERROR(GETPIVOTDATA("Cuenta de CANT",Tabla9,"PROV",[2]Tablas!$A$49,"SEFIS",AR$52,"CANT",[2]Tablas!$A15),0)</f>
        <v>0</v>
      </c>
      <c r="AS45" s="15">
        <f ca="1">IFERROR(GETPIVOTDATA("Cuenta de CANT",Tabla9,"PROV",[2]Tablas!$A$49,"SEFIS",AS$52,"CANT",[2]Tablas!$A15),0)</f>
        <v>0</v>
      </c>
      <c r="AT45" s="15">
        <f ca="1">IFERROR(GETPIVOTDATA("Cuenta de CANT",Tabla9,"PROV",[2]Tablas!$A$49,"SEFIS",AT$52,"CANT",[2]Tablas!$A15),0)</f>
        <v>0</v>
      </c>
      <c r="AU45" s="15">
        <f ca="1">IFERROR(GETPIVOTDATA("Cuenta de CANT",Tabla9,"PROV",[2]Tablas!$A$49,"SEFIS",AU$52,"CANT",[2]Tablas!$A15),0)</f>
        <v>0</v>
      </c>
      <c r="AV45" s="15">
        <f ca="1">IFERROR(GETPIVOTDATA("Cuenta de CANT",Tabla9,"PROV",[2]Tablas!$A$49,"SEFIS",AV$52,"CANT",[2]Tablas!$A15),0)</f>
        <v>0</v>
      </c>
      <c r="AW45" s="15">
        <f ca="1">IFERROR(GETPIVOTDATA("Cuenta de CANT",Tabla9,"PROV",[2]Tablas!$A$49,"SEFIS",AW$52,"CANT",[2]Tablas!$A15),0)</f>
        <v>0</v>
      </c>
      <c r="AX45" s="15">
        <f ca="1">IFERROR(GETPIVOTDATA("Cuenta de CANT",Tabla9,"PROV",[2]Tablas!$A$49,"SEFIS",AX$52,"CANT",[2]Tablas!$A15),0)</f>
        <v>0</v>
      </c>
      <c r="AY45" s="15">
        <f ca="1">IFERROR(GETPIVOTDATA("Cuenta de CANT",Tabla9,"PROV",[2]Tablas!$A$49,"SEFIS",AY$52,"CANT",[2]Tablas!$A15),0)</f>
        <v>0</v>
      </c>
      <c r="AZ45" s="15">
        <f ca="1">IFERROR(GETPIVOTDATA("Cuenta de CANT",Tabla9,"PROV",[2]Tablas!$A$49,"SEFIS",AZ$52,"CANT",[2]Tablas!$A15),0)</f>
        <v>0</v>
      </c>
      <c r="BA45" s="15">
        <f ca="1">IFERROR(GETPIVOTDATA("Cuenta de CANT",Tabla9,"PROV",[2]Tablas!$A$49,"SEFIS",BA$52,"CANT",[2]Tablas!$A15),0)</f>
        <v>0</v>
      </c>
      <c r="BB45" s="15">
        <f ca="1">IFERROR(GETPIVOTDATA("Cuenta de CANT",Tabla9,"PROV",[2]Tablas!$A$49,"SEFIS",BB$52,"CANT",[2]Tablas!$A15),0)</f>
        <v>0</v>
      </c>
      <c r="BC45" s="15">
        <f ca="1">IFERROR(GETPIVOTDATA("Cuenta de CANT",Tabla9,"PROV",[2]Tablas!$A$49,"SEFIS",BC$52,"CANT",[2]Tablas!$A15),0)</f>
        <v>0</v>
      </c>
      <c r="BD45" s="15">
        <f ca="1">IFERROR(GETPIVOTDATA("Cuenta de CANT",Tabla9,"PROV",[2]Tablas!$A$49,"SEFIS",BD$52,"CANT",[2]Tablas!$A15),0)</f>
        <v>0</v>
      </c>
    </row>
    <row r="46" spans="1:56" x14ac:dyDescent="0.35">
      <c r="A46" s="14" t="s">
        <v>143</v>
      </c>
      <c r="B46" s="15">
        <f t="shared" ca="1" si="4"/>
        <v>1</v>
      </c>
      <c r="C46" s="16">
        <f ca="1">IFERROR(B46/[2]Tablas!$B16*100000,"N/D")</f>
        <v>4.3771338527532171</v>
      </c>
      <c r="D46" s="15">
        <f ca="1">IFERROR(GETPIVOTDATA("Cuenta de CANT",Tabla9,"PROV",[2]Tablas!$A$49,"SEFIS",D$52,"CANT",[2]Tablas!$A16),0)</f>
        <v>0</v>
      </c>
      <c r="E46" s="15">
        <f ca="1">IFERROR(GETPIVOTDATA("Cuenta de CANT",Tabla9,"PROV",[2]Tablas!$A$49,"SEFIS",E$52,"CANT",[2]Tablas!$A16),0)</f>
        <v>0</v>
      </c>
      <c r="F46" s="15">
        <f ca="1">IFERROR(GETPIVOTDATA("Cuenta de CANT",Tabla9,"PROV",[2]Tablas!$A$49,"SEFIS",F$52,"CANT",[2]Tablas!$A16),0)</f>
        <v>0</v>
      </c>
      <c r="G46" s="15">
        <f ca="1">IFERROR(GETPIVOTDATA("Cuenta de CANT",Tabla9,"PROV",[2]Tablas!$A$49,"SEFIS",G$52,"CANT",[2]Tablas!$A16),0)</f>
        <v>0</v>
      </c>
      <c r="H46" s="15">
        <f ca="1">IFERROR(GETPIVOTDATA("Cuenta de CANT",Tabla9,"PROV",[2]Tablas!$A$49,"SEFIS",H$52,"CANT",[2]Tablas!$A16),0)</f>
        <v>0</v>
      </c>
      <c r="I46" s="15">
        <f ca="1">IFERROR(GETPIVOTDATA("Cuenta de CANT",Tabla9,"PROV",[2]Tablas!$A$49,"SEFIS",I$52,"CANT",[2]Tablas!$A16),0)</f>
        <v>0</v>
      </c>
      <c r="J46" s="15">
        <f ca="1">IFERROR(GETPIVOTDATA("Cuenta de CANT",Tabla9,"PROV",[2]Tablas!$A$49,"SEFIS",J$52,"CANT",[2]Tablas!$A16),0)</f>
        <v>0</v>
      </c>
      <c r="K46" s="15">
        <f ca="1">IFERROR(GETPIVOTDATA("Cuenta de CANT",Tabla9,"PROV",[2]Tablas!$A$49,"SEFIS",K$52,"CANT",[2]Tablas!$A16),0)</f>
        <v>0</v>
      </c>
      <c r="L46" s="15">
        <f ca="1">IFERROR(GETPIVOTDATA("Cuenta de CANT",Tabla9,"PROV",[2]Tablas!$A$49,"SEFIS",L$52,"CANT",[2]Tablas!$A16),0)</f>
        <v>0</v>
      </c>
      <c r="M46" s="15">
        <f ca="1">IFERROR(GETPIVOTDATA("Cuenta de CANT",Tabla9,"PROV",[2]Tablas!$A$49,"SEFIS",M$52,"CANT",[2]Tablas!$A16),0)</f>
        <v>0</v>
      </c>
      <c r="N46" s="15">
        <f ca="1">IFERROR(GETPIVOTDATA("Cuenta de CANT",Tabla9,"PROV",[2]Tablas!$A$49,"SEFIS",N$52,"CANT",[2]Tablas!$A16),0)</f>
        <v>0</v>
      </c>
      <c r="O46" s="15">
        <f ca="1">IFERROR(GETPIVOTDATA("Cuenta de CANT",Tabla9,"PROV",[2]Tablas!$A$49,"SEFIS",O$52,"CANT",[2]Tablas!$A16),0)</f>
        <v>0</v>
      </c>
      <c r="P46" s="15">
        <f ca="1">IFERROR(GETPIVOTDATA("Cuenta de CANT",Tabla9,"PROV",[2]Tablas!$A$49,"SEFIS",P$52,"CANT",[2]Tablas!$A16),0)</f>
        <v>0</v>
      </c>
      <c r="Q46" s="15">
        <f ca="1">IFERROR(GETPIVOTDATA("Cuenta de CANT",Tabla9,"PROV",[2]Tablas!$A$49,"SEFIS",Q$52,"CANT",[2]Tablas!$A16),0)</f>
        <v>0</v>
      </c>
      <c r="R46" s="15">
        <f ca="1">IFERROR(GETPIVOTDATA("Cuenta de CANT",Tabla9,"PROV",[2]Tablas!$A$49,"SEFIS",R$52,"CANT",[2]Tablas!$A16),0)</f>
        <v>0</v>
      </c>
      <c r="S46" s="15">
        <f ca="1">IFERROR(GETPIVOTDATA("Cuenta de CANT",Tabla9,"PROV",[2]Tablas!$A$49,"SEFIS",S$52,"CANT",[2]Tablas!$A16),0)</f>
        <v>0</v>
      </c>
      <c r="T46" s="15">
        <f ca="1">IFERROR(GETPIVOTDATA("Cuenta de CANT",Tabla9,"PROV",[2]Tablas!$A$49,"SEFIS",T$52,"CANT",[2]Tablas!$A16),0)</f>
        <v>0</v>
      </c>
      <c r="U46" s="15">
        <f ca="1">IFERROR(GETPIVOTDATA("Cuenta de CANT",Tabla9,"PROV",[2]Tablas!$A$49,"SEFIS",U$52,"CANT",[2]Tablas!$A16),0)</f>
        <v>0</v>
      </c>
      <c r="V46" s="15">
        <f ca="1">IFERROR(GETPIVOTDATA("Cuenta de CANT",Tabla9,"PROV",[2]Tablas!$A$49,"SEFIS",V$52,"CANT",[2]Tablas!$A16),0)</f>
        <v>0</v>
      </c>
      <c r="W46" s="15">
        <f ca="1">IFERROR(GETPIVOTDATA("Cuenta de CANT",Tabla9,"PROV",[2]Tablas!$A$49,"SEFIS",W$52,"CANT",[2]Tablas!$A16),0)</f>
        <v>0</v>
      </c>
      <c r="X46" s="15">
        <f ca="1">IFERROR(GETPIVOTDATA("Cuenta de CANT",Tabla9,"PROV",[2]Tablas!$A$49,"SEFIS",X$52,"CANT",[2]Tablas!$A16),0)</f>
        <v>0</v>
      </c>
      <c r="Y46" s="15">
        <f ca="1">IFERROR(GETPIVOTDATA("Cuenta de CANT",Tabla9,"PROV",[2]Tablas!$A$49,"SEFIS",Y$52,"CANT",[2]Tablas!$A16),0)</f>
        <v>0</v>
      </c>
      <c r="Z46" s="15">
        <f ca="1">IFERROR(GETPIVOTDATA("Cuenta de CANT",Tabla9,"PROV",[2]Tablas!$A$49,"SEFIS",Z$52,"CANT",[2]Tablas!$A16),0)</f>
        <v>0</v>
      </c>
      <c r="AA46" s="15">
        <f ca="1">IFERROR(GETPIVOTDATA("Cuenta de CANT",Tabla9,"PROV",[2]Tablas!$A$49,"SEFIS",AA$52,"CANT",[2]Tablas!$A16),0)</f>
        <v>0</v>
      </c>
      <c r="AB46" s="15">
        <f ca="1">IFERROR(GETPIVOTDATA("Cuenta de CANT",Tabla9,"PROV",[2]Tablas!$A$49,"SEFIS",AB$52,"CANT",[2]Tablas!$A16),0)</f>
        <v>0</v>
      </c>
      <c r="AC46" s="15">
        <f ca="1">IFERROR(GETPIVOTDATA("Cuenta de CANT",Tabla9,"PROV",[2]Tablas!$A$49,"SEFIS",AC$52,"CANT",[2]Tablas!$A16),0)</f>
        <v>0</v>
      </c>
      <c r="AD46" s="15">
        <f ca="1">IFERROR(GETPIVOTDATA("Cuenta de CANT",Tabla9,"PROV",[2]Tablas!$A$49,"SEFIS",AD$52,"CANT",[2]Tablas!$A16),0)</f>
        <v>0</v>
      </c>
      <c r="AE46" s="15">
        <f ca="1">IFERROR(GETPIVOTDATA("Cuenta de CANT",Tabla9,"PROV",[2]Tablas!$A$49,"SEFIS",AE$52,"CANT",[2]Tablas!$A16),0)</f>
        <v>0</v>
      </c>
      <c r="AF46" s="15">
        <f ca="1">IFERROR(GETPIVOTDATA("Cuenta de CANT",Tabla9,"PROV",[2]Tablas!$A$49,"SEFIS",AF$52,"CANT",[2]Tablas!$A16),0)</f>
        <v>0</v>
      </c>
      <c r="AG46" s="15">
        <f ca="1">IFERROR(GETPIVOTDATA("Cuenta de CANT",Tabla9,"PROV",[2]Tablas!$A$49,"SEFIS",AG$52,"CANT",[2]Tablas!$A16),0)</f>
        <v>0</v>
      </c>
      <c r="AH46" s="15">
        <f ca="1">IFERROR(GETPIVOTDATA("Cuenta de CANT",Tabla9,"PROV",[2]Tablas!$A$49,"SEFIS",AH$52,"CANT",[2]Tablas!$A16),0)</f>
        <v>0</v>
      </c>
      <c r="AI46" s="15">
        <f ca="1">IFERROR(GETPIVOTDATA("Cuenta de CANT",Tabla9,"PROV",[2]Tablas!$A$49,"SEFIS",AI$52,"CANT",[2]Tablas!$A16),0)</f>
        <v>0</v>
      </c>
      <c r="AJ46" s="15">
        <f ca="1">IFERROR(GETPIVOTDATA("Cuenta de CANT",Tabla9,"PROV",[2]Tablas!$A$49,"SEFIS",AJ$52,"CANT",[2]Tablas!$A16),0)</f>
        <v>0</v>
      </c>
      <c r="AK46" s="15">
        <f ca="1">IFERROR(GETPIVOTDATA("Cuenta de CANT",Tabla9,"PROV",[2]Tablas!$A$49,"SEFIS",AK$52,"CANT",[2]Tablas!$A16),0)</f>
        <v>0</v>
      </c>
      <c r="AL46" s="15">
        <f ca="1">IFERROR(GETPIVOTDATA("Cuenta de CANT",Tabla9,"PROV",[2]Tablas!$A$49,"SEFIS",AL$52,"CANT",[2]Tablas!$A16),0)</f>
        <v>0</v>
      </c>
      <c r="AM46" s="15">
        <f ca="1">IFERROR(GETPIVOTDATA("Cuenta de CANT",Tabla9,"PROV",[2]Tablas!$A$49,"SEFIS",AM$52,"CANT",[2]Tablas!$A16),0)</f>
        <v>0</v>
      </c>
      <c r="AN46" s="15">
        <f ca="1">IFERROR(GETPIVOTDATA("Cuenta de CANT",Tabla9,"PROV",[2]Tablas!$A$49,"SEFIS",AN$52,"CANT",[2]Tablas!$A16),0)</f>
        <v>0</v>
      </c>
      <c r="AO46" s="15">
        <f ca="1">IFERROR(GETPIVOTDATA("Cuenta de CANT",Tabla9,"PROV",[2]Tablas!$A$49,"SEFIS",AO$52,"CANT",[2]Tablas!$A16),0)</f>
        <v>0</v>
      </c>
      <c r="AP46" s="15">
        <f ca="1">IFERROR(GETPIVOTDATA("Cuenta de CANT",Tabla9,"PROV",[2]Tablas!$A$49,"SEFIS",AP$52,"CANT",[2]Tablas!$A16),0)</f>
        <v>0</v>
      </c>
      <c r="AQ46" s="15">
        <f ca="1">IFERROR(GETPIVOTDATA("Cuenta de CANT",Tabla9,"PROV",[2]Tablas!$A$49,"SEFIS",AQ$52,"CANT",[2]Tablas!$A16),0)</f>
        <v>0</v>
      </c>
      <c r="AR46" s="15">
        <f ca="1">IFERROR(GETPIVOTDATA("Cuenta de CANT",Tabla9,"PROV",[2]Tablas!$A$49,"SEFIS",AR$52,"CANT",[2]Tablas!$A16),0)</f>
        <v>0</v>
      </c>
      <c r="AS46" s="15">
        <f ca="1">IFERROR(GETPIVOTDATA("Cuenta de CANT",Tabla9,"PROV",[2]Tablas!$A$49,"SEFIS",AS$52,"CANT",[2]Tablas!$A16),0)</f>
        <v>1</v>
      </c>
      <c r="AT46" s="15">
        <f ca="1">IFERROR(GETPIVOTDATA("Cuenta de CANT",Tabla9,"PROV",[2]Tablas!$A$49,"SEFIS",AT$52,"CANT",[2]Tablas!$A16),0)</f>
        <v>0</v>
      </c>
      <c r="AU46" s="15">
        <f ca="1">IFERROR(GETPIVOTDATA("Cuenta de CANT",Tabla9,"PROV",[2]Tablas!$A$49,"SEFIS",AU$52,"CANT",[2]Tablas!$A16),0)</f>
        <v>0</v>
      </c>
      <c r="AV46" s="15">
        <f ca="1">IFERROR(GETPIVOTDATA("Cuenta de CANT",Tabla9,"PROV",[2]Tablas!$A$49,"SEFIS",AV$52,"CANT",[2]Tablas!$A16),0)</f>
        <v>0</v>
      </c>
      <c r="AW46" s="15">
        <f ca="1">IFERROR(GETPIVOTDATA("Cuenta de CANT",Tabla9,"PROV",[2]Tablas!$A$49,"SEFIS",AW$52,"CANT",[2]Tablas!$A16),0)</f>
        <v>0</v>
      </c>
      <c r="AX46" s="15">
        <f ca="1">IFERROR(GETPIVOTDATA("Cuenta de CANT",Tabla9,"PROV",[2]Tablas!$A$49,"SEFIS",AX$52,"CANT",[2]Tablas!$A16),0)</f>
        <v>0</v>
      </c>
      <c r="AY46" s="15">
        <f ca="1">IFERROR(GETPIVOTDATA("Cuenta de CANT",Tabla9,"PROV",[2]Tablas!$A$49,"SEFIS",AY$52,"CANT",[2]Tablas!$A16),0)</f>
        <v>0</v>
      </c>
      <c r="AZ46" s="15">
        <f ca="1">IFERROR(GETPIVOTDATA("Cuenta de CANT",Tabla9,"PROV",[2]Tablas!$A$49,"SEFIS",AZ$52,"CANT",[2]Tablas!$A16),0)</f>
        <v>0</v>
      </c>
      <c r="BA46" s="15">
        <f ca="1">IFERROR(GETPIVOTDATA("Cuenta de CANT",Tabla9,"PROV",[2]Tablas!$A$49,"SEFIS",BA$52,"CANT",[2]Tablas!$A16),0)</f>
        <v>0</v>
      </c>
      <c r="BB46" s="15">
        <f ca="1">IFERROR(GETPIVOTDATA("Cuenta de CANT",Tabla9,"PROV",[2]Tablas!$A$49,"SEFIS",BB$52,"CANT",[2]Tablas!$A16),0)</f>
        <v>0</v>
      </c>
      <c r="BC46" s="15">
        <f ca="1">IFERROR(GETPIVOTDATA("Cuenta de CANT",Tabla9,"PROV",[2]Tablas!$A$49,"SEFIS",BC$52,"CANT",[2]Tablas!$A16),0)</f>
        <v>0</v>
      </c>
      <c r="BD46" s="15">
        <f ca="1">IFERROR(GETPIVOTDATA("Cuenta de CANT",Tabla9,"PROV",[2]Tablas!$A$49,"SEFIS",BD$52,"CANT",[2]Tablas!$A16),0)</f>
        <v>0</v>
      </c>
    </row>
    <row r="47" spans="1:56" x14ac:dyDescent="0.35">
      <c r="A47" s="14" t="s">
        <v>144</v>
      </c>
      <c r="B47" s="15">
        <f t="shared" ca="1" si="4"/>
        <v>9</v>
      </c>
      <c r="C47" s="16">
        <f ca="1">IFERROR(B47/[2]Tablas!$B17*100000,"N/D")</f>
        <v>15.795015795015797</v>
      </c>
      <c r="D47" s="15">
        <f ca="1">IFERROR(GETPIVOTDATA("Cuenta de CANT",Tabla9,"PROV",[2]Tablas!$A$49,"SEFIS",D$52,"CANT",[2]Tablas!$A17),0)</f>
        <v>0</v>
      </c>
      <c r="E47" s="15">
        <f ca="1">IFERROR(GETPIVOTDATA("Cuenta de CANT",Tabla9,"PROV",[2]Tablas!$A$49,"SEFIS",E$52,"CANT",[2]Tablas!$A17),0)</f>
        <v>0</v>
      </c>
      <c r="F47" s="15">
        <f ca="1">IFERROR(GETPIVOTDATA("Cuenta de CANT",Tabla9,"PROV",[2]Tablas!$A$49,"SEFIS",F$52,"CANT",[2]Tablas!$A17),0)</f>
        <v>1</v>
      </c>
      <c r="G47" s="15">
        <f ca="1">IFERROR(GETPIVOTDATA("Cuenta de CANT",Tabla9,"PROV",[2]Tablas!$A$49,"SEFIS",G$52,"CANT",[2]Tablas!$A17),0)</f>
        <v>0</v>
      </c>
      <c r="H47" s="15">
        <f ca="1">IFERROR(GETPIVOTDATA("Cuenta de CANT",Tabla9,"PROV",[2]Tablas!$A$49,"SEFIS",H$52,"CANT",[2]Tablas!$A17),0)</f>
        <v>0</v>
      </c>
      <c r="I47" s="15">
        <f ca="1">IFERROR(GETPIVOTDATA("Cuenta de CANT",Tabla9,"PROV",[2]Tablas!$A$49,"SEFIS",I$52,"CANT",[2]Tablas!$A17),0)</f>
        <v>0</v>
      </c>
      <c r="J47" s="15">
        <f ca="1">IFERROR(GETPIVOTDATA("Cuenta de CANT",Tabla9,"PROV",[2]Tablas!$A$49,"SEFIS",J$52,"CANT",[2]Tablas!$A17),0)</f>
        <v>0</v>
      </c>
      <c r="K47" s="15">
        <f ca="1">IFERROR(GETPIVOTDATA("Cuenta de CANT",Tabla9,"PROV",[2]Tablas!$A$49,"SEFIS",K$52,"CANT",[2]Tablas!$A17),0)</f>
        <v>0</v>
      </c>
      <c r="L47" s="15">
        <f ca="1">IFERROR(GETPIVOTDATA("Cuenta de CANT",Tabla9,"PROV",[2]Tablas!$A$49,"SEFIS",L$52,"CANT",[2]Tablas!$A17),0)</f>
        <v>0</v>
      </c>
      <c r="M47" s="15">
        <f ca="1">IFERROR(GETPIVOTDATA("Cuenta de CANT",Tabla9,"PROV",[2]Tablas!$A$49,"SEFIS",M$52,"CANT",[2]Tablas!$A17),0)</f>
        <v>0</v>
      </c>
      <c r="N47" s="15">
        <f ca="1">IFERROR(GETPIVOTDATA("Cuenta de CANT",Tabla9,"PROV",[2]Tablas!$A$49,"SEFIS",N$52,"CANT",[2]Tablas!$A17),0)</f>
        <v>0</v>
      </c>
      <c r="O47" s="15">
        <f ca="1">IFERROR(GETPIVOTDATA("Cuenta de CANT",Tabla9,"PROV",[2]Tablas!$A$49,"SEFIS",O$52,"CANT",[2]Tablas!$A17),0)</f>
        <v>0</v>
      </c>
      <c r="P47" s="15">
        <f ca="1">IFERROR(GETPIVOTDATA("Cuenta de CANT",Tabla9,"PROV",[2]Tablas!$A$49,"SEFIS",P$52,"CANT",[2]Tablas!$A17),0)</f>
        <v>0</v>
      </c>
      <c r="Q47" s="15">
        <f ca="1">IFERROR(GETPIVOTDATA("Cuenta de CANT",Tabla9,"PROV",[2]Tablas!$A$49,"SEFIS",Q$52,"CANT",[2]Tablas!$A17),0)</f>
        <v>1</v>
      </c>
      <c r="R47" s="15">
        <f ca="1">IFERROR(GETPIVOTDATA("Cuenta de CANT",Tabla9,"PROV",[2]Tablas!$A$49,"SEFIS",R$52,"CANT",[2]Tablas!$A17),0)</f>
        <v>0</v>
      </c>
      <c r="S47" s="15">
        <f ca="1">IFERROR(GETPIVOTDATA("Cuenta de CANT",Tabla9,"PROV",[2]Tablas!$A$49,"SEFIS",S$52,"CANT",[2]Tablas!$A17),0)</f>
        <v>0</v>
      </c>
      <c r="T47" s="15">
        <f ca="1">IFERROR(GETPIVOTDATA("Cuenta de CANT",Tabla9,"PROV",[2]Tablas!$A$49,"SEFIS",T$52,"CANT",[2]Tablas!$A17),0)</f>
        <v>0</v>
      </c>
      <c r="U47" s="15">
        <f ca="1">IFERROR(GETPIVOTDATA("Cuenta de CANT",Tabla9,"PROV",[2]Tablas!$A$49,"SEFIS",U$52,"CANT",[2]Tablas!$A17),0)</f>
        <v>0</v>
      </c>
      <c r="V47" s="15">
        <f ca="1">IFERROR(GETPIVOTDATA("Cuenta de CANT",Tabla9,"PROV",[2]Tablas!$A$49,"SEFIS",V$52,"CANT",[2]Tablas!$A17),0)</f>
        <v>0</v>
      </c>
      <c r="W47" s="15">
        <f ca="1">IFERROR(GETPIVOTDATA("Cuenta de CANT",Tabla9,"PROV",[2]Tablas!$A$49,"SEFIS",W$52,"CANT",[2]Tablas!$A17),0)</f>
        <v>0</v>
      </c>
      <c r="X47" s="15">
        <f ca="1">IFERROR(GETPIVOTDATA("Cuenta de CANT",Tabla9,"PROV",[2]Tablas!$A$49,"SEFIS",X$52,"CANT",[2]Tablas!$A17),0)</f>
        <v>0</v>
      </c>
      <c r="Y47" s="15">
        <f ca="1">IFERROR(GETPIVOTDATA("Cuenta de CANT",Tabla9,"PROV",[2]Tablas!$A$49,"SEFIS",Y$52,"CANT",[2]Tablas!$A17),0)</f>
        <v>0</v>
      </c>
      <c r="Z47" s="15">
        <f ca="1">IFERROR(GETPIVOTDATA("Cuenta de CANT",Tabla9,"PROV",[2]Tablas!$A$49,"SEFIS",Z$52,"CANT",[2]Tablas!$A17),0)</f>
        <v>0</v>
      </c>
      <c r="AA47" s="15">
        <f ca="1">IFERROR(GETPIVOTDATA("Cuenta de CANT",Tabla9,"PROV",[2]Tablas!$A$49,"SEFIS",AA$52,"CANT",[2]Tablas!$A17),0)</f>
        <v>0</v>
      </c>
      <c r="AB47" s="15">
        <f ca="1">IFERROR(GETPIVOTDATA("Cuenta de CANT",Tabla9,"PROV",[2]Tablas!$A$49,"SEFIS",AB$52,"CANT",[2]Tablas!$A17),0)</f>
        <v>0</v>
      </c>
      <c r="AC47" s="15">
        <f ca="1">IFERROR(GETPIVOTDATA("Cuenta de CANT",Tabla9,"PROV",[2]Tablas!$A$49,"SEFIS",AC$52,"CANT",[2]Tablas!$A17),0)</f>
        <v>0</v>
      </c>
      <c r="AD47" s="15">
        <f ca="1">IFERROR(GETPIVOTDATA("Cuenta de CANT",Tabla9,"PROV",[2]Tablas!$A$49,"SEFIS",AD$52,"CANT",[2]Tablas!$A17),0)</f>
        <v>0</v>
      </c>
      <c r="AE47" s="15">
        <f ca="1">IFERROR(GETPIVOTDATA("Cuenta de CANT",Tabla9,"PROV",[2]Tablas!$A$49,"SEFIS",AE$52,"CANT",[2]Tablas!$A17),0)</f>
        <v>1</v>
      </c>
      <c r="AF47" s="15">
        <f ca="1">IFERROR(GETPIVOTDATA("Cuenta de CANT",Tabla9,"PROV",[2]Tablas!$A$49,"SEFIS",AF$52,"CANT",[2]Tablas!$A17),0)</f>
        <v>0</v>
      </c>
      <c r="AG47" s="15">
        <f ca="1">IFERROR(GETPIVOTDATA("Cuenta de CANT",Tabla9,"PROV",[2]Tablas!$A$49,"SEFIS",AG$52,"CANT",[2]Tablas!$A17),0)</f>
        <v>0</v>
      </c>
      <c r="AH47" s="15">
        <f ca="1">IFERROR(GETPIVOTDATA("Cuenta de CANT",Tabla9,"PROV",[2]Tablas!$A$49,"SEFIS",AH$52,"CANT",[2]Tablas!$A17),0)</f>
        <v>1</v>
      </c>
      <c r="AI47" s="15">
        <f ca="1">IFERROR(GETPIVOTDATA("Cuenta de CANT",Tabla9,"PROV",[2]Tablas!$A$49,"SEFIS",AI$52,"CANT",[2]Tablas!$A17),0)</f>
        <v>0</v>
      </c>
      <c r="AJ47" s="15">
        <f ca="1">IFERROR(GETPIVOTDATA("Cuenta de CANT",Tabla9,"PROV",[2]Tablas!$A$49,"SEFIS",AJ$52,"CANT",[2]Tablas!$A17),0)</f>
        <v>0</v>
      </c>
      <c r="AK47" s="15">
        <f ca="1">IFERROR(GETPIVOTDATA("Cuenta de CANT",Tabla9,"PROV",[2]Tablas!$A$49,"SEFIS",AK$52,"CANT",[2]Tablas!$A17),0)</f>
        <v>0</v>
      </c>
      <c r="AL47" s="15">
        <f ca="1">IFERROR(GETPIVOTDATA("Cuenta de CANT",Tabla9,"PROV",[2]Tablas!$A$49,"SEFIS",AL$52,"CANT",[2]Tablas!$A17),0)</f>
        <v>0</v>
      </c>
      <c r="AM47" s="15">
        <f ca="1">IFERROR(GETPIVOTDATA("Cuenta de CANT",Tabla9,"PROV",[2]Tablas!$A$49,"SEFIS",AM$52,"CANT",[2]Tablas!$A17),0)</f>
        <v>0</v>
      </c>
      <c r="AN47" s="15">
        <f ca="1">IFERROR(GETPIVOTDATA("Cuenta de CANT",Tabla9,"PROV",[2]Tablas!$A$49,"SEFIS",AN$52,"CANT",[2]Tablas!$A17),0)</f>
        <v>0</v>
      </c>
      <c r="AO47" s="15">
        <f ca="1">IFERROR(GETPIVOTDATA("Cuenta de CANT",Tabla9,"PROV",[2]Tablas!$A$49,"SEFIS",AO$52,"CANT",[2]Tablas!$A17),0)</f>
        <v>0</v>
      </c>
      <c r="AP47" s="15">
        <f ca="1">IFERROR(GETPIVOTDATA("Cuenta de CANT",Tabla9,"PROV",[2]Tablas!$A$49,"SEFIS",AP$52,"CANT",[2]Tablas!$A17),0)</f>
        <v>0</v>
      </c>
      <c r="AQ47" s="15">
        <f ca="1">IFERROR(GETPIVOTDATA("Cuenta de CANT",Tabla9,"PROV",[2]Tablas!$A$49,"SEFIS",AQ$52,"CANT",[2]Tablas!$A17),0)</f>
        <v>0</v>
      </c>
      <c r="AR47" s="15">
        <f ca="1">IFERROR(GETPIVOTDATA("Cuenta de CANT",Tabla9,"PROV",[2]Tablas!$A$49,"SEFIS",AR$52,"CANT",[2]Tablas!$A17),0)</f>
        <v>0</v>
      </c>
      <c r="AS47" s="15">
        <f ca="1">IFERROR(GETPIVOTDATA("Cuenta de CANT",Tabla9,"PROV",[2]Tablas!$A$49,"SEFIS",AS$52,"CANT",[2]Tablas!$A17),0)</f>
        <v>0</v>
      </c>
      <c r="AT47" s="15">
        <f ca="1">IFERROR(GETPIVOTDATA("Cuenta de CANT",Tabla9,"PROV",[2]Tablas!$A$49,"SEFIS",AT$52,"CANT",[2]Tablas!$A17),0)</f>
        <v>0</v>
      </c>
      <c r="AU47" s="15">
        <f ca="1">IFERROR(GETPIVOTDATA("Cuenta de CANT",Tabla9,"PROV",[2]Tablas!$A$49,"SEFIS",AU$52,"CANT",[2]Tablas!$A17),0)</f>
        <v>0</v>
      </c>
      <c r="AV47" s="15">
        <f ca="1">IFERROR(GETPIVOTDATA("Cuenta de CANT",Tabla9,"PROV",[2]Tablas!$A$49,"SEFIS",AV$52,"CANT",[2]Tablas!$A17),0)</f>
        <v>0</v>
      </c>
      <c r="AW47" s="15">
        <f ca="1">IFERROR(GETPIVOTDATA("Cuenta de CANT",Tabla9,"PROV",[2]Tablas!$A$49,"SEFIS",AW$52,"CANT",[2]Tablas!$A17),0)</f>
        <v>0</v>
      </c>
      <c r="AX47" s="15">
        <f ca="1">IFERROR(GETPIVOTDATA("Cuenta de CANT",Tabla9,"PROV",[2]Tablas!$A$49,"SEFIS",AX$52,"CANT",[2]Tablas!$A17),0)</f>
        <v>0</v>
      </c>
      <c r="AY47" s="15">
        <f ca="1">IFERROR(GETPIVOTDATA("Cuenta de CANT",Tabla9,"PROV",[2]Tablas!$A$49,"SEFIS",AY$52,"CANT",[2]Tablas!$A17),0)</f>
        <v>2</v>
      </c>
      <c r="AZ47" s="15">
        <f ca="1">IFERROR(GETPIVOTDATA("Cuenta de CANT",Tabla9,"PROV",[2]Tablas!$A$49,"SEFIS",AZ$52,"CANT",[2]Tablas!$A17),0)</f>
        <v>0</v>
      </c>
      <c r="BA47" s="15">
        <f ca="1">IFERROR(GETPIVOTDATA("Cuenta de CANT",Tabla9,"PROV",[2]Tablas!$A$49,"SEFIS",BA$52,"CANT",[2]Tablas!$A17),0)</f>
        <v>1</v>
      </c>
      <c r="BB47" s="15">
        <f ca="1">IFERROR(GETPIVOTDATA("Cuenta de CANT",Tabla9,"PROV",[2]Tablas!$A$49,"SEFIS",BB$52,"CANT",[2]Tablas!$A17),0)</f>
        <v>1</v>
      </c>
      <c r="BC47" s="15">
        <f ca="1">IFERROR(GETPIVOTDATA("Cuenta de CANT",Tabla9,"PROV",[2]Tablas!$A$49,"SEFIS",BC$52,"CANT",[2]Tablas!$A17),0)</f>
        <v>1</v>
      </c>
      <c r="BD47" s="15">
        <f ca="1">IFERROR(GETPIVOTDATA("Cuenta de CANT",Tabla9,"PROV",[2]Tablas!$A$49,"SEFIS",BD$52,"CANT",[2]Tablas!$A17),0)</f>
        <v>0</v>
      </c>
    </row>
    <row r="48" spans="1:56" x14ac:dyDescent="0.35">
      <c r="A48" s="14" t="s">
        <v>145</v>
      </c>
      <c r="B48" s="15">
        <f t="shared" ca="1" si="4"/>
        <v>55</v>
      </c>
      <c r="C48" s="16">
        <f ca="1">IFERROR(B48/[2]Tablas!$B18*100000,"N/D")</f>
        <v>147.14931642453917</v>
      </c>
      <c r="D48" s="15">
        <f ca="1">IFERROR(GETPIVOTDATA("Cuenta de CANT",Tabla9,"PROV",[2]Tablas!$A$49,"SEFIS",D$52,"CANT",[2]Tablas!$A18),0)</f>
        <v>1</v>
      </c>
      <c r="E48" s="15">
        <f ca="1">IFERROR(GETPIVOTDATA("Cuenta de CANT",Tabla9,"PROV",[2]Tablas!$A$49,"SEFIS",E$52,"CANT",[2]Tablas!$A18),0)</f>
        <v>1</v>
      </c>
      <c r="F48" s="15">
        <f ca="1">IFERROR(GETPIVOTDATA("Cuenta de CANT",Tabla9,"PROV",[2]Tablas!$A$49,"SEFIS",F$52,"CANT",[2]Tablas!$A18),0)</f>
        <v>0</v>
      </c>
      <c r="G48" s="15">
        <f ca="1">IFERROR(GETPIVOTDATA("Cuenta de CANT",Tabla9,"PROV",[2]Tablas!$A$49,"SEFIS",G$52,"CANT",[2]Tablas!$A18),0)</f>
        <v>0</v>
      </c>
      <c r="H48" s="15">
        <f ca="1">IFERROR(GETPIVOTDATA("Cuenta de CANT",Tabla9,"PROV",[2]Tablas!$A$49,"SEFIS",H$52,"CANT",[2]Tablas!$A18),0)</f>
        <v>0</v>
      </c>
      <c r="I48" s="15">
        <f ca="1">IFERROR(GETPIVOTDATA("Cuenta de CANT",Tabla9,"PROV",[2]Tablas!$A$49,"SEFIS",I$52,"CANT",[2]Tablas!$A18),0)</f>
        <v>0</v>
      </c>
      <c r="J48" s="15">
        <f ca="1">IFERROR(GETPIVOTDATA("Cuenta de CANT",Tabla9,"PROV",[2]Tablas!$A$49,"SEFIS",J$52,"CANT",[2]Tablas!$A18),0)</f>
        <v>0</v>
      </c>
      <c r="K48" s="15">
        <f ca="1">IFERROR(GETPIVOTDATA("Cuenta de CANT",Tabla9,"PROV",[2]Tablas!$A$49,"SEFIS",K$52,"CANT",[2]Tablas!$A18),0)</f>
        <v>0</v>
      </c>
      <c r="L48" s="15">
        <f ca="1">IFERROR(GETPIVOTDATA("Cuenta de CANT",Tabla9,"PROV",[2]Tablas!$A$49,"SEFIS",L$52,"CANT",[2]Tablas!$A18),0)</f>
        <v>0</v>
      </c>
      <c r="M48" s="15">
        <f ca="1">IFERROR(GETPIVOTDATA("Cuenta de CANT",Tabla9,"PROV",[2]Tablas!$A$49,"SEFIS",M$52,"CANT",[2]Tablas!$A18),0)</f>
        <v>0</v>
      </c>
      <c r="N48" s="15">
        <f ca="1">IFERROR(GETPIVOTDATA("Cuenta de CANT",Tabla9,"PROV",[2]Tablas!$A$49,"SEFIS",N$52,"CANT",[2]Tablas!$A18),0)</f>
        <v>0</v>
      </c>
      <c r="O48" s="15">
        <f ca="1">IFERROR(GETPIVOTDATA("Cuenta de CANT",Tabla9,"PROV",[2]Tablas!$A$49,"SEFIS",O$52,"CANT",[2]Tablas!$A18),0)</f>
        <v>0</v>
      </c>
      <c r="P48" s="15">
        <f ca="1">IFERROR(GETPIVOTDATA("Cuenta de CANT",Tabla9,"PROV",[2]Tablas!$A$49,"SEFIS",P$52,"CANT",[2]Tablas!$A18),0)</f>
        <v>0</v>
      </c>
      <c r="Q48" s="15">
        <f ca="1">IFERROR(GETPIVOTDATA("Cuenta de CANT",Tabla9,"PROV",[2]Tablas!$A$49,"SEFIS",Q$52,"CANT",[2]Tablas!$A18),0)</f>
        <v>0</v>
      </c>
      <c r="R48" s="15">
        <f ca="1">IFERROR(GETPIVOTDATA("Cuenta de CANT",Tabla9,"PROV",[2]Tablas!$A$49,"SEFIS",R$52,"CANT",[2]Tablas!$A18),0)</f>
        <v>0</v>
      </c>
      <c r="S48" s="15">
        <f ca="1">IFERROR(GETPIVOTDATA("Cuenta de CANT",Tabla9,"PROV",[2]Tablas!$A$49,"SEFIS",S$52,"CANT",[2]Tablas!$A18),0)</f>
        <v>0</v>
      </c>
      <c r="T48" s="15">
        <f ca="1">IFERROR(GETPIVOTDATA("Cuenta de CANT",Tabla9,"PROV",[2]Tablas!$A$49,"SEFIS",T$52,"CANT",[2]Tablas!$A18),0)</f>
        <v>0</v>
      </c>
      <c r="U48" s="15">
        <f ca="1">IFERROR(GETPIVOTDATA("Cuenta de CANT",Tabla9,"PROV",[2]Tablas!$A$49,"SEFIS",U$52,"CANT",[2]Tablas!$A18),0)</f>
        <v>0</v>
      </c>
      <c r="V48" s="15">
        <f ca="1">IFERROR(GETPIVOTDATA("Cuenta de CANT",Tabla9,"PROV",[2]Tablas!$A$49,"SEFIS",V$52,"CANT",[2]Tablas!$A18),0)</f>
        <v>0</v>
      </c>
      <c r="W48" s="15">
        <f ca="1">IFERROR(GETPIVOTDATA("Cuenta de CANT",Tabla9,"PROV",[2]Tablas!$A$49,"SEFIS",W$52,"CANT",[2]Tablas!$A18),0)</f>
        <v>0</v>
      </c>
      <c r="X48" s="15">
        <f ca="1">IFERROR(GETPIVOTDATA("Cuenta de CANT",Tabla9,"PROV",[2]Tablas!$A$49,"SEFIS",X$52,"CANT",[2]Tablas!$A18),0)</f>
        <v>0</v>
      </c>
      <c r="Y48" s="15">
        <f ca="1">IFERROR(GETPIVOTDATA("Cuenta de CANT",Tabla9,"PROV",[2]Tablas!$A$49,"SEFIS",Y$52,"CANT",[2]Tablas!$A18),0)</f>
        <v>0</v>
      </c>
      <c r="Z48" s="15">
        <f ca="1">IFERROR(GETPIVOTDATA("Cuenta de CANT",Tabla9,"PROV",[2]Tablas!$A$49,"SEFIS",Z$52,"CANT",[2]Tablas!$A18),0)</f>
        <v>0</v>
      </c>
      <c r="AA48" s="15">
        <f ca="1">IFERROR(GETPIVOTDATA("Cuenta de CANT",Tabla9,"PROV",[2]Tablas!$A$49,"SEFIS",AA$52,"CANT",[2]Tablas!$A18),0)</f>
        <v>0</v>
      </c>
      <c r="AB48" s="15">
        <f ca="1">IFERROR(GETPIVOTDATA("Cuenta de CANT",Tabla9,"PROV",[2]Tablas!$A$49,"SEFIS",AB$52,"CANT",[2]Tablas!$A18),0)</f>
        <v>2</v>
      </c>
      <c r="AC48" s="15">
        <f ca="1">IFERROR(GETPIVOTDATA("Cuenta de CANT",Tabla9,"PROV",[2]Tablas!$A$49,"SEFIS",AC$52,"CANT",[2]Tablas!$A18),0)</f>
        <v>1</v>
      </c>
      <c r="AD48" s="15">
        <f ca="1">IFERROR(GETPIVOTDATA("Cuenta de CANT",Tabla9,"PROV",[2]Tablas!$A$49,"SEFIS",AD$52,"CANT",[2]Tablas!$A18),0)</f>
        <v>1</v>
      </c>
      <c r="AE48" s="15">
        <f ca="1">IFERROR(GETPIVOTDATA("Cuenta de CANT",Tabla9,"PROV",[2]Tablas!$A$49,"SEFIS",AE$52,"CANT",[2]Tablas!$A18),0)</f>
        <v>3</v>
      </c>
      <c r="AF48" s="15">
        <f ca="1">IFERROR(GETPIVOTDATA("Cuenta de CANT",Tabla9,"PROV",[2]Tablas!$A$49,"SEFIS",AF$52,"CANT",[2]Tablas!$A18),0)</f>
        <v>4</v>
      </c>
      <c r="AG48" s="15">
        <f ca="1">IFERROR(GETPIVOTDATA("Cuenta de CANT",Tabla9,"PROV",[2]Tablas!$A$49,"SEFIS",AG$52,"CANT",[2]Tablas!$A18),0)</f>
        <v>3</v>
      </c>
      <c r="AH48" s="15">
        <f ca="1">IFERROR(GETPIVOTDATA("Cuenta de CANT",Tabla9,"PROV",[2]Tablas!$A$49,"SEFIS",AH$52,"CANT",[2]Tablas!$A18),0)</f>
        <v>1</v>
      </c>
      <c r="AI48" s="15">
        <f ca="1">IFERROR(GETPIVOTDATA("Cuenta de CANT",Tabla9,"PROV",[2]Tablas!$A$49,"SEFIS",AI$52,"CANT",[2]Tablas!$A18),0)</f>
        <v>10</v>
      </c>
      <c r="AJ48" s="15">
        <f ca="1">IFERROR(GETPIVOTDATA("Cuenta de CANT",Tabla9,"PROV",[2]Tablas!$A$49,"SEFIS",AJ$52,"CANT",[2]Tablas!$A18),0)</f>
        <v>4</v>
      </c>
      <c r="AK48" s="15">
        <f ca="1">IFERROR(GETPIVOTDATA("Cuenta de CANT",Tabla9,"PROV",[2]Tablas!$A$49,"SEFIS",AK$52,"CANT",[2]Tablas!$A18),0)</f>
        <v>1</v>
      </c>
      <c r="AL48" s="15">
        <f ca="1">IFERROR(GETPIVOTDATA("Cuenta de CANT",Tabla9,"PROV",[2]Tablas!$A$49,"SEFIS",AL$52,"CANT",[2]Tablas!$A18),0)</f>
        <v>3</v>
      </c>
      <c r="AM48" s="15">
        <f ca="1">IFERROR(GETPIVOTDATA("Cuenta de CANT",Tabla9,"PROV",[2]Tablas!$A$49,"SEFIS",AM$52,"CANT",[2]Tablas!$A18),0)</f>
        <v>0</v>
      </c>
      <c r="AN48" s="15">
        <f ca="1">IFERROR(GETPIVOTDATA("Cuenta de CANT",Tabla9,"PROV",[2]Tablas!$A$49,"SEFIS",AN$52,"CANT",[2]Tablas!$A18),0)</f>
        <v>0</v>
      </c>
      <c r="AO48" s="15">
        <f ca="1">IFERROR(GETPIVOTDATA("Cuenta de CANT",Tabla9,"PROV",[2]Tablas!$A$49,"SEFIS",AO$52,"CANT",[2]Tablas!$A18),0)</f>
        <v>1</v>
      </c>
      <c r="AP48" s="15">
        <f ca="1">IFERROR(GETPIVOTDATA("Cuenta de CANT",Tabla9,"PROV",[2]Tablas!$A$49,"SEFIS",AP$52,"CANT",[2]Tablas!$A18),0)</f>
        <v>0</v>
      </c>
      <c r="AQ48" s="15">
        <f ca="1">IFERROR(GETPIVOTDATA("Cuenta de CANT",Tabla9,"PROV",[2]Tablas!$A$49,"SEFIS",AQ$52,"CANT",[2]Tablas!$A18),0)</f>
        <v>1</v>
      </c>
      <c r="AR48" s="15">
        <f ca="1">IFERROR(GETPIVOTDATA("Cuenta de CANT",Tabla9,"PROV",[2]Tablas!$A$49,"SEFIS",AR$52,"CANT",[2]Tablas!$A18),0)</f>
        <v>1</v>
      </c>
      <c r="AS48" s="15">
        <f ca="1">IFERROR(GETPIVOTDATA("Cuenta de CANT",Tabla9,"PROV",[2]Tablas!$A$49,"SEFIS",AS$52,"CANT",[2]Tablas!$A18),0)</f>
        <v>1</v>
      </c>
      <c r="AT48" s="15">
        <f ca="1">IFERROR(GETPIVOTDATA("Cuenta de CANT",Tabla9,"PROV",[2]Tablas!$A$49,"SEFIS",AT$52,"CANT",[2]Tablas!$A18),0)</f>
        <v>1</v>
      </c>
      <c r="AU48" s="15">
        <f ca="1">IFERROR(GETPIVOTDATA("Cuenta de CANT",Tabla9,"PROV",[2]Tablas!$A$49,"SEFIS",AU$52,"CANT",[2]Tablas!$A18),0)</f>
        <v>1</v>
      </c>
      <c r="AV48" s="15">
        <f ca="1">IFERROR(GETPIVOTDATA("Cuenta de CANT",Tabla9,"PROV",[2]Tablas!$A$49,"SEFIS",AV$52,"CANT",[2]Tablas!$A18),0)</f>
        <v>0</v>
      </c>
      <c r="AW48" s="15">
        <f ca="1">IFERROR(GETPIVOTDATA("Cuenta de CANT",Tabla9,"PROV",[2]Tablas!$A$49,"SEFIS",AW$52,"CANT",[2]Tablas!$A18),0)</f>
        <v>1</v>
      </c>
      <c r="AX48" s="15">
        <f ca="1">IFERROR(GETPIVOTDATA("Cuenta de CANT",Tabla9,"PROV",[2]Tablas!$A$49,"SEFIS",AX$52,"CANT",[2]Tablas!$A18),0)</f>
        <v>0</v>
      </c>
      <c r="AY48" s="15">
        <f ca="1">IFERROR(GETPIVOTDATA("Cuenta de CANT",Tabla9,"PROV",[2]Tablas!$A$49,"SEFIS",AY$52,"CANT",[2]Tablas!$A18),0)</f>
        <v>0</v>
      </c>
      <c r="AZ48" s="15">
        <f ca="1">IFERROR(GETPIVOTDATA("Cuenta de CANT",Tabla9,"PROV",[2]Tablas!$A$49,"SEFIS",AZ$52,"CANT",[2]Tablas!$A18),0)</f>
        <v>3</v>
      </c>
      <c r="BA48" s="15">
        <f ca="1">IFERROR(GETPIVOTDATA("Cuenta de CANT",Tabla9,"PROV",[2]Tablas!$A$49,"SEFIS",BA$52,"CANT",[2]Tablas!$A18),0)</f>
        <v>3</v>
      </c>
      <c r="BB48" s="15">
        <f ca="1">IFERROR(GETPIVOTDATA("Cuenta de CANT",Tabla9,"PROV",[2]Tablas!$A$49,"SEFIS",BB$52,"CANT",[2]Tablas!$A18),0)</f>
        <v>6</v>
      </c>
      <c r="BC48" s="15">
        <f ca="1">IFERROR(GETPIVOTDATA("Cuenta de CANT",Tabla9,"PROV",[2]Tablas!$A$49,"SEFIS",BC$52,"CANT",[2]Tablas!$A18),0)</f>
        <v>1</v>
      </c>
      <c r="BD48" s="15">
        <f ca="1">IFERROR(GETPIVOTDATA("Cuenta de CANT",Tabla9,"PROV",[2]Tablas!$A$49,"SEFIS",BD$52,"CANT",[2]Tablas!$A18),0)</f>
        <v>0</v>
      </c>
    </row>
    <row r="49" spans="1:56" x14ac:dyDescent="0.35">
      <c r="A49" s="14" t="s">
        <v>146</v>
      </c>
      <c r="B49" s="15">
        <f t="shared" ca="1" si="4"/>
        <v>10</v>
      </c>
      <c r="C49" s="16">
        <f ca="1">IFERROR(B49/[2]Tablas!$B19*100000,"N/D")</f>
        <v>50.022510129558299</v>
      </c>
      <c r="D49" s="15">
        <f ca="1">IFERROR(GETPIVOTDATA("Cuenta de CANT",Tabla9,"PROV",[2]Tablas!$A$49,"SEFIS",D$52,"CANT",[2]Tablas!$A19),0)</f>
        <v>0</v>
      </c>
      <c r="E49" s="15">
        <f ca="1">IFERROR(GETPIVOTDATA("Cuenta de CANT",Tabla9,"PROV",[2]Tablas!$A$49,"SEFIS",E$52,"CANT",[2]Tablas!$A19),0)</f>
        <v>0</v>
      </c>
      <c r="F49" s="15">
        <f ca="1">IFERROR(GETPIVOTDATA("Cuenta de CANT",Tabla9,"PROV",[2]Tablas!$A$49,"SEFIS",F$52,"CANT",[2]Tablas!$A19),0)</f>
        <v>1</v>
      </c>
      <c r="G49" s="15">
        <f ca="1">IFERROR(GETPIVOTDATA("Cuenta de CANT",Tabla9,"PROV",[2]Tablas!$A$49,"SEFIS",G$52,"CANT",[2]Tablas!$A19),0)</f>
        <v>0</v>
      </c>
      <c r="H49" s="15">
        <f ca="1">IFERROR(GETPIVOTDATA("Cuenta de CANT",Tabla9,"PROV",[2]Tablas!$A$49,"SEFIS",H$52,"CANT",[2]Tablas!$A19),0)</f>
        <v>0</v>
      </c>
      <c r="I49" s="15">
        <f ca="1">IFERROR(GETPIVOTDATA("Cuenta de CANT",Tabla9,"PROV",[2]Tablas!$A$49,"SEFIS",I$52,"CANT",[2]Tablas!$A19),0)</f>
        <v>0</v>
      </c>
      <c r="J49" s="15">
        <f ca="1">IFERROR(GETPIVOTDATA("Cuenta de CANT",Tabla9,"PROV",[2]Tablas!$A$49,"SEFIS",J$52,"CANT",[2]Tablas!$A19),0)</f>
        <v>0</v>
      </c>
      <c r="K49" s="15">
        <f ca="1">IFERROR(GETPIVOTDATA("Cuenta de CANT",Tabla9,"PROV",[2]Tablas!$A$49,"SEFIS",K$52,"CANT",[2]Tablas!$A19),0)</f>
        <v>0</v>
      </c>
      <c r="L49" s="15">
        <f ca="1">IFERROR(GETPIVOTDATA("Cuenta de CANT",Tabla9,"PROV",[2]Tablas!$A$49,"SEFIS",L$52,"CANT",[2]Tablas!$A19),0)</f>
        <v>0</v>
      </c>
      <c r="M49" s="15">
        <f ca="1">IFERROR(GETPIVOTDATA("Cuenta de CANT",Tabla9,"PROV",[2]Tablas!$A$49,"SEFIS",M$52,"CANT",[2]Tablas!$A19),0)</f>
        <v>0</v>
      </c>
      <c r="N49" s="15">
        <f ca="1">IFERROR(GETPIVOTDATA("Cuenta de CANT",Tabla9,"PROV",[2]Tablas!$A$49,"SEFIS",N$52,"CANT",[2]Tablas!$A19),0)</f>
        <v>1</v>
      </c>
      <c r="O49" s="15">
        <f ca="1">IFERROR(GETPIVOTDATA("Cuenta de CANT",Tabla9,"PROV",[2]Tablas!$A$49,"SEFIS",O$52,"CANT",[2]Tablas!$A19),0)</f>
        <v>0</v>
      </c>
      <c r="P49" s="15">
        <f ca="1">IFERROR(GETPIVOTDATA("Cuenta de CANT",Tabla9,"PROV",[2]Tablas!$A$49,"SEFIS",P$52,"CANT",[2]Tablas!$A19),0)</f>
        <v>0</v>
      </c>
      <c r="Q49" s="15">
        <f ca="1">IFERROR(GETPIVOTDATA("Cuenta de CANT",Tabla9,"PROV",[2]Tablas!$A$49,"SEFIS",Q$52,"CANT",[2]Tablas!$A19),0)</f>
        <v>0</v>
      </c>
      <c r="R49" s="15">
        <f ca="1">IFERROR(GETPIVOTDATA("Cuenta de CANT",Tabla9,"PROV",[2]Tablas!$A$49,"SEFIS",R$52,"CANT",[2]Tablas!$A19),0)</f>
        <v>0</v>
      </c>
      <c r="S49" s="15">
        <f ca="1">IFERROR(GETPIVOTDATA("Cuenta de CANT",Tabla9,"PROV",[2]Tablas!$A$49,"SEFIS",S$52,"CANT",[2]Tablas!$A19),0)</f>
        <v>0</v>
      </c>
      <c r="T49" s="15">
        <f ca="1">IFERROR(GETPIVOTDATA("Cuenta de CANT",Tabla9,"PROV",[2]Tablas!$A$49,"SEFIS",T$52,"CANT",[2]Tablas!$A19),0)</f>
        <v>1</v>
      </c>
      <c r="U49" s="15">
        <f ca="1">IFERROR(GETPIVOTDATA("Cuenta de CANT",Tabla9,"PROV",[2]Tablas!$A$49,"SEFIS",U$52,"CANT",[2]Tablas!$A19),0)</f>
        <v>0</v>
      </c>
      <c r="V49" s="15">
        <f ca="1">IFERROR(GETPIVOTDATA("Cuenta de CANT",Tabla9,"PROV",[2]Tablas!$A$49,"SEFIS",V$52,"CANT",[2]Tablas!$A19),0)</f>
        <v>0</v>
      </c>
      <c r="W49" s="15">
        <f ca="1">IFERROR(GETPIVOTDATA("Cuenta de CANT",Tabla9,"PROV",[2]Tablas!$A$49,"SEFIS",W$52,"CANT",[2]Tablas!$A19),0)</f>
        <v>0</v>
      </c>
      <c r="X49" s="15">
        <f ca="1">IFERROR(GETPIVOTDATA("Cuenta de CANT",Tabla9,"PROV",[2]Tablas!$A$49,"SEFIS",X$52,"CANT",[2]Tablas!$A19),0)</f>
        <v>0</v>
      </c>
      <c r="Y49" s="15">
        <f ca="1">IFERROR(GETPIVOTDATA("Cuenta de CANT",Tabla9,"PROV",[2]Tablas!$A$49,"SEFIS",Y$52,"CANT",[2]Tablas!$A19),0)</f>
        <v>0</v>
      </c>
      <c r="Z49" s="15">
        <f ca="1">IFERROR(GETPIVOTDATA("Cuenta de CANT",Tabla9,"PROV",[2]Tablas!$A$49,"SEFIS",Z$52,"CANT",[2]Tablas!$A19),0)</f>
        <v>0</v>
      </c>
      <c r="AA49" s="15">
        <f ca="1">IFERROR(GETPIVOTDATA("Cuenta de CANT",Tabla9,"PROV",[2]Tablas!$A$49,"SEFIS",AA$52,"CANT",[2]Tablas!$A19),0)</f>
        <v>0</v>
      </c>
      <c r="AB49" s="15">
        <f ca="1">IFERROR(GETPIVOTDATA("Cuenta de CANT",Tabla9,"PROV",[2]Tablas!$A$49,"SEFIS",AB$52,"CANT",[2]Tablas!$A19),0)</f>
        <v>0</v>
      </c>
      <c r="AC49" s="15">
        <f ca="1">IFERROR(GETPIVOTDATA("Cuenta de CANT",Tabla9,"PROV",[2]Tablas!$A$49,"SEFIS",AC$52,"CANT",[2]Tablas!$A19),0)</f>
        <v>0</v>
      </c>
      <c r="AD49" s="15">
        <f ca="1">IFERROR(GETPIVOTDATA("Cuenta de CANT",Tabla9,"PROV",[2]Tablas!$A$49,"SEFIS",AD$52,"CANT",[2]Tablas!$A19),0)</f>
        <v>0</v>
      </c>
      <c r="AE49" s="15">
        <f ca="1">IFERROR(GETPIVOTDATA("Cuenta de CANT",Tabla9,"PROV",[2]Tablas!$A$49,"SEFIS",AE$52,"CANT",[2]Tablas!$A19),0)</f>
        <v>1</v>
      </c>
      <c r="AF49" s="15">
        <f ca="1">IFERROR(GETPIVOTDATA("Cuenta de CANT",Tabla9,"PROV",[2]Tablas!$A$49,"SEFIS",AF$52,"CANT",[2]Tablas!$A19),0)</f>
        <v>0</v>
      </c>
      <c r="AG49" s="15">
        <f ca="1">IFERROR(GETPIVOTDATA("Cuenta de CANT",Tabla9,"PROV",[2]Tablas!$A$49,"SEFIS",AG$52,"CANT",[2]Tablas!$A19),0)</f>
        <v>0</v>
      </c>
      <c r="AH49" s="15">
        <f ca="1">IFERROR(GETPIVOTDATA("Cuenta de CANT",Tabla9,"PROV",[2]Tablas!$A$49,"SEFIS",AH$52,"CANT",[2]Tablas!$A19),0)</f>
        <v>1</v>
      </c>
      <c r="AI49" s="15">
        <f ca="1">IFERROR(GETPIVOTDATA("Cuenta de CANT",Tabla9,"PROV",[2]Tablas!$A$49,"SEFIS",AI$52,"CANT",[2]Tablas!$A19),0)</f>
        <v>0</v>
      </c>
      <c r="AJ49" s="15">
        <f ca="1">IFERROR(GETPIVOTDATA("Cuenta de CANT",Tabla9,"PROV",[2]Tablas!$A$49,"SEFIS",AJ$52,"CANT",[2]Tablas!$A19),0)</f>
        <v>0</v>
      </c>
      <c r="AK49" s="15">
        <f ca="1">IFERROR(GETPIVOTDATA("Cuenta de CANT",Tabla9,"PROV",[2]Tablas!$A$49,"SEFIS",AK$52,"CANT",[2]Tablas!$A19),0)</f>
        <v>0</v>
      </c>
      <c r="AL49" s="15">
        <f ca="1">IFERROR(GETPIVOTDATA("Cuenta de CANT",Tabla9,"PROV",[2]Tablas!$A$49,"SEFIS",AL$52,"CANT",[2]Tablas!$A19),0)</f>
        <v>0</v>
      </c>
      <c r="AM49" s="15">
        <f ca="1">IFERROR(GETPIVOTDATA("Cuenta de CANT",Tabla9,"PROV",[2]Tablas!$A$49,"SEFIS",AM$52,"CANT",[2]Tablas!$A19),0)</f>
        <v>0</v>
      </c>
      <c r="AN49" s="15">
        <f ca="1">IFERROR(GETPIVOTDATA("Cuenta de CANT",Tabla9,"PROV",[2]Tablas!$A$49,"SEFIS",AN$52,"CANT",[2]Tablas!$A19),0)</f>
        <v>0</v>
      </c>
      <c r="AO49" s="15">
        <f ca="1">IFERROR(GETPIVOTDATA("Cuenta de CANT",Tabla9,"PROV",[2]Tablas!$A$49,"SEFIS",AO$52,"CANT",[2]Tablas!$A19),0)</f>
        <v>0</v>
      </c>
      <c r="AP49" s="15">
        <f ca="1">IFERROR(GETPIVOTDATA("Cuenta de CANT",Tabla9,"PROV",[2]Tablas!$A$49,"SEFIS",AP$52,"CANT",[2]Tablas!$A19),0)</f>
        <v>0</v>
      </c>
      <c r="AQ49" s="15">
        <f ca="1">IFERROR(GETPIVOTDATA("Cuenta de CANT",Tabla9,"PROV",[2]Tablas!$A$49,"SEFIS",AQ$52,"CANT",[2]Tablas!$A19),0)</f>
        <v>0</v>
      </c>
      <c r="AR49" s="15">
        <f ca="1">IFERROR(GETPIVOTDATA("Cuenta de CANT",Tabla9,"PROV",[2]Tablas!$A$49,"SEFIS",AR$52,"CANT",[2]Tablas!$A19),0)</f>
        <v>0</v>
      </c>
      <c r="AS49" s="15">
        <f ca="1">IFERROR(GETPIVOTDATA("Cuenta de CANT",Tabla9,"PROV",[2]Tablas!$A$49,"SEFIS",AS$52,"CANT",[2]Tablas!$A19),0)</f>
        <v>1</v>
      </c>
      <c r="AT49" s="15">
        <f ca="1">IFERROR(GETPIVOTDATA("Cuenta de CANT",Tabla9,"PROV",[2]Tablas!$A$49,"SEFIS",AT$52,"CANT",[2]Tablas!$A19),0)</f>
        <v>0</v>
      </c>
      <c r="AU49" s="15">
        <f ca="1">IFERROR(GETPIVOTDATA("Cuenta de CANT",Tabla9,"PROV",[2]Tablas!$A$49,"SEFIS",AU$52,"CANT",[2]Tablas!$A19),0)</f>
        <v>1</v>
      </c>
      <c r="AV49" s="15">
        <f ca="1">IFERROR(GETPIVOTDATA("Cuenta de CANT",Tabla9,"PROV",[2]Tablas!$A$49,"SEFIS",AV$52,"CANT",[2]Tablas!$A19),0)</f>
        <v>0</v>
      </c>
      <c r="AW49" s="15">
        <f ca="1">IFERROR(GETPIVOTDATA("Cuenta de CANT",Tabla9,"PROV",[2]Tablas!$A$49,"SEFIS",AW$52,"CANT",[2]Tablas!$A19),0)</f>
        <v>0</v>
      </c>
      <c r="AX49" s="15">
        <f ca="1">IFERROR(GETPIVOTDATA("Cuenta de CANT",Tabla9,"PROV",[2]Tablas!$A$49,"SEFIS",AX$52,"CANT",[2]Tablas!$A19),0)</f>
        <v>0</v>
      </c>
      <c r="AY49" s="15">
        <f ca="1">IFERROR(GETPIVOTDATA("Cuenta de CANT",Tabla9,"PROV",[2]Tablas!$A$49,"SEFIS",AY$52,"CANT",[2]Tablas!$A19),0)</f>
        <v>0</v>
      </c>
      <c r="AZ49" s="15">
        <f ca="1">IFERROR(GETPIVOTDATA("Cuenta de CANT",Tabla9,"PROV",[2]Tablas!$A$49,"SEFIS",AZ$52,"CANT",[2]Tablas!$A19),0)</f>
        <v>0</v>
      </c>
      <c r="BA49" s="15">
        <f ca="1">IFERROR(GETPIVOTDATA("Cuenta de CANT",Tabla9,"PROV",[2]Tablas!$A$49,"SEFIS",BA$52,"CANT",[2]Tablas!$A19),0)</f>
        <v>0</v>
      </c>
      <c r="BB49" s="15">
        <f ca="1">IFERROR(GETPIVOTDATA("Cuenta de CANT",Tabla9,"PROV",[2]Tablas!$A$49,"SEFIS",BB$52,"CANT",[2]Tablas!$A19),0)</f>
        <v>1</v>
      </c>
      <c r="BC49" s="15">
        <f ca="1">IFERROR(GETPIVOTDATA("Cuenta de CANT",Tabla9,"PROV",[2]Tablas!$A$49,"SEFIS",BC$52,"CANT",[2]Tablas!$A19),0)</f>
        <v>2</v>
      </c>
      <c r="BD49" s="15">
        <f ca="1">IFERROR(GETPIVOTDATA("Cuenta de CANT",Tabla9,"PROV",[2]Tablas!$A$49,"SEFIS",BD$52,"CANT",[2]Tablas!$A19),0)</f>
        <v>0</v>
      </c>
    </row>
    <row r="50" spans="1:56" x14ac:dyDescent="0.35">
      <c r="A50" s="14" t="s">
        <v>147</v>
      </c>
      <c r="B50" s="15">
        <f ca="1">SUM(D50:BD50)</f>
        <v>22</v>
      </c>
      <c r="C50" s="16">
        <f ca="1">IFERROR(B50/[2]Tablas!$B20*100000,"N/D")</f>
        <v>122.02562538133007</v>
      </c>
      <c r="D50" s="15">
        <f ca="1">IFERROR(GETPIVOTDATA("Cuenta de CANT",Tabla9,"PROV",[2]Tablas!$A$49,"SEFIS",D$52,"CANT",[2]Tablas!$A20),0)</f>
        <v>1</v>
      </c>
      <c r="E50" s="15">
        <f ca="1">IFERROR(GETPIVOTDATA("Cuenta de CANT",Tabla9,"PROV",[2]Tablas!$A$49,"SEFIS",E$52,"CANT",[2]Tablas!$A20),0)</f>
        <v>2</v>
      </c>
      <c r="F50" s="15">
        <f ca="1">IFERROR(GETPIVOTDATA("Cuenta de CANT",Tabla9,"PROV",[2]Tablas!$A$49,"SEFIS",F$52,"CANT",[2]Tablas!$A20),0)</f>
        <v>2</v>
      </c>
      <c r="G50" s="15">
        <f ca="1">IFERROR(GETPIVOTDATA("Cuenta de CANT",Tabla9,"PROV",[2]Tablas!$A$49,"SEFIS",G$52,"CANT",[2]Tablas!$A20),0)</f>
        <v>0</v>
      </c>
      <c r="H50" s="15">
        <f ca="1">IFERROR(GETPIVOTDATA("Cuenta de CANT",Tabla9,"PROV",[2]Tablas!$A$49,"SEFIS",H$52,"CANT",[2]Tablas!$A20),0)</f>
        <v>1</v>
      </c>
      <c r="I50" s="15">
        <f ca="1">IFERROR(GETPIVOTDATA("Cuenta de CANT",Tabla9,"PROV",[2]Tablas!$A$49,"SEFIS",I$52,"CANT",[2]Tablas!$A20),0)</f>
        <v>0</v>
      </c>
      <c r="J50" s="15">
        <f ca="1">IFERROR(GETPIVOTDATA("Cuenta de CANT",Tabla9,"PROV",[2]Tablas!$A$49,"SEFIS",J$52,"CANT",[2]Tablas!$A20),0)</f>
        <v>0</v>
      </c>
      <c r="K50" s="15">
        <f ca="1">IFERROR(GETPIVOTDATA("Cuenta de CANT",Tabla9,"PROV",[2]Tablas!$A$49,"SEFIS",K$52,"CANT",[2]Tablas!$A20),0)</f>
        <v>0</v>
      </c>
      <c r="L50" s="15">
        <f ca="1">IFERROR(GETPIVOTDATA("Cuenta de CANT",Tabla9,"PROV",[2]Tablas!$A$49,"SEFIS",L$52,"CANT",[2]Tablas!$A20),0)</f>
        <v>0</v>
      </c>
      <c r="M50" s="15">
        <f ca="1">IFERROR(GETPIVOTDATA("Cuenta de CANT",Tabla9,"PROV",[2]Tablas!$A$49,"SEFIS",M$52,"CANT",[2]Tablas!$A20),0)</f>
        <v>0</v>
      </c>
      <c r="N50" s="15">
        <f ca="1">IFERROR(GETPIVOTDATA("Cuenta de CANT",Tabla9,"PROV",[2]Tablas!$A$49,"SEFIS",N$52,"CANT",[2]Tablas!$A20),0)</f>
        <v>0</v>
      </c>
      <c r="O50" s="15">
        <f ca="1">IFERROR(GETPIVOTDATA("Cuenta de CANT",Tabla9,"PROV",[2]Tablas!$A$49,"SEFIS",O$52,"CANT",[2]Tablas!$A20),0)</f>
        <v>1</v>
      </c>
      <c r="P50" s="15">
        <f ca="1">IFERROR(GETPIVOTDATA("Cuenta de CANT",Tabla9,"PROV",[2]Tablas!$A$49,"SEFIS",P$52,"CANT",[2]Tablas!$A20),0)</f>
        <v>0</v>
      </c>
      <c r="Q50" s="15">
        <f ca="1">IFERROR(GETPIVOTDATA("Cuenta de CANT",Tabla9,"PROV",[2]Tablas!$A$49,"SEFIS",Q$52,"CANT",[2]Tablas!$A20),0)</f>
        <v>0</v>
      </c>
      <c r="R50" s="15">
        <f ca="1">IFERROR(GETPIVOTDATA("Cuenta de CANT",Tabla9,"PROV",[2]Tablas!$A$49,"SEFIS",R$52,"CANT",[2]Tablas!$A20),0)</f>
        <v>0</v>
      </c>
      <c r="S50" s="15">
        <f ca="1">IFERROR(GETPIVOTDATA("Cuenta de CANT",Tabla9,"PROV",[2]Tablas!$A$49,"SEFIS",S$52,"CANT",[2]Tablas!$A20),0)</f>
        <v>1</v>
      </c>
      <c r="T50" s="15">
        <f ca="1">IFERROR(GETPIVOTDATA("Cuenta de CANT",Tabla9,"PROV",[2]Tablas!$A$49,"SEFIS",T$52,"CANT",[2]Tablas!$A20),0)</f>
        <v>0</v>
      </c>
      <c r="U50" s="15">
        <f ca="1">IFERROR(GETPIVOTDATA("Cuenta de CANT",Tabla9,"PROV",[2]Tablas!$A$49,"SEFIS",U$52,"CANT",[2]Tablas!$A20),0)</f>
        <v>0</v>
      </c>
      <c r="V50" s="15">
        <f ca="1">IFERROR(GETPIVOTDATA("Cuenta de CANT",Tabla9,"PROV",[2]Tablas!$A$49,"SEFIS",V$52,"CANT",[2]Tablas!$A20),0)</f>
        <v>0</v>
      </c>
      <c r="W50" s="15">
        <f ca="1">IFERROR(GETPIVOTDATA("Cuenta de CANT",Tabla9,"PROV",[2]Tablas!$A$49,"SEFIS",W$52,"CANT",[2]Tablas!$A20),0)</f>
        <v>1</v>
      </c>
      <c r="X50" s="15">
        <f ca="1">IFERROR(GETPIVOTDATA("Cuenta de CANT",Tabla9,"PROV",[2]Tablas!$A$49,"SEFIS",X$52,"CANT",[2]Tablas!$A20),0)</f>
        <v>0</v>
      </c>
      <c r="Y50" s="15">
        <f ca="1">IFERROR(GETPIVOTDATA("Cuenta de CANT",Tabla9,"PROV",[2]Tablas!$A$49,"SEFIS",Y$52,"CANT",[2]Tablas!$A20),0)</f>
        <v>0</v>
      </c>
      <c r="Z50" s="15">
        <f ca="1">IFERROR(GETPIVOTDATA("Cuenta de CANT",Tabla9,"PROV",[2]Tablas!$A$49,"SEFIS",Z$52,"CANT",[2]Tablas!$A20),0)</f>
        <v>0</v>
      </c>
      <c r="AA50" s="15">
        <f ca="1">IFERROR(GETPIVOTDATA("Cuenta de CANT",Tabla9,"PROV",[2]Tablas!$A$49,"SEFIS",AA$52,"CANT",[2]Tablas!$A20),0)</f>
        <v>0</v>
      </c>
      <c r="AB50" s="15">
        <f ca="1">IFERROR(GETPIVOTDATA("Cuenta de CANT",Tabla9,"PROV",[2]Tablas!$A$49,"SEFIS",AB$52,"CANT",[2]Tablas!$A20),0)</f>
        <v>0</v>
      </c>
      <c r="AC50" s="15">
        <f ca="1">IFERROR(GETPIVOTDATA("Cuenta de CANT",Tabla9,"PROV",[2]Tablas!$A$49,"SEFIS",AC$52,"CANT",[2]Tablas!$A20),0)</f>
        <v>0</v>
      </c>
      <c r="AD50" s="15">
        <f ca="1">IFERROR(GETPIVOTDATA("Cuenta de CANT",Tabla9,"PROV",[2]Tablas!$A$49,"SEFIS",AD$52,"CANT",[2]Tablas!$A20),0)</f>
        <v>0</v>
      </c>
      <c r="AE50" s="15">
        <f ca="1">IFERROR(GETPIVOTDATA("Cuenta de CANT",Tabla9,"PROV",[2]Tablas!$A$49,"SEFIS",AE$52,"CANT",[2]Tablas!$A20),0)</f>
        <v>2</v>
      </c>
      <c r="AF50" s="15">
        <f ca="1">IFERROR(GETPIVOTDATA("Cuenta de CANT",Tabla9,"PROV",[2]Tablas!$A$49,"SEFIS",AF$52,"CANT",[2]Tablas!$A20),0)</f>
        <v>0</v>
      </c>
      <c r="AG50" s="15">
        <f ca="1">IFERROR(GETPIVOTDATA("Cuenta de CANT",Tabla9,"PROV",[2]Tablas!$A$49,"SEFIS",AG$52,"CANT",[2]Tablas!$A20),0)</f>
        <v>3</v>
      </c>
      <c r="AH50" s="15">
        <f ca="1">IFERROR(GETPIVOTDATA("Cuenta de CANT",Tabla9,"PROV",[2]Tablas!$A$49,"SEFIS",AH$52,"CANT",[2]Tablas!$A20),0)</f>
        <v>3</v>
      </c>
      <c r="AI50" s="15">
        <f ca="1">IFERROR(GETPIVOTDATA("Cuenta de CANT",Tabla9,"PROV",[2]Tablas!$A$49,"SEFIS",AI$52,"CANT",[2]Tablas!$A20),0)</f>
        <v>0</v>
      </c>
      <c r="AJ50" s="15">
        <f ca="1">IFERROR(GETPIVOTDATA("Cuenta de CANT",Tabla9,"PROV",[2]Tablas!$A$49,"SEFIS",AJ$52,"CANT",[2]Tablas!$A20),0)</f>
        <v>0</v>
      </c>
      <c r="AK50" s="15">
        <f ca="1">IFERROR(GETPIVOTDATA("Cuenta de CANT",Tabla9,"PROV",[2]Tablas!$A$49,"SEFIS",AK$52,"CANT",[2]Tablas!$A20),0)</f>
        <v>0</v>
      </c>
      <c r="AL50" s="15">
        <f ca="1">IFERROR(GETPIVOTDATA("Cuenta de CANT",Tabla9,"PROV",[2]Tablas!$A$49,"SEFIS",AL$52,"CANT",[2]Tablas!$A20),0)</f>
        <v>0</v>
      </c>
      <c r="AM50" s="15">
        <f ca="1">IFERROR(GETPIVOTDATA("Cuenta de CANT",Tabla9,"PROV",[2]Tablas!$A$49,"SEFIS",AM$52,"CANT",[2]Tablas!$A20),0)</f>
        <v>0</v>
      </c>
      <c r="AN50" s="15">
        <f ca="1">IFERROR(GETPIVOTDATA("Cuenta de CANT",Tabla9,"PROV",[2]Tablas!$A$49,"SEFIS",AN$52,"CANT",[2]Tablas!$A20),0)</f>
        <v>0</v>
      </c>
      <c r="AO50" s="15">
        <f ca="1">IFERROR(GETPIVOTDATA("Cuenta de CANT",Tabla9,"PROV",[2]Tablas!$A$49,"SEFIS",AO$52,"CANT",[2]Tablas!$A20),0)</f>
        <v>0</v>
      </c>
      <c r="AP50" s="15">
        <f ca="1">IFERROR(GETPIVOTDATA("Cuenta de CANT",Tabla9,"PROV",[2]Tablas!$A$49,"SEFIS",AP$52,"CANT",[2]Tablas!$A20),0)</f>
        <v>0</v>
      </c>
      <c r="AQ50" s="15">
        <f ca="1">IFERROR(GETPIVOTDATA("Cuenta de CANT",Tabla9,"PROV",[2]Tablas!$A$49,"SEFIS",AQ$52,"CANT",[2]Tablas!$A20),0)</f>
        <v>0</v>
      </c>
      <c r="AR50" s="15">
        <f ca="1">IFERROR(GETPIVOTDATA("Cuenta de CANT",Tabla9,"PROV",[2]Tablas!$A$49,"SEFIS",AR$52,"CANT",[2]Tablas!$A20),0)</f>
        <v>0</v>
      </c>
      <c r="AS50" s="15">
        <f ca="1">IFERROR(GETPIVOTDATA("Cuenta de CANT",Tabla9,"PROV",[2]Tablas!$A$49,"SEFIS",AS$52,"CANT",[2]Tablas!$A20),0)</f>
        <v>0</v>
      </c>
      <c r="AT50" s="15">
        <f ca="1">IFERROR(GETPIVOTDATA("Cuenta de CANT",Tabla9,"PROV",[2]Tablas!$A$49,"SEFIS",AT$52,"CANT",[2]Tablas!$A20),0)</f>
        <v>0</v>
      </c>
      <c r="AU50" s="15">
        <f ca="1">IFERROR(GETPIVOTDATA("Cuenta de CANT",Tabla9,"PROV",[2]Tablas!$A$49,"SEFIS",AU$52,"CANT",[2]Tablas!$A20),0)</f>
        <v>0</v>
      </c>
      <c r="AV50" s="15">
        <f ca="1">IFERROR(GETPIVOTDATA("Cuenta de CANT",Tabla9,"PROV",[2]Tablas!$A$49,"SEFIS",AV$52,"CANT",[2]Tablas!$A20),0)</f>
        <v>0</v>
      </c>
      <c r="AW50" s="15">
        <f ca="1">IFERROR(GETPIVOTDATA("Cuenta de CANT",Tabla9,"PROV",[2]Tablas!$A$49,"SEFIS",AW$52,"CANT",[2]Tablas!$A20),0)</f>
        <v>0</v>
      </c>
      <c r="AX50" s="15">
        <f ca="1">IFERROR(GETPIVOTDATA("Cuenta de CANT",Tabla9,"PROV",[2]Tablas!$A$49,"SEFIS",AX$52,"CANT",[2]Tablas!$A20),0)</f>
        <v>0</v>
      </c>
      <c r="AY50" s="15">
        <f ca="1">IFERROR(GETPIVOTDATA("Cuenta de CANT",Tabla9,"PROV",[2]Tablas!$A$49,"SEFIS",AY$52,"CANT",[2]Tablas!$A20),0)</f>
        <v>1</v>
      </c>
      <c r="AZ50" s="15">
        <f ca="1">IFERROR(GETPIVOTDATA("Cuenta de CANT",Tabla9,"PROV",[2]Tablas!$A$49,"SEFIS",AZ$52,"CANT",[2]Tablas!$A20),0)</f>
        <v>0</v>
      </c>
      <c r="BA50" s="15">
        <f ca="1">IFERROR(GETPIVOTDATA("Cuenta de CANT",Tabla9,"PROV",[2]Tablas!$A$49,"SEFIS",BA$52,"CANT",[2]Tablas!$A20),0)</f>
        <v>1</v>
      </c>
      <c r="BB50" s="15">
        <f ca="1">IFERROR(GETPIVOTDATA("Cuenta de CANT",Tabla9,"PROV",[2]Tablas!$A$49,"SEFIS",BB$52,"CANT",[2]Tablas!$A20),0)</f>
        <v>2</v>
      </c>
      <c r="BC50" s="15">
        <f ca="1">IFERROR(GETPIVOTDATA("Cuenta de CANT",Tabla9,"PROV",[2]Tablas!$A$49,"SEFIS",BC$52,"CANT",[2]Tablas!$A20),0)</f>
        <v>1</v>
      </c>
      <c r="BD50" s="15">
        <f ca="1">IFERROR(GETPIVOTDATA("Cuenta de CANT",Tabla9,"PROV",[2]Tablas!$A$49,"SEFIS",BD$52,"CANT",[2]Tablas!$A20),0)</f>
        <v>0</v>
      </c>
    </row>
    <row r="51" spans="1:56" x14ac:dyDescent="0.35">
      <c r="A51" s="19"/>
      <c r="B51" s="19"/>
      <c r="C51" s="19"/>
      <c r="D51" s="19"/>
      <c r="E51" s="19"/>
      <c r="F51" s="19"/>
      <c r="G51" s="19"/>
      <c r="H51" s="19"/>
      <c r="I51" s="19"/>
      <c r="J51" s="19"/>
      <c r="K51" s="19"/>
      <c r="L51" s="19"/>
      <c r="M51" s="19"/>
      <c r="N51" s="19"/>
      <c r="O51" s="19"/>
      <c r="P51" s="19"/>
      <c r="Q51" s="19"/>
      <c r="R51" s="19"/>
      <c r="S51" s="19"/>
      <c r="T51" s="19"/>
      <c r="U51" s="19"/>
      <c r="V51" s="19"/>
      <c r="W51" s="19"/>
      <c r="X51" s="19"/>
      <c r="Y51" s="19"/>
      <c r="Z51" s="19"/>
      <c r="AA51" s="19"/>
      <c r="AB51" s="19"/>
      <c r="AC51" s="19"/>
      <c r="AD51" s="19"/>
      <c r="AE51" s="19"/>
      <c r="AF51" s="19"/>
      <c r="AG51" s="19"/>
      <c r="AH51" s="19"/>
      <c r="AI51" s="19"/>
      <c r="AJ51" s="19"/>
      <c r="AK51" s="19"/>
      <c r="AL51" s="19"/>
      <c r="AM51" s="19"/>
      <c r="AN51" s="19"/>
      <c r="AO51" s="19"/>
      <c r="AP51" s="19"/>
      <c r="AQ51" s="19"/>
      <c r="AR51" s="19"/>
      <c r="AS51" s="19"/>
      <c r="AT51" s="19"/>
      <c r="AU51" s="19"/>
      <c r="AV51" s="19"/>
      <c r="AW51" s="19"/>
      <c r="AX51" s="19"/>
      <c r="AY51" s="19"/>
      <c r="AZ51" s="19"/>
      <c r="BA51" s="19"/>
      <c r="BB51" s="19"/>
      <c r="BC51" s="19"/>
      <c r="BD51" s="19"/>
    </row>
    <row r="52" spans="1:56" x14ac:dyDescent="0.35">
      <c r="A52" s="1" t="s">
        <v>148</v>
      </c>
      <c r="B52" s="10">
        <f ca="1">SUM(D52:BD52)</f>
        <v>171</v>
      </c>
      <c r="C52" s="11">
        <f ca="1">IFERROR(B52/[2]Tablas!$B22*100000,"N/D")</f>
        <v>32.087728976908089</v>
      </c>
      <c r="D52" s="10">
        <f ca="1">SUM(D53:D60)</f>
        <v>3</v>
      </c>
      <c r="E52" s="10">
        <f t="shared" ref="E52:BD52" ca="1" si="5">SUM(E53:E60)</f>
        <v>6</v>
      </c>
      <c r="F52" s="10">
        <f t="shared" ca="1" si="5"/>
        <v>3</v>
      </c>
      <c r="G52" s="10">
        <f t="shared" ca="1" si="5"/>
        <v>6</v>
      </c>
      <c r="H52" s="10">
        <f t="shared" ca="1" si="5"/>
        <v>4</v>
      </c>
      <c r="I52" s="10">
        <f t="shared" ca="1" si="5"/>
        <v>4</v>
      </c>
      <c r="J52" s="10">
        <f t="shared" ca="1" si="5"/>
        <v>1</v>
      </c>
      <c r="K52" s="10">
        <f t="shared" ca="1" si="5"/>
        <v>2</v>
      </c>
      <c r="L52" s="10">
        <f t="shared" ca="1" si="5"/>
        <v>1</v>
      </c>
      <c r="M52" s="10">
        <f t="shared" ca="1" si="5"/>
        <v>1</v>
      </c>
      <c r="N52" s="10">
        <f t="shared" ca="1" si="5"/>
        <v>5</v>
      </c>
      <c r="O52" s="10">
        <f t="shared" ca="1" si="5"/>
        <v>0</v>
      </c>
      <c r="P52" s="10">
        <f t="shared" ca="1" si="5"/>
        <v>3</v>
      </c>
      <c r="Q52" s="10">
        <f t="shared" ca="1" si="5"/>
        <v>3</v>
      </c>
      <c r="R52" s="10">
        <f t="shared" ca="1" si="5"/>
        <v>2</v>
      </c>
      <c r="S52" s="10">
        <f t="shared" ca="1" si="5"/>
        <v>4</v>
      </c>
      <c r="T52" s="10">
        <f t="shared" ca="1" si="5"/>
        <v>2</v>
      </c>
      <c r="U52" s="10">
        <f t="shared" ca="1" si="5"/>
        <v>1</v>
      </c>
      <c r="V52" s="10">
        <f t="shared" ca="1" si="5"/>
        <v>0</v>
      </c>
      <c r="W52" s="10">
        <f t="shared" ca="1" si="5"/>
        <v>5</v>
      </c>
      <c r="X52" s="10">
        <f t="shared" ca="1" si="5"/>
        <v>0</v>
      </c>
      <c r="Y52" s="10">
        <f t="shared" ca="1" si="5"/>
        <v>0</v>
      </c>
      <c r="Z52" s="10">
        <f t="shared" ca="1" si="5"/>
        <v>1</v>
      </c>
      <c r="AA52" s="10">
        <f t="shared" ca="1" si="5"/>
        <v>3</v>
      </c>
      <c r="AB52" s="10">
        <f t="shared" ca="1" si="5"/>
        <v>1</v>
      </c>
      <c r="AC52" s="10">
        <f t="shared" ca="1" si="5"/>
        <v>2</v>
      </c>
      <c r="AD52" s="10">
        <f t="shared" ca="1" si="5"/>
        <v>5</v>
      </c>
      <c r="AE52" s="10">
        <f t="shared" ca="1" si="5"/>
        <v>4</v>
      </c>
      <c r="AF52" s="10">
        <f t="shared" ca="1" si="5"/>
        <v>8</v>
      </c>
      <c r="AG52" s="10">
        <f t="shared" ca="1" si="5"/>
        <v>5</v>
      </c>
      <c r="AH52" s="10">
        <f t="shared" ca="1" si="5"/>
        <v>6</v>
      </c>
      <c r="AI52" s="10">
        <f t="shared" ca="1" si="5"/>
        <v>3</v>
      </c>
      <c r="AJ52" s="10">
        <f t="shared" ca="1" si="5"/>
        <v>2</v>
      </c>
      <c r="AK52" s="10">
        <f t="shared" ca="1" si="5"/>
        <v>3</v>
      </c>
      <c r="AL52" s="10">
        <f t="shared" ca="1" si="5"/>
        <v>2</v>
      </c>
      <c r="AM52" s="10">
        <f t="shared" ca="1" si="5"/>
        <v>1</v>
      </c>
      <c r="AN52" s="10">
        <f t="shared" ca="1" si="5"/>
        <v>1</v>
      </c>
      <c r="AO52" s="10">
        <f t="shared" ca="1" si="5"/>
        <v>0</v>
      </c>
      <c r="AP52" s="10">
        <f t="shared" ca="1" si="5"/>
        <v>0</v>
      </c>
      <c r="AQ52" s="10">
        <f t="shared" ca="1" si="5"/>
        <v>2</v>
      </c>
      <c r="AR52" s="10">
        <f t="shared" ca="1" si="5"/>
        <v>3</v>
      </c>
      <c r="AS52" s="10">
        <f t="shared" ca="1" si="5"/>
        <v>0</v>
      </c>
      <c r="AT52" s="10">
        <f t="shared" ca="1" si="5"/>
        <v>2</v>
      </c>
      <c r="AU52" s="10">
        <f t="shared" ca="1" si="5"/>
        <v>5</v>
      </c>
      <c r="AV52" s="10">
        <f t="shared" ca="1" si="5"/>
        <v>7</v>
      </c>
      <c r="AW52" s="10">
        <f t="shared" ca="1" si="5"/>
        <v>2</v>
      </c>
      <c r="AX52" s="10">
        <f t="shared" ca="1" si="5"/>
        <v>7</v>
      </c>
      <c r="AY52" s="10">
        <f t="shared" ca="1" si="5"/>
        <v>10</v>
      </c>
      <c r="AZ52" s="10">
        <f t="shared" ca="1" si="5"/>
        <v>4</v>
      </c>
      <c r="BA52" s="10">
        <f t="shared" ca="1" si="5"/>
        <v>9</v>
      </c>
      <c r="BB52" s="10">
        <f t="shared" ca="1" si="5"/>
        <v>10</v>
      </c>
      <c r="BC52" s="10">
        <f t="shared" ca="1" si="5"/>
        <v>7</v>
      </c>
      <c r="BD52" s="10">
        <f t="shared" ca="1" si="5"/>
        <v>0</v>
      </c>
    </row>
    <row r="53" spans="1:56" x14ac:dyDescent="0.35">
      <c r="A53" s="14" t="s">
        <v>149</v>
      </c>
      <c r="B53" s="15">
        <f ca="1">SUM(D53:BD53)</f>
        <v>24</v>
      </c>
      <c r="C53" s="16">
        <f ca="1">IFERROR(B53/[2]Tablas!$B23*100000,"N/D")</f>
        <v>14.69957738715012</v>
      </c>
      <c r="D53" s="15">
        <f ca="1">IFERROR(GETPIVOTDATA("Cuenta de CANT",Tabla9,"PROV",[2]Tablas!$A$67,"SEFIS",D$52,"CANT",[2]Tablas!$A23),0)</f>
        <v>0</v>
      </c>
      <c r="E53" s="15">
        <f ca="1">IFERROR(GETPIVOTDATA("Cuenta de CANT",Tabla9,"PROV",[2]Tablas!$A$67,"SEFIS",E$52,"CANT",[2]Tablas!$A23),0)</f>
        <v>2</v>
      </c>
      <c r="F53" s="15">
        <f ca="1">IFERROR(GETPIVOTDATA("Cuenta de CANT",Tabla9,"PROV",[2]Tablas!$A$67,"SEFIS",F$52,"CANT",[2]Tablas!$A23),0)</f>
        <v>0</v>
      </c>
      <c r="G53" s="15">
        <f ca="1">IFERROR(GETPIVOTDATA("Cuenta de CANT",Tabla9,"PROV",[2]Tablas!$A$67,"SEFIS",G$52,"CANT",[2]Tablas!$A23),0)</f>
        <v>1</v>
      </c>
      <c r="H53" s="15">
        <f ca="1">IFERROR(GETPIVOTDATA("Cuenta de CANT",Tabla9,"PROV",[2]Tablas!$A$67,"SEFIS",H$52,"CANT",[2]Tablas!$A23),0)</f>
        <v>3</v>
      </c>
      <c r="I53" s="15">
        <f ca="1">IFERROR(GETPIVOTDATA("Cuenta de CANT",Tabla9,"PROV",[2]Tablas!$A$67,"SEFIS",I$52,"CANT",[2]Tablas!$A23),0)</f>
        <v>0</v>
      </c>
      <c r="J53" s="15">
        <f ca="1">IFERROR(GETPIVOTDATA("Cuenta de CANT",Tabla9,"PROV",[2]Tablas!$A$67,"SEFIS",J$52,"CANT",[2]Tablas!$A23),0)</f>
        <v>0</v>
      </c>
      <c r="K53" s="15">
        <f ca="1">IFERROR(GETPIVOTDATA("Cuenta de CANT",Tabla9,"PROV",[2]Tablas!$A$67,"SEFIS",K$52,"CANT",[2]Tablas!$A23),0)</f>
        <v>2</v>
      </c>
      <c r="L53" s="15">
        <f ca="1">IFERROR(GETPIVOTDATA("Cuenta de CANT",Tabla9,"PROV",[2]Tablas!$A$67,"SEFIS",L$52,"CANT",[2]Tablas!$A23),0)</f>
        <v>0</v>
      </c>
      <c r="M53" s="15">
        <f ca="1">IFERROR(GETPIVOTDATA("Cuenta de CANT",Tabla9,"PROV",[2]Tablas!$A$67,"SEFIS",M$52,"CANT",[2]Tablas!$A23),0)</f>
        <v>0</v>
      </c>
      <c r="N53" s="15">
        <f ca="1">IFERROR(GETPIVOTDATA("Cuenta de CANT",Tabla9,"PROV",[2]Tablas!$A$67,"SEFIS",N$52,"CANT",[2]Tablas!$A23),0)</f>
        <v>1</v>
      </c>
      <c r="O53" s="15">
        <f ca="1">IFERROR(GETPIVOTDATA("Cuenta de CANT",Tabla9,"PROV",[2]Tablas!$A$67,"SEFIS",O$52,"CANT",[2]Tablas!$A23),0)</f>
        <v>0</v>
      </c>
      <c r="P53" s="15">
        <f ca="1">IFERROR(GETPIVOTDATA("Cuenta de CANT",Tabla9,"PROV",[2]Tablas!$A$67,"SEFIS",P$52,"CANT",[2]Tablas!$A23),0)</f>
        <v>2</v>
      </c>
      <c r="Q53" s="15">
        <f ca="1">IFERROR(GETPIVOTDATA("Cuenta de CANT",Tabla9,"PROV",[2]Tablas!$A$67,"SEFIS",Q$52,"CANT",[2]Tablas!$A23),0)</f>
        <v>2</v>
      </c>
      <c r="R53" s="15">
        <f ca="1">IFERROR(GETPIVOTDATA("Cuenta de CANT",Tabla9,"PROV",[2]Tablas!$A$67,"SEFIS",R$52,"CANT",[2]Tablas!$A23),0)</f>
        <v>0</v>
      </c>
      <c r="S53" s="15">
        <f ca="1">IFERROR(GETPIVOTDATA("Cuenta de CANT",Tabla9,"PROV",[2]Tablas!$A$67,"SEFIS",S$52,"CANT",[2]Tablas!$A23),0)</f>
        <v>1</v>
      </c>
      <c r="T53" s="15">
        <f ca="1">IFERROR(GETPIVOTDATA("Cuenta de CANT",Tabla9,"PROV",[2]Tablas!$A$67,"SEFIS",T$52,"CANT",[2]Tablas!$A23),0)</f>
        <v>1</v>
      </c>
      <c r="U53" s="15">
        <f ca="1">IFERROR(GETPIVOTDATA("Cuenta de CANT",Tabla9,"PROV",[2]Tablas!$A$67,"SEFIS",U$52,"CANT",[2]Tablas!$A23),0)</f>
        <v>0</v>
      </c>
      <c r="V53" s="15">
        <f ca="1">IFERROR(GETPIVOTDATA("Cuenta de CANT",Tabla9,"PROV",[2]Tablas!$A$67,"SEFIS",V$52,"CANT",[2]Tablas!$A23),0)</f>
        <v>0</v>
      </c>
      <c r="W53" s="15">
        <f ca="1">IFERROR(GETPIVOTDATA("Cuenta de CANT",Tabla9,"PROV",[2]Tablas!$A$67,"SEFIS",W$52,"CANT",[2]Tablas!$A23),0)</f>
        <v>1</v>
      </c>
      <c r="X53" s="15">
        <f ca="1">IFERROR(GETPIVOTDATA("Cuenta de CANT",Tabla9,"PROV",[2]Tablas!$A$67,"SEFIS",X$52,"CANT",[2]Tablas!$A23),0)</f>
        <v>0</v>
      </c>
      <c r="Y53" s="15">
        <f ca="1">IFERROR(GETPIVOTDATA("Cuenta de CANT",Tabla9,"PROV",[2]Tablas!$A$67,"SEFIS",Y$52,"CANT",[2]Tablas!$A23),0)</f>
        <v>0</v>
      </c>
      <c r="Z53" s="15">
        <f ca="1">IFERROR(GETPIVOTDATA("Cuenta de CANT",Tabla9,"PROV",[2]Tablas!$A$67,"SEFIS",Z$52,"CANT",[2]Tablas!$A23),0)</f>
        <v>1</v>
      </c>
      <c r="AA53" s="15">
        <f ca="1">IFERROR(GETPIVOTDATA("Cuenta de CANT",Tabla9,"PROV",[2]Tablas!$A$67,"SEFIS",AA$52,"CANT",[2]Tablas!$A23),0)</f>
        <v>0</v>
      </c>
      <c r="AB53" s="15">
        <f ca="1">IFERROR(GETPIVOTDATA("Cuenta de CANT",Tabla9,"PROV",[2]Tablas!$A$67,"SEFIS",AB$52,"CANT",[2]Tablas!$A23),0)</f>
        <v>0</v>
      </c>
      <c r="AC53" s="15">
        <f ca="1">IFERROR(GETPIVOTDATA("Cuenta de CANT",Tabla9,"PROV",[2]Tablas!$A$67,"SEFIS",AC$52,"CANT",[2]Tablas!$A23),0)</f>
        <v>0</v>
      </c>
      <c r="AD53" s="15">
        <f ca="1">IFERROR(GETPIVOTDATA("Cuenta de CANT",Tabla9,"PROV",[2]Tablas!$A$67,"SEFIS",AD$52,"CANT",[2]Tablas!$A23),0)</f>
        <v>0</v>
      </c>
      <c r="AE53" s="15">
        <f ca="1">IFERROR(GETPIVOTDATA("Cuenta de CANT",Tabla9,"PROV",[2]Tablas!$A$67,"SEFIS",AE$52,"CANT",[2]Tablas!$A23),0)</f>
        <v>0</v>
      </c>
      <c r="AF53" s="15">
        <f ca="1">IFERROR(GETPIVOTDATA("Cuenta de CANT",Tabla9,"PROV",[2]Tablas!$A$67,"SEFIS",AF$52,"CANT",[2]Tablas!$A23),0)</f>
        <v>2</v>
      </c>
      <c r="AG53" s="15">
        <f ca="1">IFERROR(GETPIVOTDATA("Cuenta de CANT",Tabla9,"PROV",[2]Tablas!$A$67,"SEFIS",AG$52,"CANT",[2]Tablas!$A23),0)</f>
        <v>0</v>
      </c>
      <c r="AH53" s="15">
        <f ca="1">IFERROR(GETPIVOTDATA("Cuenta de CANT",Tabla9,"PROV",[2]Tablas!$A$67,"SEFIS",AH$52,"CANT",[2]Tablas!$A23),0)</f>
        <v>1</v>
      </c>
      <c r="AI53" s="15">
        <f ca="1">IFERROR(GETPIVOTDATA("Cuenta de CANT",Tabla9,"PROV",[2]Tablas!$A$67,"SEFIS",AI$52,"CANT",[2]Tablas!$A23),0)</f>
        <v>0</v>
      </c>
      <c r="AJ53" s="15">
        <f ca="1">IFERROR(GETPIVOTDATA("Cuenta de CANT",Tabla9,"PROV",[2]Tablas!$A$67,"SEFIS",AJ$52,"CANT",[2]Tablas!$A23),0)</f>
        <v>0</v>
      </c>
      <c r="AK53" s="15">
        <f ca="1">IFERROR(GETPIVOTDATA("Cuenta de CANT",Tabla9,"PROV",[2]Tablas!$A$67,"SEFIS",AK$52,"CANT",[2]Tablas!$A23),0)</f>
        <v>0</v>
      </c>
      <c r="AL53" s="15">
        <f ca="1">IFERROR(GETPIVOTDATA("Cuenta de CANT",Tabla9,"PROV",[2]Tablas!$A$67,"SEFIS",AL$52,"CANT",[2]Tablas!$A23),0)</f>
        <v>1</v>
      </c>
      <c r="AM53" s="15">
        <f ca="1">IFERROR(GETPIVOTDATA("Cuenta de CANT",Tabla9,"PROV",[2]Tablas!$A$67,"SEFIS",AM$52,"CANT",[2]Tablas!$A23),0)</f>
        <v>0</v>
      </c>
      <c r="AN53" s="15">
        <f ca="1">IFERROR(GETPIVOTDATA("Cuenta de CANT",Tabla9,"PROV",[2]Tablas!$A$67,"SEFIS",AN$52,"CANT",[2]Tablas!$A23),0)</f>
        <v>0</v>
      </c>
      <c r="AO53" s="15">
        <f ca="1">IFERROR(GETPIVOTDATA("Cuenta de CANT",Tabla9,"PROV",[2]Tablas!$A$67,"SEFIS",AO$52,"CANT",[2]Tablas!$A23),0)</f>
        <v>0</v>
      </c>
      <c r="AP53" s="15">
        <f ca="1">IFERROR(GETPIVOTDATA("Cuenta de CANT",Tabla9,"PROV",[2]Tablas!$A$67,"SEFIS",AP$52,"CANT",[2]Tablas!$A23),0)</f>
        <v>0</v>
      </c>
      <c r="AQ53" s="15">
        <f ca="1">IFERROR(GETPIVOTDATA("Cuenta de CANT",Tabla9,"PROV",[2]Tablas!$A$67,"SEFIS",AQ$52,"CANT",[2]Tablas!$A23),0)</f>
        <v>0</v>
      </c>
      <c r="AR53" s="15">
        <f ca="1">IFERROR(GETPIVOTDATA("Cuenta de CANT",Tabla9,"PROV",[2]Tablas!$A$67,"SEFIS",AR$52,"CANT",[2]Tablas!$A23),0)</f>
        <v>0</v>
      </c>
      <c r="AS53" s="15">
        <f ca="1">IFERROR(GETPIVOTDATA("Cuenta de CANT",Tabla9,"PROV",[2]Tablas!$A$67,"SEFIS",AS$52,"CANT",[2]Tablas!$A23),0)</f>
        <v>0</v>
      </c>
      <c r="AT53" s="15">
        <f ca="1">IFERROR(GETPIVOTDATA("Cuenta de CANT",Tabla9,"PROV",[2]Tablas!$A$67,"SEFIS",AT$52,"CANT",[2]Tablas!$A23),0)</f>
        <v>0</v>
      </c>
      <c r="AU53" s="15">
        <f ca="1">IFERROR(GETPIVOTDATA("Cuenta de CANT",Tabla9,"PROV",[2]Tablas!$A$67,"SEFIS",AU$52,"CANT",[2]Tablas!$A23),0)</f>
        <v>0</v>
      </c>
      <c r="AV53" s="15">
        <f ca="1">IFERROR(GETPIVOTDATA("Cuenta de CANT",Tabla9,"PROV",[2]Tablas!$A$67,"SEFIS",AV$52,"CANT",[2]Tablas!$A23),0)</f>
        <v>2</v>
      </c>
      <c r="AW53" s="15">
        <f ca="1">IFERROR(GETPIVOTDATA("Cuenta de CANT",Tabla9,"PROV",[2]Tablas!$A$67,"SEFIS",AW$52,"CANT",[2]Tablas!$A23),0)</f>
        <v>0</v>
      </c>
      <c r="AX53" s="15">
        <f ca="1">IFERROR(GETPIVOTDATA("Cuenta de CANT",Tabla9,"PROV",[2]Tablas!$A$67,"SEFIS",AX$52,"CANT",[2]Tablas!$A23),0)</f>
        <v>0</v>
      </c>
      <c r="AY53" s="15">
        <f ca="1">IFERROR(GETPIVOTDATA("Cuenta de CANT",Tabla9,"PROV",[2]Tablas!$A$67,"SEFIS",AY$52,"CANT",[2]Tablas!$A23),0)</f>
        <v>0</v>
      </c>
      <c r="AZ53" s="15">
        <f ca="1">IFERROR(GETPIVOTDATA("Cuenta de CANT",Tabla9,"PROV",[2]Tablas!$A$67,"SEFIS",AZ$52,"CANT",[2]Tablas!$A23),0)</f>
        <v>0</v>
      </c>
      <c r="BA53" s="15">
        <f ca="1">IFERROR(GETPIVOTDATA("Cuenta de CANT",Tabla9,"PROV",[2]Tablas!$A$67,"SEFIS",BA$52,"CANT",[2]Tablas!$A23),0)</f>
        <v>1</v>
      </c>
      <c r="BB53" s="15">
        <f ca="1">IFERROR(GETPIVOTDATA("Cuenta de CANT",Tabla9,"PROV",[2]Tablas!$A$67,"SEFIS",BB$52,"CANT",[2]Tablas!$A23),0)</f>
        <v>0</v>
      </c>
      <c r="BC53" s="15">
        <f ca="1">IFERROR(GETPIVOTDATA("Cuenta de CANT",Tabla9,"PROV",[2]Tablas!$A$67,"SEFIS",BC$52,"CANT",[2]Tablas!$A23),0)</f>
        <v>0</v>
      </c>
      <c r="BD53" s="15">
        <f ca="1">IFERROR(GETPIVOTDATA("Cuenta de CANT",Tabla9,"PROV",[2]Tablas!$A$67,"SEFIS",BD$52,"CANT",[2]Tablas!$A23),0)</f>
        <v>0</v>
      </c>
    </row>
    <row r="54" spans="1:56" x14ac:dyDescent="0.35">
      <c r="A54" s="14" t="s">
        <v>150</v>
      </c>
      <c r="B54" s="15">
        <f t="shared" ref="B54:B60" ca="1" si="6">SUM(D54:BD54)</f>
        <v>11</v>
      </c>
      <c r="C54" s="16">
        <f ca="1">IFERROR(B54/[2]Tablas!$B24*100000,"N/D")</f>
        <v>17.874262686664174</v>
      </c>
      <c r="D54" s="15">
        <f ca="1">IFERROR(GETPIVOTDATA("Cuenta de CANT",Tabla9,"PROV",[2]Tablas!$A$67,"SEFIS",D$52,"CANT",[2]Tablas!$A24),0)</f>
        <v>1</v>
      </c>
      <c r="E54" s="15">
        <f ca="1">IFERROR(GETPIVOTDATA("Cuenta de CANT",Tabla9,"PROV",[2]Tablas!$A$67,"SEFIS",E$52,"CANT",[2]Tablas!$A24),0)</f>
        <v>1</v>
      </c>
      <c r="F54" s="15">
        <f ca="1">IFERROR(GETPIVOTDATA("Cuenta de CANT",Tabla9,"PROV",[2]Tablas!$A$67,"SEFIS",F$52,"CANT",[2]Tablas!$A24),0)</f>
        <v>0</v>
      </c>
      <c r="G54" s="15">
        <f ca="1">IFERROR(GETPIVOTDATA("Cuenta de CANT",Tabla9,"PROV",[2]Tablas!$A$67,"SEFIS",G$52,"CANT",[2]Tablas!$A24),0)</f>
        <v>0</v>
      </c>
      <c r="H54" s="15">
        <f ca="1">IFERROR(GETPIVOTDATA("Cuenta de CANT",Tabla9,"PROV",[2]Tablas!$A$67,"SEFIS",H$52,"CANT",[2]Tablas!$A24),0)</f>
        <v>0</v>
      </c>
      <c r="I54" s="15">
        <f ca="1">IFERROR(GETPIVOTDATA("Cuenta de CANT",Tabla9,"PROV",[2]Tablas!$A$67,"SEFIS",I$52,"CANT",[2]Tablas!$A24),0)</f>
        <v>0</v>
      </c>
      <c r="J54" s="15">
        <f ca="1">IFERROR(GETPIVOTDATA("Cuenta de CANT",Tabla9,"PROV",[2]Tablas!$A$67,"SEFIS",J$52,"CANT",[2]Tablas!$A24),0)</f>
        <v>0</v>
      </c>
      <c r="K54" s="15">
        <f ca="1">IFERROR(GETPIVOTDATA("Cuenta de CANT",Tabla9,"PROV",[2]Tablas!$A$67,"SEFIS",K$52,"CANT",[2]Tablas!$A24),0)</f>
        <v>0</v>
      </c>
      <c r="L54" s="15">
        <f ca="1">IFERROR(GETPIVOTDATA("Cuenta de CANT",Tabla9,"PROV",[2]Tablas!$A$67,"SEFIS",L$52,"CANT",[2]Tablas!$A24),0)</f>
        <v>1</v>
      </c>
      <c r="M54" s="15">
        <f ca="1">IFERROR(GETPIVOTDATA("Cuenta de CANT",Tabla9,"PROV",[2]Tablas!$A$67,"SEFIS",M$52,"CANT",[2]Tablas!$A24),0)</f>
        <v>0</v>
      </c>
      <c r="N54" s="15">
        <f ca="1">IFERROR(GETPIVOTDATA("Cuenta de CANT",Tabla9,"PROV",[2]Tablas!$A$67,"SEFIS",N$52,"CANT",[2]Tablas!$A24),0)</f>
        <v>1</v>
      </c>
      <c r="O54" s="15">
        <f ca="1">IFERROR(GETPIVOTDATA("Cuenta de CANT",Tabla9,"PROV",[2]Tablas!$A$67,"SEFIS",O$52,"CANT",[2]Tablas!$A24),0)</f>
        <v>0</v>
      </c>
      <c r="P54" s="15">
        <f ca="1">IFERROR(GETPIVOTDATA("Cuenta de CANT",Tabla9,"PROV",[2]Tablas!$A$67,"SEFIS",P$52,"CANT",[2]Tablas!$A24),0)</f>
        <v>0</v>
      </c>
      <c r="Q54" s="15">
        <f ca="1">IFERROR(GETPIVOTDATA("Cuenta de CANT",Tabla9,"PROV",[2]Tablas!$A$67,"SEFIS",Q$52,"CANT",[2]Tablas!$A24),0)</f>
        <v>1</v>
      </c>
      <c r="R54" s="15">
        <f ca="1">IFERROR(GETPIVOTDATA("Cuenta de CANT",Tabla9,"PROV",[2]Tablas!$A$67,"SEFIS",R$52,"CANT",[2]Tablas!$A24),0)</f>
        <v>1</v>
      </c>
      <c r="S54" s="15">
        <f ca="1">IFERROR(GETPIVOTDATA("Cuenta de CANT",Tabla9,"PROV",[2]Tablas!$A$67,"SEFIS",S$52,"CANT",[2]Tablas!$A24),0)</f>
        <v>1</v>
      </c>
      <c r="T54" s="15">
        <f ca="1">IFERROR(GETPIVOTDATA("Cuenta de CANT",Tabla9,"PROV",[2]Tablas!$A$67,"SEFIS",T$52,"CANT",[2]Tablas!$A24),0)</f>
        <v>0</v>
      </c>
      <c r="U54" s="15">
        <f ca="1">IFERROR(GETPIVOTDATA("Cuenta de CANT",Tabla9,"PROV",[2]Tablas!$A$67,"SEFIS",U$52,"CANT",[2]Tablas!$A24),0)</f>
        <v>0</v>
      </c>
      <c r="V54" s="15">
        <f ca="1">IFERROR(GETPIVOTDATA("Cuenta de CANT",Tabla9,"PROV",[2]Tablas!$A$67,"SEFIS",V$52,"CANT",[2]Tablas!$A24),0)</f>
        <v>0</v>
      </c>
      <c r="W54" s="15">
        <f ca="1">IFERROR(GETPIVOTDATA("Cuenta de CANT",Tabla9,"PROV",[2]Tablas!$A$67,"SEFIS",W$52,"CANT",[2]Tablas!$A24),0)</f>
        <v>0</v>
      </c>
      <c r="X54" s="15">
        <f ca="1">IFERROR(GETPIVOTDATA("Cuenta de CANT",Tabla9,"PROV",[2]Tablas!$A$67,"SEFIS",X$52,"CANT",[2]Tablas!$A24),0)</f>
        <v>0</v>
      </c>
      <c r="Y54" s="15">
        <f ca="1">IFERROR(GETPIVOTDATA("Cuenta de CANT",Tabla9,"PROV",[2]Tablas!$A$67,"SEFIS",Y$52,"CANT",[2]Tablas!$A24),0)</f>
        <v>0</v>
      </c>
      <c r="Z54" s="15">
        <f ca="1">IFERROR(GETPIVOTDATA("Cuenta de CANT",Tabla9,"PROV",[2]Tablas!$A$67,"SEFIS",Z$52,"CANT",[2]Tablas!$A24),0)</f>
        <v>0</v>
      </c>
      <c r="AA54" s="15">
        <f ca="1">IFERROR(GETPIVOTDATA("Cuenta de CANT",Tabla9,"PROV",[2]Tablas!$A$67,"SEFIS",AA$52,"CANT",[2]Tablas!$A24),0)</f>
        <v>0</v>
      </c>
      <c r="AB54" s="15">
        <f ca="1">IFERROR(GETPIVOTDATA("Cuenta de CANT",Tabla9,"PROV",[2]Tablas!$A$67,"SEFIS",AB$52,"CANT",[2]Tablas!$A24),0)</f>
        <v>1</v>
      </c>
      <c r="AC54" s="15">
        <f ca="1">IFERROR(GETPIVOTDATA("Cuenta de CANT",Tabla9,"PROV",[2]Tablas!$A$67,"SEFIS",AC$52,"CANT",[2]Tablas!$A24),0)</f>
        <v>0</v>
      </c>
      <c r="AD54" s="15">
        <f ca="1">IFERROR(GETPIVOTDATA("Cuenta de CANT",Tabla9,"PROV",[2]Tablas!$A$67,"SEFIS",AD$52,"CANT",[2]Tablas!$A24),0)</f>
        <v>0</v>
      </c>
      <c r="AE54" s="15">
        <f ca="1">IFERROR(GETPIVOTDATA("Cuenta de CANT",Tabla9,"PROV",[2]Tablas!$A$67,"SEFIS",AE$52,"CANT",[2]Tablas!$A24),0)</f>
        <v>0</v>
      </c>
      <c r="AF54" s="15">
        <f ca="1">IFERROR(GETPIVOTDATA("Cuenta de CANT",Tabla9,"PROV",[2]Tablas!$A$67,"SEFIS",AF$52,"CANT",[2]Tablas!$A24),0)</f>
        <v>0</v>
      </c>
      <c r="AG54" s="15">
        <f ca="1">IFERROR(GETPIVOTDATA("Cuenta de CANT",Tabla9,"PROV",[2]Tablas!$A$67,"SEFIS",AG$52,"CANT",[2]Tablas!$A24),0)</f>
        <v>0</v>
      </c>
      <c r="AH54" s="15">
        <f ca="1">IFERROR(GETPIVOTDATA("Cuenta de CANT",Tabla9,"PROV",[2]Tablas!$A$67,"SEFIS",AH$52,"CANT",[2]Tablas!$A24),0)</f>
        <v>1</v>
      </c>
      <c r="AI54" s="15">
        <f ca="1">IFERROR(GETPIVOTDATA("Cuenta de CANT",Tabla9,"PROV",[2]Tablas!$A$67,"SEFIS",AI$52,"CANT",[2]Tablas!$A24),0)</f>
        <v>0</v>
      </c>
      <c r="AJ54" s="15">
        <f ca="1">IFERROR(GETPIVOTDATA("Cuenta de CANT",Tabla9,"PROV",[2]Tablas!$A$67,"SEFIS",AJ$52,"CANT",[2]Tablas!$A24),0)</f>
        <v>0</v>
      </c>
      <c r="AK54" s="15">
        <f ca="1">IFERROR(GETPIVOTDATA("Cuenta de CANT",Tabla9,"PROV",[2]Tablas!$A$67,"SEFIS",AK$52,"CANT",[2]Tablas!$A24),0)</f>
        <v>1</v>
      </c>
      <c r="AL54" s="15">
        <f ca="1">IFERROR(GETPIVOTDATA("Cuenta de CANT",Tabla9,"PROV",[2]Tablas!$A$67,"SEFIS",AL$52,"CANT",[2]Tablas!$A24),0)</f>
        <v>0</v>
      </c>
      <c r="AM54" s="15">
        <f ca="1">IFERROR(GETPIVOTDATA("Cuenta de CANT",Tabla9,"PROV",[2]Tablas!$A$67,"SEFIS",AM$52,"CANT",[2]Tablas!$A24),0)</f>
        <v>0</v>
      </c>
      <c r="AN54" s="15">
        <f ca="1">IFERROR(GETPIVOTDATA("Cuenta de CANT",Tabla9,"PROV",[2]Tablas!$A$67,"SEFIS",AN$52,"CANT",[2]Tablas!$A24),0)</f>
        <v>0</v>
      </c>
      <c r="AO54" s="15">
        <f ca="1">IFERROR(GETPIVOTDATA("Cuenta de CANT",Tabla9,"PROV",[2]Tablas!$A$67,"SEFIS",AO$52,"CANT",[2]Tablas!$A24),0)</f>
        <v>0</v>
      </c>
      <c r="AP54" s="15">
        <f ca="1">IFERROR(GETPIVOTDATA("Cuenta de CANT",Tabla9,"PROV",[2]Tablas!$A$67,"SEFIS",AP$52,"CANT",[2]Tablas!$A24),0)</f>
        <v>0</v>
      </c>
      <c r="AQ54" s="15">
        <f ca="1">IFERROR(GETPIVOTDATA("Cuenta de CANT",Tabla9,"PROV",[2]Tablas!$A$67,"SEFIS",AQ$52,"CANT",[2]Tablas!$A24),0)</f>
        <v>0</v>
      </c>
      <c r="AR54" s="15">
        <f ca="1">IFERROR(GETPIVOTDATA("Cuenta de CANT",Tabla9,"PROV",[2]Tablas!$A$67,"SEFIS",AR$52,"CANT",[2]Tablas!$A24),0)</f>
        <v>0</v>
      </c>
      <c r="AS54" s="15">
        <f ca="1">IFERROR(GETPIVOTDATA("Cuenta de CANT",Tabla9,"PROV",[2]Tablas!$A$67,"SEFIS",AS$52,"CANT",[2]Tablas!$A24),0)</f>
        <v>0</v>
      </c>
      <c r="AT54" s="15">
        <f ca="1">IFERROR(GETPIVOTDATA("Cuenta de CANT",Tabla9,"PROV",[2]Tablas!$A$67,"SEFIS",AT$52,"CANT",[2]Tablas!$A24),0)</f>
        <v>0</v>
      </c>
      <c r="AU54" s="15">
        <f ca="1">IFERROR(GETPIVOTDATA("Cuenta de CANT",Tabla9,"PROV",[2]Tablas!$A$67,"SEFIS",AU$52,"CANT",[2]Tablas!$A24),0)</f>
        <v>0</v>
      </c>
      <c r="AV54" s="15">
        <f ca="1">IFERROR(GETPIVOTDATA("Cuenta de CANT",Tabla9,"PROV",[2]Tablas!$A$67,"SEFIS",AV$52,"CANT",[2]Tablas!$A24),0)</f>
        <v>0</v>
      </c>
      <c r="AW54" s="15">
        <f ca="1">IFERROR(GETPIVOTDATA("Cuenta de CANT",Tabla9,"PROV",[2]Tablas!$A$67,"SEFIS",AW$52,"CANT",[2]Tablas!$A24),0)</f>
        <v>0</v>
      </c>
      <c r="AX54" s="15">
        <f ca="1">IFERROR(GETPIVOTDATA("Cuenta de CANT",Tabla9,"PROV",[2]Tablas!$A$67,"SEFIS",AX$52,"CANT",[2]Tablas!$A24),0)</f>
        <v>0</v>
      </c>
      <c r="AY54" s="15">
        <f ca="1">IFERROR(GETPIVOTDATA("Cuenta de CANT",Tabla9,"PROV",[2]Tablas!$A$67,"SEFIS",AY$52,"CANT",[2]Tablas!$A24),0)</f>
        <v>0</v>
      </c>
      <c r="AZ54" s="15">
        <f ca="1">IFERROR(GETPIVOTDATA("Cuenta de CANT",Tabla9,"PROV",[2]Tablas!$A$67,"SEFIS",AZ$52,"CANT",[2]Tablas!$A24),0)</f>
        <v>1</v>
      </c>
      <c r="BA54" s="15">
        <f ca="1">IFERROR(GETPIVOTDATA("Cuenta de CANT",Tabla9,"PROV",[2]Tablas!$A$67,"SEFIS",BA$52,"CANT",[2]Tablas!$A24),0)</f>
        <v>0</v>
      </c>
      <c r="BB54" s="15">
        <f ca="1">IFERROR(GETPIVOTDATA("Cuenta de CANT",Tabla9,"PROV",[2]Tablas!$A$67,"SEFIS",BB$52,"CANT",[2]Tablas!$A24),0)</f>
        <v>0</v>
      </c>
      <c r="BC54" s="15">
        <f ca="1">IFERROR(GETPIVOTDATA("Cuenta de CANT",Tabla9,"PROV",[2]Tablas!$A$67,"SEFIS",BC$52,"CANT",[2]Tablas!$A24),0)</f>
        <v>0</v>
      </c>
      <c r="BD54" s="15">
        <f ca="1">IFERROR(GETPIVOTDATA("Cuenta de CANT",Tabla9,"PROV",[2]Tablas!$A$67,"SEFIS",BD$52,"CANT",[2]Tablas!$A24),0)</f>
        <v>0</v>
      </c>
    </row>
    <row r="55" spans="1:56" x14ac:dyDescent="0.35">
      <c r="A55" s="14" t="s">
        <v>151</v>
      </c>
      <c r="B55" s="15">
        <f t="shared" ca="1" si="6"/>
        <v>46</v>
      </c>
      <c r="C55" s="16">
        <f ca="1">IFERROR(B55/[2]Tablas!$B25*100000,"N/D")</f>
        <v>40.233001556842233</v>
      </c>
      <c r="D55" s="15">
        <f ca="1">IFERROR(GETPIVOTDATA("Cuenta de CANT",Tabla9,"PROV",[2]Tablas!$A$67,"SEFIS",D$52,"CANT",[2]Tablas!$A25),0)</f>
        <v>1</v>
      </c>
      <c r="E55" s="15">
        <f ca="1">IFERROR(GETPIVOTDATA("Cuenta de CANT",Tabla9,"PROV",[2]Tablas!$A$67,"SEFIS",E$52,"CANT",[2]Tablas!$A25),0)</f>
        <v>1</v>
      </c>
      <c r="F55" s="15">
        <f ca="1">IFERROR(GETPIVOTDATA("Cuenta de CANT",Tabla9,"PROV",[2]Tablas!$A$67,"SEFIS",F$52,"CANT",[2]Tablas!$A25),0)</f>
        <v>1</v>
      </c>
      <c r="G55" s="15">
        <f ca="1">IFERROR(GETPIVOTDATA("Cuenta de CANT",Tabla9,"PROV",[2]Tablas!$A$67,"SEFIS",G$52,"CANT",[2]Tablas!$A25),0)</f>
        <v>0</v>
      </c>
      <c r="H55" s="15">
        <f ca="1">IFERROR(GETPIVOTDATA("Cuenta de CANT",Tabla9,"PROV",[2]Tablas!$A$67,"SEFIS",H$52,"CANT",[2]Tablas!$A25),0)</f>
        <v>0</v>
      </c>
      <c r="I55" s="15">
        <f ca="1">IFERROR(GETPIVOTDATA("Cuenta de CANT",Tabla9,"PROV",[2]Tablas!$A$67,"SEFIS",I$52,"CANT",[2]Tablas!$A25),0)</f>
        <v>1</v>
      </c>
      <c r="J55" s="15">
        <f ca="1">IFERROR(GETPIVOTDATA("Cuenta de CANT",Tabla9,"PROV",[2]Tablas!$A$67,"SEFIS",J$52,"CANT",[2]Tablas!$A25),0)</f>
        <v>0</v>
      </c>
      <c r="K55" s="15">
        <f ca="1">IFERROR(GETPIVOTDATA("Cuenta de CANT",Tabla9,"PROV",[2]Tablas!$A$67,"SEFIS",K$52,"CANT",[2]Tablas!$A25),0)</f>
        <v>0</v>
      </c>
      <c r="L55" s="15">
        <f ca="1">IFERROR(GETPIVOTDATA("Cuenta de CANT",Tabla9,"PROV",[2]Tablas!$A$67,"SEFIS",L$52,"CANT",[2]Tablas!$A25),0)</f>
        <v>0</v>
      </c>
      <c r="M55" s="15">
        <f ca="1">IFERROR(GETPIVOTDATA("Cuenta de CANT",Tabla9,"PROV",[2]Tablas!$A$67,"SEFIS",M$52,"CANT",[2]Tablas!$A25),0)</f>
        <v>1</v>
      </c>
      <c r="N55" s="15">
        <f ca="1">IFERROR(GETPIVOTDATA("Cuenta de CANT",Tabla9,"PROV",[2]Tablas!$A$67,"SEFIS",N$52,"CANT",[2]Tablas!$A25),0)</f>
        <v>0</v>
      </c>
      <c r="O55" s="15">
        <f ca="1">IFERROR(GETPIVOTDATA("Cuenta de CANT",Tabla9,"PROV",[2]Tablas!$A$67,"SEFIS",O$52,"CANT",[2]Tablas!$A25),0)</f>
        <v>0</v>
      </c>
      <c r="P55" s="15">
        <f ca="1">IFERROR(GETPIVOTDATA("Cuenta de CANT",Tabla9,"PROV",[2]Tablas!$A$67,"SEFIS",P$52,"CANT",[2]Tablas!$A25),0)</f>
        <v>1</v>
      </c>
      <c r="Q55" s="15">
        <f ca="1">IFERROR(GETPIVOTDATA("Cuenta de CANT",Tabla9,"PROV",[2]Tablas!$A$67,"SEFIS",Q$52,"CANT",[2]Tablas!$A25),0)</f>
        <v>0</v>
      </c>
      <c r="R55" s="15">
        <f ca="1">IFERROR(GETPIVOTDATA("Cuenta de CANT",Tabla9,"PROV",[2]Tablas!$A$67,"SEFIS",R$52,"CANT",[2]Tablas!$A25),0)</f>
        <v>0</v>
      </c>
      <c r="S55" s="15">
        <f ca="1">IFERROR(GETPIVOTDATA("Cuenta de CANT",Tabla9,"PROV",[2]Tablas!$A$67,"SEFIS",S$52,"CANT",[2]Tablas!$A25),0)</f>
        <v>1</v>
      </c>
      <c r="T55" s="15">
        <f ca="1">IFERROR(GETPIVOTDATA("Cuenta de CANT",Tabla9,"PROV",[2]Tablas!$A$67,"SEFIS",T$52,"CANT",[2]Tablas!$A25),0)</f>
        <v>0</v>
      </c>
      <c r="U55" s="15">
        <f ca="1">IFERROR(GETPIVOTDATA("Cuenta de CANT",Tabla9,"PROV",[2]Tablas!$A$67,"SEFIS",U$52,"CANT",[2]Tablas!$A25),0)</f>
        <v>0</v>
      </c>
      <c r="V55" s="15">
        <f ca="1">IFERROR(GETPIVOTDATA("Cuenta de CANT",Tabla9,"PROV",[2]Tablas!$A$67,"SEFIS",V$52,"CANT",[2]Tablas!$A25),0)</f>
        <v>0</v>
      </c>
      <c r="W55" s="15">
        <f ca="1">IFERROR(GETPIVOTDATA("Cuenta de CANT",Tabla9,"PROV",[2]Tablas!$A$67,"SEFIS",W$52,"CANT",[2]Tablas!$A25),0)</f>
        <v>2</v>
      </c>
      <c r="X55" s="15">
        <f ca="1">IFERROR(GETPIVOTDATA("Cuenta de CANT",Tabla9,"PROV",[2]Tablas!$A$67,"SEFIS",X$52,"CANT",[2]Tablas!$A25),0)</f>
        <v>0</v>
      </c>
      <c r="Y55" s="15">
        <f ca="1">IFERROR(GETPIVOTDATA("Cuenta de CANT",Tabla9,"PROV",[2]Tablas!$A$67,"SEFIS",Y$52,"CANT",[2]Tablas!$A25),0)</f>
        <v>0</v>
      </c>
      <c r="Z55" s="15">
        <f ca="1">IFERROR(GETPIVOTDATA("Cuenta de CANT",Tabla9,"PROV",[2]Tablas!$A$67,"SEFIS",Z$52,"CANT",[2]Tablas!$A25),0)</f>
        <v>0</v>
      </c>
      <c r="AA55" s="15">
        <f ca="1">IFERROR(GETPIVOTDATA("Cuenta de CANT",Tabla9,"PROV",[2]Tablas!$A$67,"SEFIS",AA$52,"CANT",[2]Tablas!$A25),0)</f>
        <v>1</v>
      </c>
      <c r="AB55" s="15">
        <f ca="1">IFERROR(GETPIVOTDATA("Cuenta de CANT",Tabla9,"PROV",[2]Tablas!$A$67,"SEFIS",AB$52,"CANT",[2]Tablas!$A25),0)</f>
        <v>0</v>
      </c>
      <c r="AC55" s="15">
        <f ca="1">IFERROR(GETPIVOTDATA("Cuenta de CANT",Tabla9,"PROV",[2]Tablas!$A$67,"SEFIS",AC$52,"CANT",[2]Tablas!$A25),0)</f>
        <v>0</v>
      </c>
      <c r="AD55" s="15">
        <f ca="1">IFERROR(GETPIVOTDATA("Cuenta de CANT",Tabla9,"PROV",[2]Tablas!$A$67,"SEFIS",AD$52,"CANT",[2]Tablas!$A25),0)</f>
        <v>2</v>
      </c>
      <c r="AE55" s="15">
        <f ca="1">IFERROR(GETPIVOTDATA("Cuenta de CANT",Tabla9,"PROV",[2]Tablas!$A$67,"SEFIS",AE$52,"CANT",[2]Tablas!$A25),0)</f>
        <v>2</v>
      </c>
      <c r="AF55" s="15">
        <f ca="1">IFERROR(GETPIVOTDATA("Cuenta de CANT",Tabla9,"PROV",[2]Tablas!$A$67,"SEFIS",AF$52,"CANT",[2]Tablas!$A25),0)</f>
        <v>3</v>
      </c>
      <c r="AG55" s="15">
        <f ca="1">IFERROR(GETPIVOTDATA("Cuenta de CANT",Tabla9,"PROV",[2]Tablas!$A$67,"SEFIS",AG$52,"CANT",[2]Tablas!$A25),0)</f>
        <v>3</v>
      </c>
      <c r="AH55" s="15">
        <f ca="1">IFERROR(GETPIVOTDATA("Cuenta de CANT",Tabla9,"PROV",[2]Tablas!$A$67,"SEFIS",AH$52,"CANT",[2]Tablas!$A25),0)</f>
        <v>2</v>
      </c>
      <c r="AI55" s="15">
        <f ca="1">IFERROR(GETPIVOTDATA("Cuenta de CANT",Tabla9,"PROV",[2]Tablas!$A$67,"SEFIS",AI$52,"CANT",[2]Tablas!$A25),0)</f>
        <v>1</v>
      </c>
      <c r="AJ55" s="15">
        <f ca="1">IFERROR(GETPIVOTDATA("Cuenta de CANT",Tabla9,"PROV",[2]Tablas!$A$67,"SEFIS",AJ$52,"CANT",[2]Tablas!$A25),0)</f>
        <v>1</v>
      </c>
      <c r="AK55" s="15">
        <f ca="1">IFERROR(GETPIVOTDATA("Cuenta de CANT",Tabla9,"PROV",[2]Tablas!$A$67,"SEFIS",AK$52,"CANT",[2]Tablas!$A25),0)</f>
        <v>1</v>
      </c>
      <c r="AL55" s="15">
        <f ca="1">IFERROR(GETPIVOTDATA("Cuenta de CANT",Tabla9,"PROV",[2]Tablas!$A$67,"SEFIS",AL$52,"CANT",[2]Tablas!$A25),0)</f>
        <v>0</v>
      </c>
      <c r="AM55" s="15">
        <f ca="1">IFERROR(GETPIVOTDATA("Cuenta de CANT",Tabla9,"PROV",[2]Tablas!$A$67,"SEFIS",AM$52,"CANT",[2]Tablas!$A25),0)</f>
        <v>1</v>
      </c>
      <c r="AN55" s="15">
        <f ca="1">IFERROR(GETPIVOTDATA("Cuenta de CANT",Tabla9,"PROV",[2]Tablas!$A$67,"SEFIS",AN$52,"CANT",[2]Tablas!$A25),0)</f>
        <v>0</v>
      </c>
      <c r="AO55" s="15">
        <f ca="1">IFERROR(GETPIVOTDATA("Cuenta de CANT",Tabla9,"PROV",[2]Tablas!$A$67,"SEFIS",AO$52,"CANT",[2]Tablas!$A25),0)</f>
        <v>0</v>
      </c>
      <c r="AP55" s="15">
        <f ca="1">IFERROR(GETPIVOTDATA("Cuenta de CANT",Tabla9,"PROV",[2]Tablas!$A$67,"SEFIS",AP$52,"CANT",[2]Tablas!$A25),0)</f>
        <v>0</v>
      </c>
      <c r="AQ55" s="15">
        <f ca="1">IFERROR(GETPIVOTDATA("Cuenta de CANT",Tabla9,"PROV",[2]Tablas!$A$67,"SEFIS",AQ$52,"CANT",[2]Tablas!$A25),0)</f>
        <v>1</v>
      </c>
      <c r="AR55" s="15">
        <f ca="1">IFERROR(GETPIVOTDATA("Cuenta de CANT",Tabla9,"PROV",[2]Tablas!$A$67,"SEFIS",AR$52,"CANT",[2]Tablas!$A25),0)</f>
        <v>0</v>
      </c>
      <c r="AS55" s="15">
        <f ca="1">IFERROR(GETPIVOTDATA("Cuenta de CANT",Tabla9,"PROV",[2]Tablas!$A$67,"SEFIS",AS$52,"CANT",[2]Tablas!$A25),0)</f>
        <v>0</v>
      </c>
      <c r="AT55" s="15">
        <f ca="1">IFERROR(GETPIVOTDATA("Cuenta de CANT",Tabla9,"PROV",[2]Tablas!$A$67,"SEFIS",AT$52,"CANT",[2]Tablas!$A25),0)</f>
        <v>2</v>
      </c>
      <c r="AU55" s="15">
        <f ca="1">IFERROR(GETPIVOTDATA("Cuenta de CANT",Tabla9,"PROV",[2]Tablas!$A$67,"SEFIS",AU$52,"CANT",[2]Tablas!$A25),0)</f>
        <v>4</v>
      </c>
      <c r="AV55" s="15">
        <f ca="1">IFERROR(GETPIVOTDATA("Cuenta de CANT",Tabla9,"PROV",[2]Tablas!$A$67,"SEFIS",AV$52,"CANT",[2]Tablas!$A25),0)</f>
        <v>3</v>
      </c>
      <c r="AW55" s="15">
        <f ca="1">IFERROR(GETPIVOTDATA("Cuenta de CANT",Tabla9,"PROV",[2]Tablas!$A$67,"SEFIS",AW$52,"CANT",[2]Tablas!$A25),0)</f>
        <v>1</v>
      </c>
      <c r="AX55" s="15">
        <f ca="1">IFERROR(GETPIVOTDATA("Cuenta de CANT",Tabla9,"PROV",[2]Tablas!$A$67,"SEFIS",AX$52,"CANT",[2]Tablas!$A25),0)</f>
        <v>1</v>
      </c>
      <c r="AY55" s="15">
        <f ca="1">IFERROR(GETPIVOTDATA("Cuenta de CANT",Tabla9,"PROV",[2]Tablas!$A$67,"SEFIS",AY$52,"CANT",[2]Tablas!$A25),0)</f>
        <v>4</v>
      </c>
      <c r="AZ55" s="15">
        <f ca="1">IFERROR(GETPIVOTDATA("Cuenta de CANT",Tabla9,"PROV",[2]Tablas!$A$67,"SEFIS",AZ$52,"CANT",[2]Tablas!$A25),0)</f>
        <v>0</v>
      </c>
      <c r="BA55" s="15">
        <f ca="1">IFERROR(GETPIVOTDATA("Cuenta de CANT",Tabla9,"PROV",[2]Tablas!$A$67,"SEFIS",BA$52,"CANT",[2]Tablas!$A25),0)</f>
        <v>2</v>
      </c>
      <c r="BB55" s="15">
        <f ca="1">IFERROR(GETPIVOTDATA("Cuenta de CANT",Tabla9,"PROV",[2]Tablas!$A$67,"SEFIS",BB$52,"CANT",[2]Tablas!$A25),0)</f>
        <v>2</v>
      </c>
      <c r="BC55" s="15">
        <f ca="1">IFERROR(GETPIVOTDATA("Cuenta de CANT",Tabla9,"PROV",[2]Tablas!$A$67,"SEFIS",BC$52,"CANT",[2]Tablas!$A25),0)</f>
        <v>0</v>
      </c>
      <c r="BD55" s="15">
        <f ca="1">IFERROR(GETPIVOTDATA("Cuenta de CANT",Tabla9,"PROV",[2]Tablas!$A$67,"SEFIS",BD$52,"CANT",[2]Tablas!$A25),0)</f>
        <v>0</v>
      </c>
    </row>
    <row r="56" spans="1:56" x14ac:dyDescent="0.35">
      <c r="A56" s="14" t="s">
        <v>152</v>
      </c>
      <c r="B56" s="15">
        <f t="shared" ca="1" si="6"/>
        <v>9</v>
      </c>
      <c r="C56" s="16">
        <f ca="1">IFERROR(B56/[2]Tablas!$B26*100000,"N/D")</f>
        <v>57.077625570776256</v>
      </c>
      <c r="D56" s="15">
        <f ca="1">IFERROR(GETPIVOTDATA("Cuenta de CANT",Tabla9,"PROV",[2]Tablas!$A$67,"SEFIS",D$52,"CANT",[2]Tablas!$A26),0)</f>
        <v>0</v>
      </c>
      <c r="E56" s="15">
        <f ca="1">IFERROR(GETPIVOTDATA("Cuenta de CANT",Tabla9,"PROV",[2]Tablas!$A$67,"SEFIS",E$52,"CANT",[2]Tablas!$A26),0)</f>
        <v>0</v>
      </c>
      <c r="F56" s="15">
        <f ca="1">IFERROR(GETPIVOTDATA("Cuenta de CANT",Tabla9,"PROV",[2]Tablas!$A$67,"SEFIS",F$52,"CANT",[2]Tablas!$A26),0)</f>
        <v>0</v>
      </c>
      <c r="G56" s="15">
        <f ca="1">IFERROR(GETPIVOTDATA("Cuenta de CANT",Tabla9,"PROV",[2]Tablas!$A$67,"SEFIS",G$52,"CANT",[2]Tablas!$A26),0)</f>
        <v>0</v>
      </c>
      <c r="H56" s="15">
        <f ca="1">IFERROR(GETPIVOTDATA("Cuenta de CANT",Tabla9,"PROV",[2]Tablas!$A$67,"SEFIS",H$52,"CANT",[2]Tablas!$A26),0)</f>
        <v>0</v>
      </c>
      <c r="I56" s="15">
        <f ca="1">IFERROR(GETPIVOTDATA("Cuenta de CANT",Tabla9,"PROV",[2]Tablas!$A$67,"SEFIS",I$52,"CANT",[2]Tablas!$A26),0)</f>
        <v>0</v>
      </c>
      <c r="J56" s="15">
        <f ca="1">IFERROR(GETPIVOTDATA("Cuenta de CANT",Tabla9,"PROV",[2]Tablas!$A$67,"SEFIS",J$52,"CANT",[2]Tablas!$A26),0)</f>
        <v>0</v>
      </c>
      <c r="K56" s="15">
        <f ca="1">IFERROR(GETPIVOTDATA("Cuenta de CANT",Tabla9,"PROV",[2]Tablas!$A$67,"SEFIS",K$52,"CANT",[2]Tablas!$A26),0)</f>
        <v>0</v>
      </c>
      <c r="L56" s="15">
        <f ca="1">IFERROR(GETPIVOTDATA("Cuenta de CANT",Tabla9,"PROV",[2]Tablas!$A$67,"SEFIS",L$52,"CANT",[2]Tablas!$A26),0)</f>
        <v>0</v>
      </c>
      <c r="M56" s="15">
        <f ca="1">IFERROR(GETPIVOTDATA("Cuenta de CANT",Tabla9,"PROV",[2]Tablas!$A$67,"SEFIS",M$52,"CANT",[2]Tablas!$A26),0)</f>
        <v>0</v>
      </c>
      <c r="N56" s="15">
        <f ca="1">IFERROR(GETPIVOTDATA("Cuenta de CANT",Tabla9,"PROV",[2]Tablas!$A$67,"SEFIS",N$52,"CANT",[2]Tablas!$A26),0)</f>
        <v>0</v>
      </c>
      <c r="O56" s="15">
        <f ca="1">IFERROR(GETPIVOTDATA("Cuenta de CANT",Tabla9,"PROV",[2]Tablas!$A$67,"SEFIS",O$52,"CANT",[2]Tablas!$A26),0)</f>
        <v>0</v>
      </c>
      <c r="P56" s="15">
        <f ca="1">IFERROR(GETPIVOTDATA("Cuenta de CANT",Tabla9,"PROV",[2]Tablas!$A$67,"SEFIS",P$52,"CANT",[2]Tablas!$A26),0)</f>
        <v>0</v>
      </c>
      <c r="Q56" s="15">
        <f ca="1">IFERROR(GETPIVOTDATA("Cuenta de CANT",Tabla9,"PROV",[2]Tablas!$A$67,"SEFIS",Q$52,"CANT",[2]Tablas!$A26),0)</f>
        <v>0</v>
      </c>
      <c r="R56" s="15">
        <f ca="1">IFERROR(GETPIVOTDATA("Cuenta de CANT",Tabla9,"PROV",[2]Tablas!$A$67,"SEFIS",R$52,"CANT",[2]Tablas!$A26),0)</f>
        <v>0</v>
      </c>
      <c r="S56" s="15">
        <f ca="1">IFERROR(GETPIVOTDATA("Cuenta de CANT",Tabla9,"PROV",[2]Tablas!$A$67,"SEFIS",S$52,"CANT",[2]Tablas!$A26),0)</f>
        <v>0</v>
      </c>
      <c r="T56" s="15">
        <f ca="1">IFERROR(GETPIVOTDATA("Cuenta de CANT",Tabla9,"PROV",[2]Tablas!$A$67,"SEFIS",T$52,"CANT",[2]Tablas!$A26),0)</f>
        <v>0</v>
      </c>
      <c r="U56" s="15">
        <f ca="1">IFERROR(GETPIVOTDATA("Cuenta de CANT",Tabla9,"PROV",[2]Tablas!$A$67,"SEFIS",U$52,"CANT",[2]Tablas!$A26),0)</f>
        <v>1</v>
      </c>
      <c r="V56" s="15">
        <f ca="1">IFERROR(GETPIVOTDATA("Cuenta de CANT",Tabla9,"PROV",[2]Tablas!$A$67,"SEFIS",V$52,"CANT",[2]Tablas!$A26),0)</f>
        <v>0</v>
      </c>
      <c r="W56" s="15">
        <f ca="1">IFERROR(GETPIVOTDATA("Cuenta de CANT",Tabla9,"PROV",[2]Tablas!$A$67,"SEFIS",W$52,"CANT",[2]Tablas!$A26),0)</f>
        <v>0</v>
      </c>
      <c r="X56" s="15">
        <f ca="1">IFERROR(GETPIVOTDATA("Cuenta de CANT",Tabla9,"PROV",[2]Tablas!$A$67,"SEFIS",X$52,"CANT",[2]Tablas!$A26),0)</f>
        <v>0</v>
      </c>
      <c r="Y56" s="15">
        <f ca="1">IFERROR(GETPIVOTDATA("Cuenta de CANT",Tabla9,"PROV",[2]Tablas!$A$67,"SEFIS",Y$52,"CANT",[2]Tablas!$A26),0)</f>
        <v>0</v>
      </c>
      <c r="Z56" s="15">
        <f ca="1">IFERROR(GETPIVOTDATA("Cuenta de CANT",Tabla9,"PROV",[2]Tablas!$A$67,"SEFIS",Z$52,"CANT",[2]Tablas!$A26),0)</f>
        <v>0</v>
      </c>
      <c r="AA56" s="15">
        <f ca="1">IFERROR(GETPIVOTDATA("Cuenta de CANT",Tabla9,"PROV",[2]Tablas!$A$67,"SEFIS",AA$52,"CANT",[2]Tablas!$A26),0)</f>
        <v>2</v>
      </c>
      <c r="AB56" s="15">
        <f ca="1">IFERROR(GETPIVOTDATA("Cuenta de CANT",Tabla9,"PROV",[2]Tablas!$A$67,"SEFIS",AB$52,"CANT",[2]Tablas!$A26),0)</f>
        <v>0</v>
      </c>
      <c r="AC56" s="15">
        <f ca="1">IFERROR(GETPIVOTDATA("Cuenta de CANT",Tabla9,"PROV",[2]Tablas!$A$67,"SEFIS",AC$52,"CANT",[2]Tablas!$A26),0)</f>
        <v>0</v>
      </c>
      <c r="AD56" s="15">
        <f ca="1">IFERROR(GETPIVOTDATA("Cuenta de CANT",Tabla9,"PROV",[2]Tablas!$A$67,"SEFIS",AD$52,"CANT",[2]Tablas!$A26),0)</f>
        <v>1</v>
      </c>
      <c r="AE56" s="15">
        <f ca="1">IFERROR(GETPIVOTDATA("Cuenta de CANT",Tabla9,"PROV",[2]Tablas!$A$67,"SEFIS",AE$52,"CANT",[2]Tablas!$A26),0)</f>
        <v>1</v>
      </c>
      <c r="AF56" s="15">
        <f ca="1">IFERROR(GETPIVOTDATA("Cuenta de CANT",Tabla9,"PROV",[2]Tablas!$A$67,"SEFIS",AF$52,"CANT",[2]Tablas!$A26),0)</f>
        <v>0</v>
      </c>
      <c r="AG56" s="15">
        <f ca="1">IFERROR(GETPIVOTDATA("Cuenta de CANT",Tabla9,"PROV",[2]Tablas!$A$67,"SEFIS",AG$52,"CANT",[2]Tablas!$A26),0)</f>
        <v>0</v>
      </c>
      <c r="AH56" s="15">
        <f ca="1">IFERROR(GETPIVOTDATA("Cuenta de CANT",Tabla9,"PROV",[2]Tablas!$A$67,"SEFIS",AH$52,"CANT",[2]Tablas!$A26),0)</f>
        <v>0</v>
      </c>
      <c r="AI56" s="15">
        <f ca="1">IFERROR(GETPIVOTDATA("Cuenta de CANT",Tabla9,"PROV",[2]Tablas!$A$67,"SEFIS",AI$52,"CANT",[2]Tablas!$A26),0)</f>
        <v>0</v>
      </c>
      <c r="AJ56" s="15">
        <f ca="1">IFERROR(GETPIVOTDATA("Cuenta de CANT",Tabla9,"PROV",[2]Tablas!$A$67,"SEFIS",AJ$52,"CANT",[2]Tablas!$A26),0)</f>
        <v>0</v>
      </c>
      <c r="AK56" s="15">
        <f ca="1">IFERROR(GETPIVOTDATA("Cuenta de CANT",Tabla9,"PROV",[2]Tablas!$A$67,"SEFIS",AK$52,"CANT",[2]Tablas!$A26),0)</f>
        <v>0</v>
      </c>
      <c r="AL56" s="15">
        <f ca="1">IFERROR(GETPIVOTDATA("Cuenta de CANT",Tabla9,"PROV",[2]Tablas!$A$67,"SEFIS",AL$52,"CANT",[2]Tablas!$A26),0)</f>
        <v>0</v>
      </c>
      <c r="AM56" s="15">
        <f ca="1">IFERROR(GETPIVOTDATA("Cuenta de CANT",Tabla9,"PROV",[2]Tablas!$A$67,"SEFIS",AM$52,"CANT",[2]Tablas!$A26),0)</f>
        <v>0</v>
      </c>
      <c r="AN56" s="15">
        <f ca="1">IFERROR(GETPIVOTDATA("Cuenta de CANT",Tabla9,"PROV",[2]Tablas!$A$67,"SEFIS",AN$52,"CANT",[2]Tablas!$A26),0)</f>
        <v>0</v>
      </c>
      <c r="AO56" s="15">
        <f ca="1">IFERROR(GETPIVOTDATA("Cuenta de CANT",Tabla9,"PROV",[2]Tablas!$A$67,"SEFIS",AO$52,"CANT",[2]Tablas!$A26),0)</f>
        <v>0</v>
      </c>
      <c r="AP56" s="15">
        <f ca="1">IFERROR(GETPIVOTDATA("Cuenta de CANT",Tabla9,"PROV",[2]Tablas!$A$67,"SEFIS",AP$52,"CANT",[2]Tablas!$A26),0)</f>
        <v>0</v>
      </c>
      <c r="AQ56" s="15">
        <f ca="1">IFERROR(GETPIVOTDATA("Cuenta de CANT",Tabla9,"PROV",[2]Tablas!$A$67,"SEFIS",AQ$52,"CANT",[2]Tablas!$A26),0)</f>
        <v>0</v>
      </c>
      <c r="AR56" s="15">
        <f ca="1">IFERROR(GETPIVOTDATA("Cuenta de CANT",Tabla9,"PROV",[2]Tablas!$A$67,"SEFIS",AR$52,"CANT",[2]Tablas!$A26),0)</f>
        <v>2</v>
      </c>
      <c r="AS56" s="15">
        <f ca="1">IFERROR(GETPIVOTDATA("Cuenta de CANT",Tabla9,"PROV",[2]Tablas!$A$67,"SEFIS",AS$52,"CANT",[2]Tablas!$A26),0)</f>
        <v>0</v>
      </c>
      <c r="AT56" s="15">
        <f ca="1">IFERROR(GETPIVOTDATA("Cuenta de CANT",Tabla9,"PROV",[2]Tablas!$A$67,"SEFIS",AT$52,"CANT",[2]Tablas!$A26),0)</f>
        <v>0</v>
      </c>
      <c r="AU56" s="15">
        <f ca="1">IFERROR(GETPIVOTDATA("Cuenta de CANT",Tabla9,"PROV",[2]Tablas!$A$67,"SEFIS",AU$52,"CANT",[2]Tablas!$A26),0)</f>
        <v>1</v>
      </c>
      <c r="AV56" s="15">
        <f ca="1">IFERROR(GETPIVOTDATA("Cuenta de CANT",Tabla9,"PROV",[2]Tablas!$A$67,"SEFIS",AV$52,"CANT",[2]Tablas!$A26),0)</f>
        <v>0</v>
      </c>
      <c r="AW56" s="15">
        <f ca="1">IFERROR(GETPIVOTDATA("Cuenta de CANT",Tabla9,"PROV",[2]Tablas!$A$67,"SEFIS",AW$52,"CANT",[2]Tablas!$A26),0)</f>
        <v>0</v>
      </c>
      <c r="AX56" s="15">
        <f ca="1">IFERROR(GETPIVOTDATA("Cuenta de CANT",Tabla9,"PROV",[2]Tablas!$A$67,"SEFIS",AX$52,"CANT",[2]Tablas!$A26),0)</f>
        <v>1</v>
      </c>
      <c r="AY56" s="15">
        <f ca="1">IFERROR(GETPIVOTDATA("Cuenta de CANT",Tabla9,"PROV",[2]Tablas!$A$67,"SEFIS",AY$52,"CANT",[2]Tablas!$A26),0)</f>
        <v>0</v>
      </c>
      <c r="AZ56" s="15">
        <f ca="1">IFERROR(GETPIVOTDATA("Cuenta de CANT",Tabla9,"PROV",[2]Tablas!$A$67,"SEFIS",AZ$52,"CANT",[2]Tablas!$A26),0)</f>
        <v>0</v>
      </c>
      <c r="BA56" s="15">
        <f ca="1">IFERROR(GETPIVOTDATA("Cuenta de CANT",Tabla9,"PROV",[2]Tablas!$A$67,"SEFIS",BA$52,"CANT",[2]Tablas!$A26),0)</f>
        <v>0</v>
      </c>
      <c r="BB56" s="15">
        <f ca="1">IFERROR(GETPIVOTDATA("Cuenta de CANT",Tabla9,"PROV",[2]Tablas!$A$67,"SEFIS",BB$52,"CANT",[2]Tablas!$A26),0)</f>
        <v>0</v>
      </c>
      <c r="BC56" s="15">
        <f ca="1">IFERROR(GETPIVOTDATA("Cuenta de CANT",Tabla9,"PROV",[2]Tablas!$A$67,"SEFIS",BC$52,"CANT",[2]Tablas!$A26),0)</f>
        <v>0</v>
      </c>
      <c r="BD56" s="15">
        <f ca="1">IFERROR(GETPIVOTDATA("Cuenta de CANT",Tabla9,"PROV",[2]Tablas!$A$67,"SEFIS",BD$52,"CANT",[2]Tablas!$A26),0)</f>
        <v>0</v>
      </c>
    </row>
    <row r="57" spans="1:56" x14ac:dyDescent="0.35">
      <c r="A57" s="14" t="s">
        <v>153</v>
      </c>
      <c r="B57" s="15">
        <f t="shared" ca="1" si="6"/>
        <v>50</v>
      </c>
      <c r="C57" s="16">
        <f ca="1">IFERROR(B57/[2]Tablas!$B27*100000,"N/D")</f>
        <v>72.802457810975696</v>
      </c>
      <c r="D57" s="15">
        <f ca="1">IFERROR(GETPIVOTDATA("Cuenta de CANT",Tabla9,"PROV",[2]Tablas!$A$67,"SEFIS",D$52,"CANT",[2]Tablas!$A27),0)</f>
        <v>1</v>
      </c>
      <c r="E57" s="15">
        <f ca="1">IFERROR(GETPIVOTDATA("Cuenta de CANT",Tabla9,"PROV",[2]Tablas!$A$67,"SEFIS",E$52,"CANT",[2]Tablas!$A27),0)</f>
        <v>1</v>
      </c>
      <c r="F57" s="15">
        <f ca="1">IFERROR(GETPIVOTDATA("Cuenta de CANT",Tabla9,"PROV",[2]Tablas!$A$67,"SEFIS",F$52,"CANT",[2]Tablas!$A27),0)</f>
        <v>2</v>
      </c>
      <c r="G57" s="15">
        <f ca="1">IFERROR(GETPIVOTDATA("Cuenta de CANT",Tabla9,"PROV",[2]Tablas!$A$67,"SEFIS",G$52,"CANT",[2]Tablas!$A27),0)</f>
        <v>5</v>
      </c>
      <c r="H57" s="15">
        <f ca="1">IFERROR(GETPIVOTDATA("Cuenta de CANT",Tabla9,"PROV",[2]Tablas!$A$67,"SEFIS",H$52,"CANT",[2]Tablas!$A27),0)</f>
        <v>0</v>
      </c>
      <c r="I57" s="15">
        <f ca="1">IFERROR(GETPIVOTDATA("Cuenta de CANT",Tabla9,"PROV",[2]Tablas!$A$67,"SEFIS",I$52,"CANT",[2]Tablas!$A27),0)</f>
        <v>3</v>
      </c>
      <c r="J57" s="15">
        <f ca="1">IFERROR(GETPIVOTDATA("Cuenta de CANT",Tabla9,"PROV",[2]Tablas!$A$67,"SEFIS",J$52,"CANT",[2]Tablas!$A27),0)</f>
        <v>1</v>
      </c>
      <c r="K57" s="15">
        <f ca="1">IFERROR(GETPIVOTDATA("Cuenta de CANT",Tabla9,"PROV",[2]Tablas!$A$67,"SEFIS",K$52,"CANT",[2]Tablas!$A27),0)</f>
        <v>0</v>
      </c>
      <c r="L57" s="15">
        <f ca="1">IFERROR(GETPIVOTDATA("Cuenta de CANT",Tabla9,"PROV",[2]Tablas!$A$67,"SEFIS",L$52,"CANT",[2]Tablas!$A27),0)</f>
        <v>0</v>
      </c>
      <c r="M57" s="15">
        <f ca="1">IFERROR(GETPIVOTDATA("Cuenta de CANT",Tabla9,"PROV",[2]Tablas!$A$67,"SEFIS",M$52,"CANT",[2]Tablas!$A27),0)</f>
        <v>0</v>
      </c>
      <c r="N57" s="15">
        <f ca="1">IFERROR(GETPIVOTDATA("Cuenta de CANT",Tabla9,"PROV",[2]Tablas!$A$67,"SEFIS",N$52,"CANT",[2]Tablas!$A27),0)</f>
        <v>0</v>
      </c>
      <c r="O57" s="15">
        <f ca="1">IFERROR(GETPIVOTDATA("Cuenta de CANT",Tabla9,"PROV",[2]Tablas!$A$67,"SEFIS",O$52,"CANT",[2]Tablas!$A27),0)</f>
        <v>0</v>
      </c>
      <c r="P57" s="15">
        <f ca="1">IFERROR(GETPIVOTDATA("Cuenta de CANT",Tabla9,"PROV",[2]Tablas!$A$67,"SEFIS",P$52,"CANT",[2]Tablas!$A27),0)</f>
        <v>0</v>
      </c>
      <c r="Q57" s="15">
        <f ca="1">IFERROR(GETPIVOTDATA("Cuenta de CANT",Tabla9,"PROV",[2]Tablas!$A$67,"SEFIS",Q$52,"CANT",[2]Tablas!$A27),0)</f>
        <v>0</v>
      </c>
      <c r="R57" s="15">
        <f ca="1">IFERROR(GETPIVOTDATA("Cuenta de CANT",Tabla9,"PROV",[2]Tablas!$A$67,"SEFIS",R$52,"CANT",[2]Tablas!$A27),0)</f>
        <v>0</v>
      </c>
      <c r="S57" s="15">
        <f ca="1">IFERROR(GETPIVOTDATA("Cuenta de CANT",Tabla9,"PROV",[2]Tablas!$A$67,"SEFIS",S$52,"CANT",[2]Tablas!$A27),0)</f>
        <v>0</v>
      </c>
      <c r="T57" s="15">
        <f ca="1">IFERROR(GETPIVOTDATA("Cuenta de CANT",Tabla9,"PROV",[2]Tablas!$A$67,"SEFIS",T$52,"CANT",[2]Tablas!$A27),0)</f>
        <v>0</v>
      </c>
      <c r="U57" s="15">
        <f ca="1">IFERROR(GETPIVOTDATA("Cuenta de CANT",Tabla9,"PROV",[2]Tablas!$A$67,"SEFIS",U$52,"CANT",[2]Tablas!$A27),0)</f>
        <v>0</v>
      </c>
      <c r="V57" s="15">
        <f ca="1">IFERROR(GETPIVOTDATA("Cuenta de CANT",Tabla9,"PROV",[2]Tablas!$A$67,"SEFIS",V$52,"CANT",[2]Tablas!$A27),0)</f>
        <v>0</v>
      </c>
      <c r="W57" s="15">
        <f ca="1">IFERROR(GETPIVOTDATA("Cuenta de CANT",Tabla9,"PROV",[2]Tablas!$A$67,"SEFIS",W$52,"CANT",[2]Tablas!$A27),0)</f>
        <v>2</v>
      </c>
      <c r="X57" s="15">
        <f ca="1">IFERROR(GETPIVOTDATA("Cuenta de CANT",Tabla9,"PROV",[2]Tablas!$A$67,"SEFIS",X$52,"CANT",[2]Tablas!$A27),0)</f>
        <v>0</v>
      </c>
      <c r="Y57" s="15">
        <f ca="1">IFERROR(GETPIVOTDATA("Cuenta de CANT",Tabla9,"PROV",[2]Tablas!$A$67,"SEFIS",Y$52,"CANT",[2]Tablas!$A27),0)</f>
        <v>0</v>
      </c>
      <c r="Z57" s="15">
        <f ca="1">IFERROR(GETPIVOTDATA("Cuenta de CANT",Tabla9,"PROV",[2]Tablas!$A$67,"SEFIS",Z$52,"CANT",[2]Tablas!$A27),0)</f>
        <v>0</v>
      </c>
      <c r="AA57" s="15">
        <f ca="1">IFERROR(GETPIVOTDATA("Cuenta de CANT",Tabla9,"PROV",[2]Tablas!$A$67,"SEFIS",AA$52,"CANT",[2]Tablas!$A27),0)</f>
        <v>0</v>
      </c>
      <c r="AB57" s="15">
        <f ca="1">IFERROR(GETPIVOTDATA("Cuenta de CANT",Tabla9,"PROV",[2]Tablas!$A$67,"SEFIS",AB$52,"CANT",[2]Tablas!$A27),0)</f>
        <v>0</v>
      </c>
      <c r="AC57" s="15">
        <f ca="1">IFERROR(GETPIVOTDATA("Cuenta de CANT",Tabla9,"PROV",[2]Tablas!$A$67,"SEFIS",AC$52,"CANT",[2]Tablas!$A27),0)</f>
        <v>2</v>
      </c>
      <c r="AD57" s="15">
        <f ca="1">IFERROR(GETPIVOTDATA("Cuenta de CANT",Tabla9,"PROV",[2]Tablas!$A$67,"SEFIS",AD$52,"CANT",[2]Tablas!$A27),0)</f>
        <v>0</v>
      </c>
      <c r="AE57" s="15">
        <f ca="1">IFERROR(GETPIVOTDATA("Cuenta de CANT",Tabla9,"PROV",[2]Tablas!$A$67,"SEFIS",AE$52,"CANT",[2]Tablas!$A27),0)</f>
        <v>0</v>
      </c>
      <c r="AF57" s="15">
        <f ca="1">IFERROR(GETPIVOTDATA("Cuenta de CANT",Tabla9,"PROV",[2]Tablas!$A$67,"SEFIS",AF$52,"CANT",[2]Tablas!$A27),0)</f>
        <v>0</v>
      </c>
      <c r="AG57" s="15">
        <f ca="1">IFERROR(GETPIVOTDATA("Cuenta de CANT",Tabla9,"PROV",[2]Tablas!$A$67,"SEFIS",AG$52,"CANT",[2]Tablas!$A27),0)</f>
        <v>0</v>
      </c>
      <c r="AH57" s="15">
        <f ca="1">IFERROR(GETPIVOTDATA("Cuenta de CANT",Tabla9,"PROV",[2]Tablas!$A$67,"SEFIS",AH$52,"CANT",[2]Tablas!$A27),0)</f>
        <v>0</v>
      </c>
      <c r="AI57" s="15">
        <f ca="1">IFERROR(GETPIVOTDATA("Cuenta de CANT",Tabla9,"PROV",[2]Tablas!$A$67,"SEFIS",AI$52,"CANT",[2]Tablas!$A27),0)</f>
        <v>1</v>
      </c>
      <c r="AJ57" s="15">
        <f ca="1">IFERROR(GETPIVOTDATA("Cuenta de CANT",Tabla9,"PROV",[2]Tablas!$A$67,"SEFIS",AJ$52,"CANT",[2]Tablas!$A27),0)</f>
        <v>0</v>
      </c>
      <c r="AK57" s="15">
        <f ca="1">IFERROR(GETPIVOTDATA("Cuenta de CANT",Tabla9,"PROV",[2]Tablas!$A$67,"SEFIS",AK$52,"CANT",[2]Tablas!$A27),0)</f>
        <v>1</v>
      </c>
      <c r="AL57" s="15">
        <f ca="1">IFERROR(GETPIVOTDATA("Cuenta de CANT",Tabla9,"PROV",[2]Tablas!$A$67,"SEFIS",AL$52,"CANT",[2]Tablas!$A27),0)</f>
        <v>1</v>
      </c>
      <c r="AM57" s="15">
        <f ca="1">IFERROR(GETPIVOTDATA("Cuenta de CANT",Tabla9,"PROV",[2]Tablas!$A$67,"SEFIS",AM$52,"CANT",[2]Tablas!$A27),0)</f>
        <v>0</v>
      </c>
      <c r="AN57" s="15">
        <f ca="1">IFERROR(GETPIVOTDATA("Cuenta de CANT",Tabla9,"PROV",[2]Tablas!$A$67,"SEFIS",AN$52,"CANT",[2]Tablas!$A27),0)</f>
        <v>1</v>
      </c>
      <c r="AO57" s="15">
        <f ca="1">IFERROR(GETPIVOTDATA("Cuenta de CANT",Tabla9,"PROV",[2]Tablas!$A$67,"SEFIS",AO$52,"CANT",[2]Tablas!$A27),0)</f>
        <v>0</v>
      </c>
      <c r="AP57" s="15">
        <f ca="1">IFERROR(GETPIVOTDATA("Cuenta de CANT",Tabla9,"PROV",[2]Tablas!$A$67,"SEFIS",AP$52,"CANT",[2]Tablas!$A27),0)</f>
        <v>0</v>
      </c>
      <c r="AQ57" s="15">
        <f ca="1">IFERROR(GETPIVOTDATA("Cuenta de CANT",Tabla9,"PROV",[2]Tablas!$A$67,"SEFIS",AQ$52,"CANT",[2]Tablas!$A27),0)</f>
        <v>0</v>
      </c>
      <c r="AR57" s="15">
        <f ca="1">IFERROR(GETPIVOTDATA("Cuenta de CANT",Tabla9,"PROV",[2]Tablas!$A$67,"SEFIS",AR$52,"CANT",[2]Tablas!$A27),0)</f>
        <v>0</v>
      </c>
      <c r="AS57" s="15">
        <f ca="1">IFERROR(GETPIVOTDATA("Cuenta de CANT",Tabla9,"PROV",[2]Tablas!$A$67,"SEFIS",AS$52,"CANT",[2]Tablas!$A27),0)</f>
        <v>0</v>
      </c>
      <c r="AT57" s="15">
        <f ca="1">IFERROR(GETPIVOTDATA("Cuenta de CANT",Tabla9,"PROV",[2]Tablas!$A$67,"SEFIS",AT$52,"CANT",[2]Tablas!$A27),0)</f>
        <v>0</v>
      </c>
      <c r="AU57" s="15">
        <f ca="1">IFERROR(GETPIVOTDATA("Cuenta de CANT",Tabla9,"PROV",[2]Tablas!$A$67,"SEFIS",AU$52,"CANT",[2]Tablas!$A27),0)</f>
        <v>0</v>
      </c>
      <c r="AV57" s="15">
        <f ca="1">IFERROR(GETPIVOTDATA("Cuenta de CANT",Tabla9,"PROV",[2]Tablas!$A$67,"SEFIS",AV$52,"CANT",[2]Tablas!$A27),0)</f>
        <v>1</v>
      </c>
      <c r="AW57" s="15">
        <f ca="1">IFERROR(GETPIVOTDATA("Cuenta de CANT",Tabla9,"PROV",[2]Tablas!$A$67,"SEFIS",AW$52,"CANT",[2]Tablas!$A27),0)</f>
        <v>0</v>
      </c>
      <c r="AX57" s="15">
        <f ca="1">IFERROR(GETPIVOTDATA("Cuenta de CANT",Tabla9,"PROV",[2]Tablas!$A$67,"SEFIS",AX$52,"CANT",[2]Tablas!$A27),0)</f>
        <v>5</v>
      </c>
      <c r="AY57" s="15">
        <f ca="1">IFERROR(GETPIVOTDATA("Cuenta de CANT",Tabla9,"PROV",[2]Tablas!$A$67,"SEFIS",AY$52,"CANT",[2]Tablas!$A27),0)</f>
        <v>4</v>
      </c>
      <c r="AZ57" s="15">
        <f ca="1">IFERROR(GETPIVOTDATA("Cuenta de CANT",Tabla9,"PROV",[2]Tablas!$A$67,"SEFIS",AZ$52,"CANT",[2]Tablas!$A27),0)</f>
        <v>2</v>
      </c>
      <c r="BA57" s="15">
        <f ca="1">IFERROR(GETPIVOTDATA("Cuenta de CANT",Tabla9,"PROV",[2]Tablas!$A$67,"SEFIS",BA$52,"CANT",[2]Tablas!$A27),0)</f>
        <v>4</v>
      </c>
      <c r="BB57" s="15">
        <f ca="1">IFERROR(GETPIVOTDATA("Cuenta de CANT",Tabla9,"PROV",[2]Tablas!$A$67,"SEFIS",BB$52,"CANT",[2]Tablas!$A27),0)</f>
        <v>7</v>
      </c>
      <c r="BC57" s="15">
        <f ca="1">IFERROR(GETPIVOTDATA("Cuenta de CANT",Tabla9,"PROV",[2]Tablas!$A$67,"SEFIS",BC$52,"CANT",[2]Tablas!$A27),0)</f>
        <v>6</v>
      </c>
      <c r="BD57" s="15">
        <f ca="1">IFERROR(GETPIVOTDATA("Cuenta de CANT",Tabla9,"PROV",[2]Tablas!$A$67,"SEFIS",BD$52,"CANT",[2]Tablas!$A27),0)</f>
        <v>0</v>
      </c>
    </row>
    <row r="58" spans="1:56" x14ac:dyDescent="0.35">
      <c r="A58" s="14" t="s">
        <v>154</v>
      </c>
      <c r="B58" s="15">
        <f t="shared" ca="1" si="6"/>
        <v>6</v>
      </c>
      <c r="C58" s="16">
        <f ca="1">IFERROR(B58/[2]Tablas!$B28*100000,"N/D")</f>
        <v>39.481476607225112</v>
      </c>
      <c r="D58" s="15">
        <f ca="1">IFERROR(GETPIVOTDATA("Cuenta de CANT",Tabla9,"PROV",[2]Tablas!$A$67,"SEFIS",D$52,"CANT",[2]Tablas!$A28),0)</f>
        <v>0</v>
      </c>
      <c r="E58" s="15">
        <f ca="1">IFERROR(GETPIVOTDATA("Cuenta de CANT",Tabla9,"PROV",[2]Tablas!$A$67,"SEFIS",E$52,"CANT",[2]Tablas!$A28),0)</f>
        <v>0</v>
      </c>
      <c r="F58" s="15">
        <f ca="1">IFERROR(GETPIVOTDATA("Cuenta de CANT",Tabla9,"PROV",[2]Tablas!$A$67,"SEFIS",F$52,"CANT",[2]Tablas!$A28),0)</f>
        <v>0</v>
      </c>
      <c r="G58" s="15">
        <f ca="1">IFERROR(GETPIVOTDATA("Cuenta de CANT",Tabla9,"PROV",[2]Tablas!$A$67,"SEFIS",G$52,"CANT",[2]Tablas!$A28),0)</f>
        <v>0</v>
      </c>
      <c r="H58" s="15">
        <f ca="1">IFERROR(GETPIVOTDATA("Cuenta de CANT",Tabla9,"PROV",[2]Tablas!$A$67,"SEFIS",H$52,"CANT",[2]Tablas!$A28),0)</f>
        <v>0</v>
      </c>
      <c r="I58" s="15">
        <f ca="1">IFERROR(GETPIVOTDATA("Cuenta de CANT",Tabla9,"PROV",[2]Tablas!$A$67,"SEFIS",I$52,"CANT",[2]Tablas!$A28),0)</f>
        <v>0</v>
      </c>
      <c r="J58" s="15">
        <f ca="1">IFERROR(GETPIVOTDATA("Cuenta de CANT",Tabla9,"PROV",[2]Tablas!$A$67,"SEFIS",J$52,"CANT",[2]Tablas!$A28),0)</f>
        <v>0</v>
      </c>
      <c r="K58" s="15">
        <f ca="1">IFERROR(GETPIVOTDATA("Cuenta de CANT",Tabla9,"PROV",[2]Tablas!$A$67,"SEFIS",K$52,"CANT",[2]Tablas!$A28),0)</f>
        <v>0</v>
      </c>
      <c r="L58" s="15">
        <f ca="1">IFERROR(GETPIVOTDATA("Cuenta de CANT",Tabla9,"PROV",[2]Tablas!$A$67,"SEFIS",L$52,"CANT",[2]Tablas!$A28),0)</f>
        <v>0</v>
      </c>
      <c r="M58" s="15">
        <f ca="1">IFERROR(GETPIVOTDATA("Cuenta de CANT",Tabla9,"PROV",[2]Tablas!$A$67,"SEFIS",M$52,"CANT",[2]Tablas!$A28),0)</f>
        <v>0</v>
      </c>
      <c r="N58" s="15">
        <f ca="1">IFERROR(GETPIVOTDATA("Cuenta de CANT",Tabla9,"PROV",[2]Tablas!$A$67,"SEFIS",N$52,"CANT",[2]Tablas!$A28),0)</f>
        <v>0</v>
      </c>
      <c r="O58" s="15">
        <f ca="1">IFERROR(GETPIVOTDATA("Cuenta de CANT",Tabla9,"PROV",[2]Tablas!$A$67,"SEFIS",O$52,"CANT",[2]Tablas!$A28),0)</f>
        <v>0</v>
      </c>
      <c r="P58" s="15">
        <f ca="1">IFERROR(GETPIVOTDATA("Cuenta de CANT",Tabla9,"PROV",[2]Tablas!$A$67,"SEFIS",P$52,"CANT",[2]Tablas!$A28),0)</f>
        <v>0</v>
      </c>
      <c r="Q58" s="15">
        <f ca="1">IFERROR(GETPIVOTDATA("Cuenta de CANT",Tabla9,"PROV",[2]Tablas!$A$67,"SEFIS",Q$52,"CANT",[2]Tablas!$A28),0)</f>
        <v>0</v>
      </c>
      <c r="R58" s="15">
        <f ca="1">IFERROR(GETPIVOTDATA("Cuenta de CANT",Tabla9,"PROV",[2]Tablas!$A$67,"SEFIS",R$52,"CANT",[2]Tablas!$A28),0)</f>
        <v>1</v>
      </c>
      <c r="S58" s="15">
        <f ca="1">IFERROR(GETPIVOTDATA("Cuenta de CANT",Tabla9,"PROV",[2]Tablas!$A$67,"SEFIS",S$52,"CANT",[2]Tablas!$A28),0)</f>
        <v>1</v>
      </c>
      <c r="T58" s="15">
        <f ca="1">IFERROR(GETPIVOTDATA("Cuenta de CANT",Tabla9,"PROV",[2]Tablas!$A$67,"SEFIS",T$52,"CANT",[2]Tablas!$A28),0)</f>
        <v>0</v>
      </c>
      <c r="U58" s="15">
        <f ca="1">IFERROR(GETPIVOTDATA("Cuenta de CANT",Tabla9,"PROV",[2]Tablas!$A$67,"SEFIS",U$52,"CANT",[2]Tablas!$A28),0)</f>
        <v>0</v>
      </c>
      <c r="V58" s="15">
        <f ca="1">IFERROR(GETPIVOTDATA("Cuenta de CANT",Tabla9,"PROV",[2]Tablas!$A$67,"SEFIS",V$52,"CANT",[2]Tablas!$A28),0)</f>
        <v>0</v>
      </c>
      <c r="W58" s="15">
        <f ca="1">IFERROR(GETPIVOTDATA("Cuenta de CANT",Tabla9,"PROV",[2]Tablas!$A$67,"SEFIS",W$52,"CANT",[2]Tablas!$A28),0)</f>
        <v>0</v>
      </c>
      <c r="X58" s="15">
        <f ca="1">IFERROR(GETPIVOTDATA("Cuenta de CANT",Tabla9,"PROV",[2]Tablas!$A$67,"SEFIS",X$52,"CANT",[2]Tablas!$A28),0)</f>
        <v>0</v>
      </c>
      <c r="Y58" s="15">
        <f ca="1">IFERROR(GETPIVOTDATA("Cuenta de CANT",Tabla9,"PROV",[2]Tablas!$A$67,"SEFIS",Y$52,"CANT",[2]Tablas!$A28),0)</f>
        <v>0</v>
      </c>
      <c r="Z58" s="15">
        <f ca="1">IFERROR(GETPIVOTDATA("Cuenta de CANT",Tabla9,"PROV",[2]Tablas!$A$67,"SEFIS",Z$52,"CANT",[2]Tablas!$A28),0)</f>
        <v>0</v>
      </c>
      <c r="AA58" s="15">
        <f ca="1">IFERROR(GETPIVOTDATA("Cuenta de CANT",Tabla9,"PROV",[2]Tablas!$A$67,"SEFIS",AA$52,"CANT",[2]Tablas!$A28),0)</f>
        <v>0</v>
      </c>
      <c r="AB58" s="15">
        <f ca="1">IFERROR(GETPIVOTDATA("Cuenta de CANT",Tabla9,"PROV",[2]Tablas!$A$67,"SEFIS",AB$52,"CANT",[2]Tablas!$A28),0)</f>
        <v>0</v>
      </c>
      <c r="AC58" s="15">
        <f ca="1">IFERROR(GETPIVOTDATA("Cuenta de CANT",Tabla9,"PROV",[2]Tablas!$A$67,"SEFIS",AC$52,"CANT",[2]Tablas!$A28),0)</f>
        <v>0</v>
      </c>
      <c r="AD58" s="15">
        <f ca="1">IFERROR(GETPIVOTDATA("Cuenta de CANT",Tabla9,"PROV",[2]Tablas!$A$67,"SEFIS",AD$52,"CANT",[2]Tablas!$A28),0)</f>
        <v>1</v>
      </c>
      <c r="AE58" s="15">
        <f ca="1">IFERROR(GETPIVOTDATA("Cuenta de CANT",Tabla9,"PROV",[2]Tablas!$A$67,"SEFIS",AE$52,"CANT",[2]Tablas!$A28),0)</f>
        <v>0</v>
      </c>
      <c r="AF58" s="15">
        <f ca="1">IFERROR(GETPIVOTDATA("Cuenta de CANT",Tabla9,"PROV",[2]Tablas!$A$67,"SEFIS",AF$52,"CANT",[2]Tablas!$A28),0)</f>
        <v>0</v>
      </c>
      <c r="AG58" s="15">
        <f ca="1">IFERROR(GETPIVOTDATA("Cuenta de CANT",Tabla9,"PROV",[2]Tablas!$A$67,"SEFIS",AG$52,"CANT",[2]Tablas!$A28),0)</f>
        <v>0</v>
      </c>
      <c r="AH58" s="15">
        <f ca="1">IFERROR(GETPIVOTDATA("Cuenta de CANT",Tabla9,"PROV",[2]Tablas!$A$67,"SEFIS",AH$52,"CANT",[2]Tablas!$A28),0)</f>
        <v>0</v>
      </c>
      <c r="AI58" s="15">
        <f ca="1">IFERROR(GETPIVOTDATA("Cuenta de CANT",Tabla9,"PROV",[2]Tablas!$A$67,"SEFIS",AI$52,"CANT",[2]Tablas!$A28),0)</f>
        <v>0</v>
      </c>
      <c r="AJ58" s="15">
        <f ca="1">IFERROR(GETPIVOTDATA("Cuenta de CANT",Tabla9,"PROV",[2]Tablas!$A$67,"SEFIS",AJ$52,"CANT",[2]Tablas!$A28),0)</f>
        <v>0</v>
      </c>
      <c r="AK58" s="15">
        <f ca="1">IFERROR(GETPIVOTDATA("Cuenta de CANT",Tabla9,"PROV",[2]Tablas!$A$67,"SEFIS",AK$52,"CANT",[2]Tablas!$A28),0)</f>
        <v>0</v>
      </c>
      <c r="AL58" s="15">
        <f ca="1">IFERROR(GETPIVOTDATA("Cuenta de CANT",Tabla9,"PROV",[2]Tablas!$A$67,"SEFIS",AL$52,"CANT",[2]Tablas!$A28),0)</f>
        <v>0</v>
      </c>
      <c r="AM58" s="15">
        <f ca="1">IFERROR(GETPIVOTDATA("Cuenta de CANT",Tabla9,"PROV",[2]Tablas!$A$67,"SEFIS",AM$52,"CANT",[2]Tablas!$A28),0)</f>
        <v>0</v>
      </c>
      <c r="AN58" s="15">
        <f ca="1">IFERROR(GETPIVOTDATA("Cuenta de CANT",Tabla9,"PROV",[2]Tablas!$A$67,"SEFIS",AN$52,"CANT",[2]Tablas!$A28),0)</f>
        <v>0</v>
      </c>
      <c r="AO58" s="15">
        <f ca="1">IFERROR(GETPIVOTDATA("Cuenta de CANT",Tabla9,"PROV",[2]Tablas!$A$67,"SEFIS",AO$52,"CANT",[2]Tablas!$A28),0)</f>
        <v>0</v>
      </c>
      <c r="AP58" s="15">
        <f ca="1">IFERROR(GETPIVOTDATA("Cuenta de CANT",Tabla9,"PROV",[2]Tablas!$A$67,"SEFIS",AP$52,"CANT",[2]Tablas!$A28),0)</f>
        <v>0</v>
      </c>
      <c r="AQ58" s="15">
        <f ca="1">IFERROR(GETPIVOTDATA("Cuenta de CANT",Tabla9,"PROV",[2]Tablas!$A$67,"SEFIS",AQ$52,"CANT",[2]Tablas!$A28),0)</f>
        <v>0</v>
      </c>
      <c r="AR58" s="15">
        <f ca="1">IFERROR(GETPIVOTDATA("Cuenta de CANT",Tabla9,"PROV",[2]Tablas!$A$67,"SEFIS",AR$52,"CANT",[2]Tablas!$A28),0)</f>
        <v>0</v>
      </c>
      <c r="AS58" s="15">
        <f ca="1">IFERROR(GETPIVOTDATA("Cuenta de CANT",Tabla9,"PROV",[2]Tablas!$A$67,"SEFIS",AS$52,"CANT",[2]Tablas!$A28),0)</f>
        <v>0</v>
      </c>
      <c r="AT58" s="15">
        <f ca="1">IFERROR(GETPIVOTDATA("Cuenta de CANT",Tabla9,"PROV",[2]Tablas!$A$67,"SEFIS",AT$52,"CANT",[2]Tablas!$A28),0)</f>
        <v>0</v>
      </c>
      <c r="AU58" s="15">
        <f ca="1">IFERROR(GETPIVOTDATA("Cuenta de CANT",Tabla9,"PROV",[2]Tablas!$A$67,"SEFIS",AU$52,"CANT",[2]Tablas!$A28),0)</f>
        <v>0</v>
      </c>
      <c r="AV58" s="15">
        <f ca="1">IFERROR(GETPIVOTDATA("Cuenta de CANT",Tabla9,"PROV",[2]Tablas!$A$67,"SEFIS",AV$52,"CANT",[2]Tablas!$A28),0)</f>
        <v>0</v>
      </c>
      <c r="AW58" s="15">
        <f ca="1">IFERROR(GETPIVOTDATA("Cuenta de CANT",Tabla9,"PROV",[2]Tablas!$A$67,"SEFIS",AW$52,"CANT",[2]Tablas!$A28),0)</f>
        <v>0</v>
      </c>
      <c r="AX58" s="15">
        <f ca="1">IFERROR(GETPIVOTDATA("Cuenta de CANT",Tabla9,"PROV",[2]Tablas!$A$67,"SEFIS",AX$52,"CANT",[2]Tablas!$A28),0)</f>
        <v>0</v>
      </c>
      <c r="AY58" s="15">
        <f ca="1">IFERROR(GETPIVOTDATA("Cuenta de CANT",Tabla9,"PROV",[2]Tablas!$A$67,"SEFIS",AY$52,"CANT",[2]Tablas!$A28),0)</f>
        <v>0</v>
      </c>
      <c r="AZ58" s="15">
        <f ca="1">IFERROR(GETPIVOTDATA("Cuenta de CANT",Tabla9,"PROV",[2]Tablas!$A$67,"SEFIS",AZ$52,"CANT",[2]Tablas!$A28),0)</f>
        <v>0</v>
      </c>
      <c r="BA58" s="15">
        <f ca="1">IFERROR(GETPIVOTDATA("Cuenta de CANT",Tabla9,"PROV",[2]Tablas!$A$67,"SEFIS",BA$52,"CANT",[2]Tablas!$A28),0)</f>
        <v>1</v>
      </c>
      <c r="BB58" s="15">
        <f ca="1">IFERROR(GETPIVOTDATA("Cuenta de CANT",Tabla9,"PROV",[2]Tablas!$A$67,"SEFIS",BB$52,"CANT",[2]Tablas!$A28),0)</f>
        <v>1</v>
      </c>
      <c r="BC58" s="15">
        <f ca="1">IFERROR(GETPIVOTDATA("Cuenta de CANT",Tabla9,"PROV",[2]Tablas!$A$67,"SEFIS",BC$52,"CANT",[2]Tablas!$A28),0)</f>
        <v>1</v>
      </c>
      <c r="BD58" s="15">
        <f ca="1">IFERROR(GETPIVOTDATA("Cuenta de CANT",Tabla9,"PROV",[2]Tablas!$A$67,"SEFIS",BD$52,"CANT",[2]Tablas!$A28),0)</f>
        <v>0</v>
      </c>
    </row>
    <row r="59" spans="1:56" x14ac:dyDescent="0.35">
      <c r="A59" s="14" t="s">
        <v>155</v>
      </c>
      <c r="B59" s="15">
        <f t="shared" ca="1" si="6"/>
        <v>9</v>
      </c>
      <c r="C59" s="16">
        <f ca="1">IFERROR(B59/[2]Tablas!$B29*100000,"N/D")</f>
        <v>18.427895739060997</v>
      </c>
      <c r="D59" s="15">
        <f ca="1">IFERROR(GETPIVOTDATA("Cuenta de CANT",Tabla9,"PROV",[2]Tablas!$A$67,"SEFIS",D$52,"CANT",[2]Tablas!$A29),0)</f>
        <v>0</v>
      </c>
      <c r="E59" s="15">
        <f ca="1">IFERROR(GETPIVOTDATA("Cuenta de CANT",Tabla9,"PROV",[2]Tablas!$A$67,"SEFIS",E$52,"CANT",[2]Tablas!$A29),0)</f>
        <v>0</v>
      </c>
      <c r="F59" s="15">
        <f ca="1">IFERROR(GETPIVOTDATA("Cuenta de CANT",Tabla9,"PROV",[2]Tablas!$A$67,"SEFIS",F$52,"CANT",[2]Tablas!$A29),0)</f>
        <v>0</v>
      </c>
      <c r="G59" s="15">
        <f ca="1">IFERROR(GETPIVOTDATA("Cuenta de CANT",Tabla9,"PROV",[2]Tablas!$A$67,"SEFIS",G$52,"CANT",[2]Tablas!$A29),0)</f>
        <v>0</v>
      </c>
      <c r="H59" s="15">
        <f ca="1">IFERROR(GETPIVOTDATA("Cuenta de CANT",Tabla9,"PROV",[2]Tablas!$A$67,"SEFIS",H$52,"CANT",[2]Tablas!$A29),0)</f>
        <v>0</v>
      </c>
      <c r="I59" s="15">
        <f ca="1">IFERROR(GETPIVOTDATA("Cuenta de CANT",Tabla9,"PROV",[2]Tablas!$A$67,"SEFIS",I$52,"CANT",[2]Tablas!$A29),0)</f>
        <v>0</v>
      </c>
      <c r="J59" s="15">
        <f ca="1">IFERROR(GETPIVOTDATA("Cuenta de CANT",Tabla9,"PROV",[2]Tablas!$A$67,"SEFIS",J$52,"CANT",[2]Tablas!$A29),0)</f>
        <v>0</v>
      </c>
      <c r="K59" s="15">
        <f ca="1">IFERROR(GETPIVOTDATA("Cuenta de CANT",Tabla9,"PROV",[2]Tablas!$A$67,"SEFIS",K$52,"CANT",[2]Tablas!$A29),0)</f>
        <v>0</v>
      </c>
      <c r="L59" s="15">
        <f ca="1">IFERROR(GETPIVOTDATA("Cuenta de CANT",Tabla9,"PROV",[2]Tablas!$A$67,"SEFIS",L$52,"CANT",[2]Tablas!$A29),0)</f>
        <v>0</v>
      </c>
      <c r="M59" s="15">
        <f ca="1">IFERROR(GETPIVOTDATA("Cuenta de CANT",Tabla9,"PROV",[2]Tablas!$A$67,"SEFIS",M$52,"CANT",[2]Tablas!$A29),0)</f>
        <v>0</v>
      </c>
      <c r="N59" s="15">
        <f ca="1">IFERROR(GETPIVOTDATA("Cuenta de CANT",Tabla9,"PROV",[2]Tablas!$A$67,"SEFIS",N$52,"CANT",[2]Tablas!$A29),0)</f>
        <v>0</v>
      </c>
      <c r="O59" s="15">
        <f ca="1">IFERROR(GETPIVOTDATA("Cuenta de CANT",Tabla9,"PROV",[2]Tablas!$A$67,"SEFIS",O$52,"CANT",[2]Tablas!$A29),0)</f>
        <v>0</v>
      </c>
      <c r="P59" s="15">
        <f ca="1">IFERROR(GETPIVOTDATA("Cuenta de CANT",Tabla9,"PROV",[2]Tablas!$A$67,"SEFIS",P$52,"CANT",[2]Tablas!$A29),0)</f>
        <v>0</v>
      </c>
      <c r="Q59" s="15">
        <f ca="1">IFERROR(GETPIVOTDATA("Cuenta de CANT",Tabla9,"PROV",[2]Tablas!$A$67,"SEFIS",Q$52,"CANT",[2]Tablas!$A29),0)</f>
        <v>0</v>
      </c>
      <c r="R59" s="15">
        <f ca="1">IFERROR(GETPIVOTDATA("Cuenta de CANT",Tabla9,"PROV",[2]Tablas!$A$67,"SEFIS",R$52,"CANT",[2]Tablas!$A29),0)</f>
        <v>0</v>
      </c>
      <c r="S59" s="15">
        <f ca="1">IFERROR(GETPIVOTDATA("Cuenta de CANT",Tabla9,"PROV",[2]Tablas!$A$67,"SEFIS",S$52,"CANT",[2]Tablas!$A29),0)</f>
        <v>0</v>
      </c>
      <c r="T59" s="15">
        <f ca="1">IFERROR(GETPIVOTDATA("Cuenta de CANT",Tabla9,"PROV",[2]Tablas!$A$67,"SEFIS",T$52,"CANT",[2]Tablas!$A29),0)</f>
        <v>0</v>
      </c>
      <c r="U59" s="15">
        <f ca="1">IFERROR(GETPIVOTDATA("Cuenta de CANT",Tabla9,"PROV",[2]Tablas!$A$67,"SEFIS",U$52,"CANT",[2]Tablas!$A29),0)</f>
        <v>0</v>
      </c>
      <c r="V59" s="15">
        <f ca="1">IFERROR(GETPIVOTDATA("Cuenta de CANT",Tabla9,"PROV",[2]Tablas!$A$67,"SEFIS",V$52,"CANT",[2]Tablas!$A29),0)</f>
        <v>0</v>
      </c>
      <c r="W59" s="15">
        <f ca="1">IFERROR(GETPIVOTDATA("Cuenta de CANT",Tabla9,"PROV",[2]Tablas!$A$67,"SEFIS",W$52,"CANT",[2]Tablas!$A29),0)</f>
        <v>0</v>
      </c>
      <c r="X59" s="15">
        <f ca="1">IFERROR(GETPIVOTDATA("Cuenta de CANT",Tabla9,"PROV",[2]Tablas!$A$67,"SEFIS",X$52,"CANT",[2]Tablas!$A29),0)</f>
        <v>0</v>
      </c>
      <c r="Y59" s="15">
        <f ca="1">IFERROR(GETPIVOTDATA("Cuenta de CANT",Tabla9,"PROV",[2]Tablas!$A$67,"SEFIS",Y$52,"CANT",[2]Tablas!$A29),0)</f>
        <v>0</v>
      </c>
      <c r="Z59" s="15">
        <f ca="1">IFERROR(GETPIVOTDATA("Cuenta de CANT",Tabla9,"PROV",[2]Tablas!$A$67,"SEFIS",Z$52,"CANT",[2]Tablas!$A29),0)</f>
        <v>0</v>
      </c>
      <c r="AA59" s="15">
        <f ca="1">IFERROR(GETPIVOTDATA("Cuenta de CANT",Tabla9,"PROV",[2]Tablas!$A$67,"SEFIS",AA$52,"CANT",[2]Tablas!$A29),0)</f>
        <v>0</v>
      </c>
      <c r="AB59" s="15">
        <f ca="1">IFERROR(GETPIVOTDATA("Cuenta de CANT",Tabla9,"PROV",[2]Tablas!$A$67,"SEFIS",AB$52,"CANT",[2]Tablas!$A29),0)</f>
        <v>0</v>
      </c>
      <c r="AC59" s="15">
        <f ca="1">IFERROR(GETPIVOTDATA("Cuenta de CANT",Tabla9,"PROV",[2]Tablas!$A$67,"SEFIS",AC$52,"CANT",[2]Tablas!$A29),0)</f>
        <v>0</v>
      </c>
      <c r="AD59" s="15">
        <f ca="1">IFERROR(GETPIVOTDATA("Cuenta de CANT",Tabla9,"PROV",[2]Tablas!$A$67,"SEFIS",AD$52,"CANT",[2]Tablas!$A29),0)</f>
        <v>1</v>
      </c>
      <c r="AE59" s="15">
        <f ca="1">IFERROR(GETPIVOTDATA("Cuenta de CANT",Tabla9,"PROV",[2]Tablas!$A$67,"SEFIS",AE$52,"CANT",[2]Tablas!$A29),0)</f>
        <v>1</v>
      </c>
      <c r="AF59" s="15">
        <f ca="1">IFERROR(GETPIVOTDATA("Cuenta de CANT",Tabla9,"PROV",[2]Tablas!$A$67,"SEFIS",AF$52,"CANT",[2]Tablas!$A29),0)</f>
        <v>1</v>
      </c>
      <c r="AG59" s="15">
        <f ca="1">IFERROR(GETPIVOTDATA("Cuenta de CANT",Tabla9,"PROV",[2]Tablas!$A$67,"SEFIS",AG$52,"CANT",[2]Tablas!$A29),0)</f>
        <v>0</v>
      </c>
      <c r="AH59" s="15">
        <f ca="1">IFERROR(GETPIVOTDATA("Cuenta de CANT",Tabla9,"PROV",[2]Tablas!$A$67,"SEFIS",AH$52,"CANT",[2]Tablas!$A29),0)</f>
        <v>2</v>
      </c>
      <c r="AI59" s="15">
        <f ca="1">IFERROR(GETPIVOTDATA("Cuenta de CANT",Tabla9,"PROV",[2]Tablas!$A$67,"SEFIS",AI$52,"CANT",[2]Tablas!$A29),0)</f>
        <v>0</v>
      </c>
      <c r="AJ59" s="15">
        <f ca="1">IFERROR(GETPIVOTDATA("Cuenta de CANT",Tabla9,"PROV",[2]Tablas!$A$67,"SEFIS",AJ$52,"CANT",[2]Tablas!$A29),0)</f>
        <v>0</v>
      </c>
      <c r="AK59" s="15">
        <f ca="1">IFERROR(GETPIVOTDATA("Cuenta de CANT",Tabla9,"PROV",[2]Tablas!$A$67,"SEFIS",AK$52,"CANT",[2]Tablas!$A29),0)</f>
        <v>0</v>
      </c>
      <c r="AL59" s="15">
        <f ca="1">IFERROR(GETPIVOTDATA("Cuenta de CANT",Tabla9,"PROV",[2]Tablas!$A$67,"SEFIS",AL$52,"CANT",[2]Tablas!$A29),0)</f>
        <v>0</v>
      </c>
      <c r="AM59" s="15">
        <f ca="1">IFERROR(GETPIVOTDATA("Cuenta de CANT",Tabla9,"PROV",[2]Tablas!$A$67,"SEFIS",AM$52,"CANT",[2]Tablas!$A29),0)</f>
        <v>0</v>
      </c>
      <c r="AN59" s="15">
        <f ca="1">IFERROR(GETPIVOTDATA("Cuenta de CANT",Tabla9,"PROV",[2]Tablas!$A$67,"SEFIS",AN$52,"CANT",[2]Tablas!$A29),0)</f>
        <v>0</v>
      </c>
      <c r="AO59" s="15">
        <f ca="1">IFERROR(GETPIVOTDATA("Cuenta de CANT",Tabla9,"PROV",[2]Tablas!$A$67,"SEFIS",AO$52,"CANT",[2]Tablas!$A29),0)</f>
        <v>0</v>
      </c>
      <c r="AP59" s="15">
        <f ca="1">IFERROR(GETPIVOTDATA("Cuenta de CANT",Tabla9,"PROV",[2]Tablas!$A$67,"SEFIS",AP$52,"CANT",[2]Tablas!$A29),0)</f>
        <v>0</v>
      </c>
      <c r="AQ59" s="15">
        <f ca="1">IFERROR(GETPIVOTDATA("Cuenta de CANT",Tabla9,"PROV",[2]Tablas!$A$67,"SEFIS",AQ$52,"CANT",[2]Tablas!$A29),0)</f>
        <v>1</v>
      </c>
      <c r="AR59" s="15">
        <f ca="1">IFERROR(GETPIVOTDATA("Cuenta de CANT",Tabla9,"PROV",[2]Tablas!$A$67,"SEFIS",AR$52,"CANT",[2]Tablas!$A29),0)</f>
        <v>0</v>
      </c>
      <c r="AS59" s="15">
        <f ca="1">IFERROR(GETPIVOTDATA("Cuenta de CANT",Tabla9,"PROV",[2]Tablas!$A$67,"SEFIS",AS$52,"CANT",[2]Tablas!$A29),0)</f>
        <v>0</v>
      </c>
      <c r="AT59" s="15">
        <f ca="1">IFERROR(GETPIVOTDATA("Cuenta de CANT",Tabla9,"PROV",[2]Tablas!$A$67,"SEFIS",AT$52,"CANT",[2]Tablas!$A29),0)</f>
        <v>0</v>
      </c>
      <c r="AU59" s="15">
        <f ca="1">IFERROR(GETPIVOTDATA("Cuenta de CANT",Tabla9,"PROV",[2]Tablas!$A$67,"SEFIS",AU$52,"CANT",[2]Tablas!$A29),0)</f>
        <v>0</v>
      </c>
      <c r="AV59" s="15">
        <f ca="1">IFERROR(GETPIVOTDATA("Cuenta de CANT",Tabla9,"PROV",[2]Tablas!$A$67,"SEFIS",AV$52,"CANT",[2]Tablas!$A29),0)</f>
        <v>0</v>
      </c>
      <c r="AW59" s="15">
        <f ca="1">IFERROR(GETPIVOTDATA("Cuenta de CANT",Tabla9,"PROV",[2]Tablas!$A$67,"SEFIS",AW$52,"CANT",[2]Tablas!$A29),0)</f>
        <v>0</v>
      </c>
      <c r="AX59" s="15">
        <f ca="1">IFERROR(GETPIVOTDATA("Cuenta de CANT",Tabla9,"PROV",[2]Tablas!$A$67,"SEFIS",AX$52,"CANT",[2]Tablas!$A29),0)</f>
        <v>0</v>
      </c>
      <c r="AY59" s="15">
        <f ca="1">IFERROR(GETPIVOTDATA("Cuenta de CANT",Tabla9,"PROV",[2]Tablas!$A$67,"SEFIS",AY$52,"CANT",[2]Tablas!$A29),0)</f>
        <v>2</v>
      </c>
      <c r="AZ59" s="15">
        <f ca="1">IFERROR(GETPIVOTDATA("Cuenta de CANT",Tabla9,"PROV",[2]Tablas!$A$67,"SEFIS",AZ$52,"CANT",[2]Tablas!$A29),0)</f>
        <v>1</v>
      </c>
      <c r="BA59" s="15">
        <f ca="1">IFERROR(GETPIVOTDATA("Cuenta de CANT",Tabla9,"PROV",[2]Tablas!$A$67,"SEFIS",BA$52,"CANT",[2]Tablas!$A29),0)</f>
        <v>0</v>
      </c>
      <c r="BB59" s="15">
        <f ca="1">IFERROR(GETPIVOTDATA("Cuenta de CANT",Tabla9,"PROV",[2]Tablas!$A$67,"SEFIS",BB$52,"CANT",[2]Tablas!$A29),0)</f>
        <v>0</v>
      </c>
      <c r="BC59" s="15">
        <f ca="1">IFERROR(GETPIVOTDATA("Cuenta de CANT",Tabla9,"PROV",[2]Tablas!$A$67,"SEFIS",BC$52,"CANT",[2]Tablas!$A29),0)</f>
        <v>0</v>
      </c>
      <c r="BD59" s="15">
        <f ca="1">IFERROR(GETPIVOTDATA("Cuenta de CANT",Tabla9,"PROV",[2]Tablas!$A$67,"SEFIS",BD$52,"CANT",[2]Tablas!$A29),0)</f>
        <v>0</v>
      </c>
    </row>
    <row r="60" spans="1:56" x14ac:dyDescent="0.35">
      <c r="A60" s="14" t="s">
        <v>156</v>
      </c>
      <c r="B60" s="15">
        <f t="shared" ca="1" si="6"/>
        <v>16</v>
      </c>
      <c r="C60" s="16">
        <f ca="1">IFERROR(B60/[2]Tablas!$B30*100000,"N/D")</f>
        <v>35.331007375347788</v>
      </c>
      <c r="D60" s="15">
        <f ca="1">IFERROR(GETPIVOTDATA("Cuenta de CANT",Tabla9,"PROV",[2]Tablas!$A$67,"SEFIS",D$52,"CANT",[2]Tablas!$A30),0)</f>
        <v>0</v>
      </c>
      <c r="E60" s="15">
        <f ca="1">IFERROR(GETPIVOTDATA("Cuenta de CANT",Tabla9,"PROV",[2]Tablas!$A$67,"SEFIS",E$52,"CANT",[2]Tablas!$A30),0)</f>
        <v>1</v>
      </c>
      <c r="F60" s="15">
        <f ca="1">IFERROR(GETPIVOTDATA("Cuenta de CANT",Tabla9,"PROV",[2]Tablas!$A$67,"SEFIS",F$52,"CANT",[2]Tablas!$A30),0)</f>
        <v>0</v>
      </c>
      <c r="G60" s="15">
        <f ca="1">IFERROR(GETPIVOTDATA("Cuenta de CANT",Tabla9,"PROV",[2]Tablas!$A$67,"SEFIS",G$52,"CANT",[2]Tablas!$A30),0)</f>
        <v>0</v>
      </c>
      <c r="H60" s="15">
        <f ca="1">IFERROR(GETPIVOTDATA("Cuenta de CANT",Tabla9,"PROV",[2]Tablas!$A$67,"SEFIS",H$52,"CANT",[2]Tablas!$A30),0)</f>
        <v>1</v>
      </c>
      <c r="I60" s="15">
        <f ca="1">IFERROR(GETPIVOTDATA("Cuenta de CANT",Tabla9,"PROV",[2]Tablas!$A$67,"SEFIS",I$52,"CANT",[2]Tablas!$A30),0)</f>
        <v>0</v>
      </c>
      <c r="J60" s="15">
        <f ca="1">IFERROR(GETPIVOTDATA("Cuenta de CANT",Tabla9,"PROV",[2]Tablas!$A$67,"SEFIS",J$52,"CANT",[2]Tablas!$A30),0)</f>
        <v>0</v>
      </c>
      <c r="K60" s="15">
        <f ca="1">IFERROR(GETPIVOTDATA("Cuenta de CANT",Tabla9,"PROV",[2]Tablas!$A$67,"SEFIS",K$52,"CANT",[2]Tablas!$A30),0)</f>
        <v>0</v>
      </c>
      <c r="L60" s="15">
        <f ca="1">IFERROR(GETPIVOTDATA("Cuenta de CANT",Tabla9,"PROV",[2]Tablas!$A$67,"SEFIS",L$52,"CANT",[2]Tablas!$A30),0)</f>
        <v>0</v>
      </c>
      <c r="M60" s="15">
        <f ca="1">IFERROR(GETPIVOTDATA("Cuenta de CANT",Tabla9,"PROV",[2]Tablas!$A$67,"SEFIS",M$52,"CANT",[2]Tablas!$A30),0)</f>
        <v>0</v>
      </c>
      <c r="N60" s="15">
        <f ca="1">IFERROR(GETPIVOTDATA("Cuenta de CANT",Tabla9,"PROV",[2]Tablas!$A$67,"SEFIS",N$52,"CANT",[2]Tablas!$A30),0)</f>
        <v>3</v>
      </c>
      <c r="O60" s="15">
        <f ca="1">IFERROR(GETPIVOTDATA("Cuenta de CANT",Tabla9,"PROV",[2]Tablas!$A$67,"SEFIS",O$52,"CANT",[2]Tablas!$A30),0)</f>
        <v>0</v>
      </c>
      <c r="P60" s="15">
        <f ca="1">IFERROR(GETPIVOTDATA("Cuenta de CANT",Tabla9,"PROV",[2]Tablas!$A$67,"SEFIS",P$52,"CANT",[2]Tablas!$A30),0)</f>
        <v>0</v>
      </c>
      <c r="Q60" s="15">
        <f ca="1">IFERROR(GETPIVOTDATA("Cuenta de CANT",Tabla9,"PROV",[2]Tablas!$A$67,"SEFIS",Q$52,"CANT",[2]Tablas!$A30),0)</f>
        <v>0</v>
      </c>
      <c r="R60" s="15">
        <f ca="1">IFERROR(GETPIVOTDATA("Cuenta de CANT",Tabla9,"PROV",[2]Tablas!$A$67,"SEFIS",R$52,"CANT",[2]Tablas!$A30),0)</f>
        <v>0</v>
      </c>
      <c r="S60" s="15">
        <f ca="1">IFERROR(GETPIVOTDATA("Cuenta de CANT",Tabla9,"PROV",[2]Tablas!$A$67,"SEFIS",S$52,"CANT",[2]Tablas!$A30),0)</f>
        <v>0</v>
      </c>
      <c r="T60" s="15">
        <f ca="1">IFERROR(GETPIVOTDATA("Cuenta de CANT",Tabla9,"PROV",[2]Tablas!$A$67,"SEFIS",T$52,"CANT",[2]Tablas!$A30),0)</f>
        <v>1</v>
      </c>
      <c r="U60" s="15">
        <f ca="1">IFERROR(GETPIVOTDATA("Cuenta de CANT",Tabla9,"PROV",[2]Tablas!$A$67,"SEFIS",U$52,"CANT",[2]Tablas!$A30),0)</f>
        <v>0</v>
      </c>
      <c r="V60" s="15">
        <f ca="1">IFERROR(GETPIVOTDATA("Cuenta de CANT",Tabla9,"PROV",[2]Tablas!$A$67,"SEFIS",V$52,"CANT",[2]Tablas!$A30),0)</f>
        <v>0</v>
      </c>
      <c r="W60" s="15">
        <f ca="1">IFERROR(GETPIVOTDATA("Cuenta de CANT",Tabla9,"PROV",[2]Tablas!$A$67,"SEFIS",W$52,"CANT",[2]Tablas!$A30),0)</f>
        <v>0</v>
      </c>
      <c r="X60" s="15">
        <f ca="1">IFERROR(GETPIVOTDATA("Cuenta de CANT",Tabla9,"PROV",[2]Tablas!$A$67,"SEFIS",X$52,"CANT",[2]Tablas!$A30),0)</f>
        <v>0</v>
      </c>
      <c r="Y60" s="15">
        <f ca="1">IFERROR(GETPIVOTDATA("Cuenta de CANT",Tabla9,"PROV",[2]Tablas!$A$67,"SEFIS",Y$52,"CANT",[2]Tablas!$A30),0)</f>
        <v>0</v>
      </c>
      <c r="Z60" s="15">
        <f ca="1">IFERROR(GETPIVOTDATA("Cuenta de CANT",Tabla9,"PROV",[2]Tablas!$A$67,"SEFIS",Z$52,"CANT",[2]Tablas!$A30),0)</f>
        <v>0</v>
      </c>
      <c r="AA60" s="15">
        <f ca="1">IFERROR(GETPIVOTDATA("Cuenta de CANT",Tabla9,"PROV",[2]Tablas!$A$67,"SEFIS",AA$52,"CANT",[2]Tablas!$A30),0)</f>
        <v>0</v>
      </c>
      <c r="AB60" s="15">
        <f ca="1">IFERROR(GETPIVOTDATA("Cuenta de CANT",Tabla9,"PROV",[2]Tablas!$A$67,"SEFIS",AB$52,"CANT",[2]Tablas!$A30),0)</f>
        <v>0</v>
      </c>
      <c r="AC60" s="15">
        <f ca="1">IFERROR(GETPIVOTDATA("Cuenta de CANT",Tabla9,"PROV",[2]Tablas!$A$67,"SEFIS",AC$52,"CANT",[2]Tablas!$A30),0)</f>
        <v>0</v>
      </c>
      <c r="AD60" s="15">
        <f ca="1">IFERROR(GETPIVOTDATA("Cuenta de CANT",Tabla9,"PROV",[2]Tablas!$A$67,"SEFIS",AD$52,"CANT",[2]Tablas!$A30),0)</f>
        <v>0</v>
      </c>
      <c r="AE60" s="15">
        <f ca="1">IFERROR(GETPIVOTDATA("Cuenta de CANT",Tabla9,"PROV",[2]Tablas!$A$67,"SEFIS",AE$52,"CANT",[2]Tablas!$A30),0)</f>
        <v>0</v>
      </c>
      <c r="AF60" s="15">
        <f ca="1">IFERROR(GETPIVOTDATA("Cuenta de CANT",Tabla9,"PROV",[2]Tablas!$A$67,"SEFIS",AF$52,"CANT",[2]Tablas!$A30),0)</f>
        <v>2</v>
      </c>
      <c r="AG60" s="15">
        <f ca="1">IFERROR(GETPIVOTDATA("Cuenta de CANT",Tabla9,"PROV",[2]Tablas!$A$67,"SEFIS",AG$52,"CANT",[2]Tablas!$A30),0)</f>
        <v>2</v>
      </c>
      <c r="AH60" s="15">
        <f ca="1">IFERROR(GETPIVOTDATA("Cuenta de CANT",Tabla9,"PROV",[2]Tablas!$A$67,"SEFIS",AH$52,"CANT",[2]Tablas!$A30),0)</f>
        <v>0</v>
      </c>
      <c r="AI60" s="15">
        <f ca="1">IFERROR(GETPIVOTDATA("Cuenta de CANT",Tabla9,"PROV",[2]Tablas!$A$67,"SEFIS",AI$52,"CANT",[2]Tablas!$A30),0)</f>
        <v>1</v>
      </c>
      <c r="AJ60" s="15">
        <f ca="1">IFERROR(GETPIVOTDATA("Cuenta de CANT",Tabla9,"PROV",[2]Tablas!$A$67,"SEFIS",AJ$52,"CANT",[2]Tablas!$A30),0)</f>
        <v>1</v>
      </c>
      <c r="AK60" s="15">
        <f ca="1">IFERROR(GETPIVOTDATA("Cuenta de CANT",Tabla9,"PROV",[2]Tablas!$A$67,"SEFIS",AK$52,"CANT",[2]Tablas!$A30),0)</f>
        <v>0</v>
      </c>
      <c r="AL60" s="15">
        <f ca="1">IFERROR(GETPIVOTDATA("Cuenta de CANT",Tabla9,"PROV",[2]Tablas!$A$67,"SEFIS",AL$52,"CANT",[2]Tablas!$A30),0)</f>
        <v>0</v>
      </c>
      <c r="AM60" s="15">
        <f ca="1">IFERROR(GETPIVOTDATA("Cuenta de CANT",Tabla9,"PROV",[2]Tablas!$A$67,"SEFIS",AM$52,"CANT",[2]Tablas!$A30),0)</f>
        <v>0</v>
      </c>
      <c r="AN60" s="15">
        <f ca="1">IFERROR(GETPIVOTDATA("Cuenta de CANT",Tabla9,"PROV",[2]Tablas!$A$67,"SEFIS",AN$52,"CANT",[2]Tablas!$A30),0)</f>
        <v>0</v>
      </c>
      <c r="AO60" s="15">
        <f ca="1">IFERROR(GETPIVOTDATA("Cuenta de CANT",Tabla9,"PROV",[2]Tablas!$A$67,"SEFIS",AO$52,"CANT",[2]Tablas!$A30),0)</f>
        <v>0</v>
      </c>
      <c r="AP60" s="15">
        <f ca="1">IFERROR(GETPIVOTDATA("Cuenta de CANT",Tabla9,"PROV",[2]Tablas!$A$67,"SEFIS",AP$52,"CANT",[2]Tablas!$A30),0)</f>
        <v>0</v>
      </c>
      <c r="AQ60" s="15">
        <f ca="1">IFERROR(GETPIVOTDATA("Cuenta de CANT",Tabla9,"PROV",[2]Tablas!$A$67,"SEFIS",AQ$52,"CANT",[2]Tablas!$A30),0)</f>
        <v>0</v>
      </c>
      <c r="AR60" s="15">
        <f ca="1">IFERROR(GETPIVOTDATA("Cuenta de CANT",Tabla9,"PROV",[2]Tablas!$A$67,"SEFIS",AR$52,"CANT",[2]Tablas!$A30),0)</f>
        <v>1</v>
      </c>
      <c r="AS60" s="15">
        <f ca="1">IFERROR(GETPIVOTDATA("Cuenta de CANT",Tabla9,"PROV",[2]Tablas!$A$67,"SEFIS",AS$52,"CANT",[2]Tablas!$A30),0)</f>
        <v>0</v>
      </c>
      <c r="AT60" s="15">
        <f ca="1">IFERROR(GETPIVOTDATA("Cuenta de CANT",Tabla9,"PROV",[2]Tablas!$A$67,"SEFIS",AT$52,"CANT",[2]Tablas!$A30),0)</f>
        <v>0</v>
      </c>
      <c r="AU60" s="15">
        <f ca="1">IFERROR(GETPIVOTDATA("Cuenta de CANT",Tabla9,"PROV",[2]Tablas!$A$67,"SEFIS",AU$52,"CANT",[2]Tablas!$A30),0)</f>
        <v>0</v>
      </c>
      <c r="AV60" s="15">
        <f ca="1">IFERROR(GETPIVOTDATA("Cuenta de CANT",Tabla9,"PROV",[2]Tablas!$A$67,"SEFIS",AV$52,"CANT",[2]Tablas!$A30),0)</f>
        <v>1</v>
      </c>
      <c r="AW60" s="15">
        <f ca="1">IFERROR(GETPIVOTDATA("Cuenta de CANT",Tabla9,"PROV",[2]Tablas!$A$67,"SEFIS",AW$52,"CANT",[2]Tablas!$A30),0)</f>
        <v>1</v>
      </c>
      <c r="AX60" s="15">
        <f ca="1">IFERROR(GETPIVOTDATA("Cuenta de CANT",Tabla9,"PROV",[2]Tablas!$A$67,"SEFIS",AX$52,"CANT",[2]Tablas!$A30),0)</f>
        <v>0</v>
      </c>
      <c r="AY60" s="15">
        <f ca="1">IFERROR(GETPIVOTDATA("Cuenta de CANT",Tabla9,"PROV",[2]Tablas!$A$67,"SEFIS",AY$52,"CANT",[2]Tablas!$A30),0)</f>
        <v>0</v>
      </c>
      <c r="AZ60" s="15">
        <f ca="1">IFERROR(GETPIVOTDATA("Cuenta de CANT",Tabla9,"PROV",[2]Tablas!$A$67,"SEFIS",AZ$52,"CANT",[2]Tablas!$A30),0)</f>
        <v>0</v>
      </c>
      <c r="BA60" s="15">
        <f ca="1">IFERROR(GETPIVOTDATA("Cuenta de CANT",Tabla9,"PROV",[2]Tablas!$A$67,"SEFIS",BA$52,"CANT",[2]Tablas!$A30),0)</f>
        <v>1</v>
      </c>
      <c r="BB60" s="15">
        <f ca="1">IFERROR(GETPIVOTDATA("Cuenta de CANT",Tabla9,"PROV",[2]Tablas!$A$67,"SEFIS",BB$52,"CANT",[2]Tablas!$A30),0)</f>
        <v>0</v>
      </c>
      <c r="BC60" s="15">
        <f ca="1">IFERROR(GETPIVOTDATA("Cuenta de CANT",Tabla9,"PROV",[2]Tablas!$A$67,"SEFIS",BC$52,"CANT",[2]Tablas!$A30),0)</f>
        <v>0</v>
      </c>
      <c r="BD60" s="15">
        <f ca="1">IFERROR(GETPIVOTDATA("Cuenta de CANT",Tabla9,"PROV",[2]Tablas!$A$67,"SEFIS",BD$52,"CANT",[2]Tablas!$A30),0)</f>
        <v>0</v>
      </c>
    </row>
    <row r="61" spans="1:56" x14ac:dyDescent="0.35">
      <c r="A61" s="14"/>
      <c r="B61" s="12"/>
      <c r="C61" s="13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</row>
    <row r="62" spans="1:56" x14ac:dyDescent="0.35">
      <c r="A62" s="1" t="s">
        <v>157</v>
      </c>
      <c r="B62" s="10">
        <f ca="1">SUM(D62:BD62)</f>
        <v>221</v>
      </c>
      <c r="C62" s="11">
        <f ca="1">IFERROR(B62/[2]Tablas!$B32*100000,"N/D")</f>
        <v>40.443746591562082</v>
      </c>
      <c r="D62" s="10">
        <f ca="1">SUM(D63:D72)</f>
        <v>5</v>
      </c>
      <c r="E62" s="10">
        <f t="shared" ref="E62:BD62" ca="1" si="7">SUM(E63:E72)</f>
        <v>5</v>
      </c>
      <c r="F62" s="10">
        <f t="shared" ca="1" si="7"/>
        <v>8</v>
      </c>
      <c r="G62" s="10">
        <f t="shared" ca="1" si="7"/>
        <v>5</v>
      </c>
      <c r="H62" s="10">
        <f t="shared" ca="1" si="7"/>
        <v>2</v>
      </c>
      <c r="I62" s="10">
        <f t="shared" ca="1" si="7"/>
        <v>2</v>
      </c>
      <c r="J62" s="10">
        <f t="shared" ca="1" si="7"/>
        <v>1</v>
      </c>
      <c r="K62" s="10">
        <f t="shared" ca="1" si="7"/>
        <v>4</v>
      </c>
      <c r="L62" s="10">
        <f t="shared" ca="1" si="7"/>
        <v>3</v>
      </c>
      <c r="M62" s="10">
        <f t="shared" ca="1" si="7"/>
        <v>2</v>
      </c>
      <c r="N62" s="10">
        <f t="shared" ca="1" si="7"/>
        <v>2</v>
      </c>
      <c r="O62" s="10">
        <f t="shared" ca="1" si="7"/>
        <v>2</v>
      </c>
      <c r="P62" s="10">
        <f t="shared" ca="1" si="7"/>
        <v>2</v>
      </c>
      <c r="Q62" s="10">
        <f t="shared" ca="1" si="7"/>
        <v>4</v>
      </c>
      <c r="R62" s="10">
        <f t="shared" ca="1" si="7"/>
        <v>3</v>
      </c>
      <c r="S62" s="10">
        <f t="shared" ca="1" si="7"/>
        <v>4</v>
      </c>
      <c r="T62" s="10">
        <f t="shared" ca="1" si="7"/>
        <v>4</v>
      </c>
      <c r="U62" s="10">
        <f t="shared" ca="1" si="7"/>
        <v>4</v>
      </c>
      <c r="V62" s="10">
        <f t="shared" ca="1" si="7"/>
        <v>3</v>
      </c>
      <c r="W62" s="10">
        <f t="shared" ca="1" si="7"/>
        <v>1</v>
      </c>
      <c r="X62" s="10">
        <f t="shared" ca="1" si="7"/>
        <v>0</v>
      </c>
      <c r="Y62" s="10">
        <f t="shared" ca="1" si="7"/>
        <v>1</v>
      </c>
      <c r="Z62" s="10">
        <f t="shared" ca="1" si="7"/>
        <v>5</v>
      </c>
      <c r="AA62" s="10">
        <f t="shared" ca="1" si="7"/>
        <v>3</v>
      </c>
      <c r="AB62" s="10">
        <f t="shared" ca="1" si="7"/>
        <v>4</v>
      </c>
      <c r="AC62" s="10">
        <f t="shared" ca="1" si="7"/>
        <v>4</v>
      </c>
      <c r="AD62" s="10">
        <f t="shared" ca="1" si="7"/>
        <v>6</v>
      </c>
      <c r="AE62" s="10">
        <f t="shared" ca="1" si="7"/>
        <v>3</v>
      </c>
      <c r="AF62" s="10">
        <f t="shared" ca="1" si="7"/>
        <v>0</v>
      </c>
      <c r="AG62" s="10">
        <f t="shared" ca="1" si="7"/>
        <v>13</v>
      </c>
      <c r="AH62" s="10">
        <f t="shared" ca="1" si="7"/>
        <v>3</v>
      </c>
      <c r="AI62" s="10">
        <f t="shared" ca="1" si="7"/>
        <v>14</v>
      </c>
      <c r="AJ62" s="10">
        <f t="shared" ca="1" si="7"/>
        <v>6</v>
      </c>
      <c r="AK62" s="10">
        <f t="shared" ca="1" si="7"/>
        <v>12</v>
      </c>
      <c r="AL62" s="10">
        <f t="shared" ca="1" si="7"/>
        <v>4</v>
      </c>
      <c r="AM62" s="10">
        <f t="shared" ca="1" si="7"/>
        <v>7</v>
      </c>
      <c r="AN62" s="10">
        <f t="shared" ca="1" si="7"/>
        <v>3</v>
      </c>
      <c r="AO62" s="10">
        <f t="shared" ca="1" si="7"/>
        <v>4</v>
      </c>
      <c r="AP62" s="10">
        <f t="shared" ca="1" si="7"/>
        <v>6</v>
      </c>
      <c r="AQ62" s="10">
        <f t="shared" ca="1" si="7"/>
        <v>5</v>
      </c>
      <c r="AR62" s="10">
        <f t="shared" ca="1" si="7"/>
        <v>3</v>
      </c>
      <c r="AS62" s="10">
        <f t="shared" ca="1" si="7"/>
        <v>2</v>
      </c>
      <c r="AT62" s="10">
        <f t="shared" ca="1" si="7"/>
        <v>2</v>
      </c>
      <c r="AU62" s="10">
        <f t="shared" ca="1" si="7"/>
        <v>5</v>
      </c>
      <c r="AV62" s="10">
        <f t="shared" ca="1" si="7"/>
        <v>7</v>
      </c>
      <c r="AW62" s="10">
        <f t="shared" ca="1" si="7"/>
        <v>9</v>
      </c>
      <c r="AX62" s="10">
        <f t="shared" ca="1" si="7"/>
        <v>2</v>
      </c>
      <c r="AY62" s="10">
        <f t="shared" ca="1" si="7"/>
        <v>5</v>
      </c>
      <c r="AZ62" s="10">
        <f t="shared" ca="1" si="7"/>
        <v>5</v>
      </c>
      <c r="BA62" s="10">
        <f t="shared" ca="1" si="7"/>
        <v>5</v>
      </c>
      <c r="BB62" s="10">
        <f t="shared" ca="1" si="7"/>
        <v>3</v>
      </c>
      <c r="BC62" s="10">
        <f t="shared" ca="1" si="7"/>
        <v>4</v>
      </c>
      <c r="BD62" s="10">
        <f t="shared" ca="1" si="7"/>
        <v>0</v>
      </c>
    </row>
    <row r="63" spans="1:56" x14ac:dyDescent="0.35">
      <c r="A63" s="14" t="s">
        <v>158</v>
      </c>
      <c r="B63" s="15">
        <f ca="1">SUM(D63:BD63)</f>
        <v>69</v>
      </c>
      <c r="C63" s="16">
        <f ca="1">IFERROR(B63/[2]Tablas!$B33*100000,"N/D")</f>
        <v>47.066848567530698</v>
      </c>
      <c r="D63" s="15">
        <f ca="1">IFERROR(GETPIVOTDATA("Cuenta de CANT",Tabla9,"PROV",[2]Tablas!$A$77,"SEFIS",D$52,"CANT",[2]Tablas!$A33),0)</f>
        <v>1</v>
      </c>
      <c r="E63" s="15">
        <f ca="1">IFERROR(GETPIVOTDATA("Cuenta de CANT",Tabla9,"PROV",[2]Tablas!$A$77,"SEFIS",E$52,"CANT",[2]Tablas!$A33),0)</f>
        <v>2</v>
      </c>
      <c r="F63" s="15">
        <f ca="1">IFERROR(GETPIVOTDATA("Cuenta de CANT",Tabla9,"PROV",[2]Tablas!$A$77,"SEFIS",F$52,"CANT",[2]Tablas!$A33),0)</f>
        <v>3</v>
      </c>
      <c r="G63" s="15">
        <f ca="1">IFERROR(GETPIVOTDATA("Cuenta de CANT",Tabla9,"PROV",[2]Tablas!$A$77,"SEFIS",G$52,"CANT",[2]Tablas!$A33),0)</f>
        <v>1</v>
      </c>
      <c r="H63" s="15">
        <f ca="1">IFERROR(GETPIVOTDATA("Cuenta de CANT",Tabla9,"PROV",[2]Tablas!$A$77,"SEFIS",H$52,"CANT",[2]Tablas!$A33),0)</f>
        <v>1</v>
      </c>
      <c r="I63" s="15">
        <f ca="1">IFERROR(GETPIVOTDATA("Cuenta de CANT",Tabla9,"PROV",[2]Tablas!$A$77,"SEFIS",I$52,"CANT",[2]Tablas!$A33),0)</f>
        <v>0</v>
      </c>
      <c r="J63" s="15">
        <f ca="1">IFERROR(GETPIVOTDATA("Cuenta de CANT",Tabla9,"PROV",[2]Tablas!$A$77,"SEFIS",J$52,"CANT",[2]Tablas!$A33),0)</f>
        <v>1</v>
      </c>
      <c r="K63" s="15">
        <f ca="1">IFERROR(GETPIVOTDATA("Cuenta de CANT",Tabla9,"PROV",[2]Tablas!$A$77,"SEFIS",K$52,"CANT",[2]Tablas!$A33),0)</f>
        <v>0</v>
      </c>
      <c r="L63" s="15">
        <f ca="1">IFERROR(GETPIVOTDATA("Cuenta de CANT",Tabla9,"PROV",[2]Tablas!$A$77,"SEFIS",L$52,"CANT",[2]Tablas!$A33),0)</f>
        <v>0</v>
      </c>
      <c r="M63" s="15">
        <f ca="1">IFERROR(GETPIVOTDATA("Cuenta de CANT",Tabla9,"PROV",[2]Tablas!$A$77,"SEFIS",M$52,"CANT",[2]Tablas!$A33),0)</f>
        <v>1</v>
      </c>
      <c r="N63" s="15">
        <f ca="1">IFERROR(GETPIVOTDATA("Cuenta de CANT",Tabla9,"PROV",[2]Tablas!$A$77,"SEFIS",N$52,"CANT",[2]Tablas!$A33),0)</f>
        <v>0</v>
      </c>
      <c r="O63" s="15">
        <f ca="1">IFERROR(GETPIVOTDATA("Cuenta de CANT",Tabla9,"PROV",[2]Tablas!$A$77,"SEFIS",O$52,"CANT",[2]Tablas!$A33),0)</f>
        <v>1</v>
      </c>
      <c r="P63" s="15">
        <f ca="1">IFERROR(GETPIVOTDATA("Cuenta de CANT",Tabla9,"PROV",[2]Tablas!$A$77,"SEFIS",P$52,"CANT",[2]Tablas!$A33),0)</f>
        <v>0</v>
      </c>
      <c r="Q63" s="15">
        <f ca="1">IFERROR(GETPIVOTDATA("Cuenta de CANT",Tabla9,"PROV",[2]Tablas!$A$77,"SEFIS",Q$52,"CANT",[2]Tablas!$A33),0)</f>
        <v>0</v>
      </c>
      <c r="R63" s="15">
        <f ca="1">IFERROR(GETPIVOTDATA("Cuenta de CANT",Tabla9,"PROV",[2]Tablas!$A$77,"SEFIS",R$52,"CANT",[2]Tablas!$A33),0)</f>
        <v>0</v>
      </c>
      <c r="S63" s="15">
        <f ca="1">IFERROR(GETPIVOTDATA("Cuenta de CANT",Tabla9,"PROV",[2]Tablas!$A$77,"SEFIS",S$52,"CANT",[2]Tablas!$A33),0)</f>
        <v>1</v>
      </c>
      <c r="T63" s="15">
        <f ca="1">IFERROR(GETPIVOTDATA("Cuenta de CANT",Tabla9,"PROV",[2]Tablas!$A$77,"SEFIS",T$52,"CANT",[2]Tablas!$A33),0)</f>
        <v>2</v>
      </c>
      <c r="U63" s="15">
        <f ca="1">IFERROR(GETPIVOTDATA("Cuenta de CANT",Tabla9,"PROV",[2]Tablas!$A$77,"SEFIS",U$52,"CANT",[2]Tablas!$A33),0)</f>
        <v>1</v>
      </c>
      <c r="V63" s="15">
        <f ca="1">IFERROR(GETPIVOTDATA("Cuenta de CANT",Tabla9,"PROV",[2]Tablas!$A$77,"SEFIS",V$52,"CANT",[2]Tablas!$A33),0)</f>
        <v>0</v>
      </c>
      <c r="W63" s="15">
        <f ca="1">IFERROR(GETPIVOTDATA("Cuenta de CANT",Tabla9,"PROV",[2]Tablas!$A$77,"SEFIS",W$52,"CANT",[2]Tablas!$A33),0)</f>
        <v>0</v>
      </c>
      <c r="X63" s="15">
        <f ca="1">IFERROR(GETPIVOTDATA("Cuenta de CANT",Tabla9,"PROV",[2]Tablas!$A$77,"SEFIS",X$52,"CANT",[2]Tablas!$A33),0)</f>
        <v>0</v>
      </c>
      <c r="Y63" s="15">
        <f ca="1">IFERROR(GETPIVOTDATA("Cuenta de CANT",Tabla9,"PROV",[2]Tablas!$A$77,"SEFIS",Y$52,"CANT",[2]Tablas!$A33),0)</f>
        <v>1</v>
      </c>
      <c r="Z63" s="15">
        <f ca="1">IFERROR(GETPIVOTDATA("Cuenta de CANT",Tabla9,"PROV",[2]Tablas!$A$77,"SEFIS",Z$52,"CANT",[2]Tablas!$A33),0)</f>
        <v>3</v>
      </c>
      <c r="AA63" s="15">
        <f ca="1">IFERROR(GETPIVOTDATA("Cuenta de CANT",Tabla9,"PROV",[2]Tablas!$A$77,"SEFIS",AA$52,"CANT",[2]Tablas!$A33),0)</f>
        <v>1</v>
      </c>
      <c r="AB63" s="15">
        <f ca="1">IFERROR(GETPIVOTDATA("Cuenta de CANT",Tabla9,"PROV",[2]Tablas!$A$77,"SEFIS",AB$52,"CANT",[2]Tablas!$A33),0)</f>
        <v>1</v>
      </c>
      <c r="AC63" s="15">
        <f ca="1">IFERROR(GETPIVOTDATA("Cuenta de CANT",Tabla9,"PROV",[2]Tablas!$A$77,"SEFIS",AC$52,"CANT",[2]Tablas!$A33),0)</f>
        <v>0</v>
      </c>
      <c r="AD63" s="15">
        <f ca="1">IFERROR(GETPIVOTDATA("Cuenta de CANT",Tabla9,"PROV",[2]Tablas!$A$77,"SEFIS",AD$52,"CANT",[2]Tablas!$A33),0)</f>
        <v>2</v>
      </c>
      <c r="AE63" s="15">
        <f ca="1">IFERROR(GETPIVOTDATA("Cuenta de CANT",Tabla9,"PROV",[2]Tablas!$A$77,"SEFIS",AE$52,"CANT",[2]Tablas!$A33),0)</f>
        <v>2</v>
      </c>
      <c r="AF63" s="15">
        <f ca="1">IFERROR(GETPIVOTDATA("Cuenta de CANT",Tabla9,"PROV",[2]Tablas!$A$77,"SEFIS",AF$52,"CANT",[2]Tablas!$A33),0)</f>
        <v>0</v>
      </c>
      <c r="AG63" s="15">
        <f ca="1">IFERROR(GETPIVOTDATA("Cuenta de CANT",Tabla9,"PROV",[2]Tablas!$A$77,"SEFIS",AG$52,"CANT",[2]Tablas!$A33),0)</f>
        <v>11</v>
      </c>
      <c r="AH63" s="15">
        <f ca="1">IFERROR(GETPIVOTDATA("Cuenta de CANT",Tabla9,"PROV",[2]Tablas!$A$77,"SEFIS",AH$52,"CANT",[2]Tablas!$A33),0)</f>
        <v>1</v>
      </c>
      <c r="AI63" s="15">
        <f ca="1">IFERROR(GETPIVOTDATA("Cuenta de CANT",Tabla9,"PROV",[2]Tablas!$A$77,"SEFIS",AI$52,"CANT",[2]Tablas!$A33),0)</f>
        <v>2</v>
      </c>
      <c r="AJ63" s="15">
        <f ca="1">IFERROR(GETPIVOTDATA("Cuenta de CANT",Tabla9,"PROV",[2]Tablas!$A$77,"SEFIS",AJ$52,"CANT",[2]Tablas!$A33),0)</f>
        <v>2</v>
      </c>
      <c r="AK63" s="15">
        <f ca="1">IFERROR(GETPIVOTDATA("Cuenta de CANT",Tabla9,"PROV",[2]Tablas!$A$77,"SEFIS",AK$52,"CANT",[2]Tablas!$A33),0)</f>
        <v>6</v>
      </c>
      <c r="AL63" s="15">
        <f ca="1">IFERROR(GETPIVOTDATA("Cuenta de CANT",Tabla9,"PROV",[2]Tablas!$A$77,"SEFIS",AL$52,"CANT",[2]Tablas!$A33),0)</f>
        <v>2</v>
      </c>
      <c r="AM63" s="15">
        <f ca="1">IFERROR(GETPIVOTDATA("Cuenta de CANT",Tabla9,"PROV",[2]Tablas!$A$77,"SEFIS",AM$52,"CANT",[2]Tablas!$A33),0)</f>
        <v>4</v>
      </c>
      <c r="AN63" s="15">
        <f ca="1">IFERROR(GETPIVOTDATA("Cuenta de CANT",Tabla9,"PROV",[2]Tablas!$A$77,"SEFIS",AN$52,"CANT",[2]Tablas!$A33),0)</f>
        <v>0</v>
      </c>
      <c r="AO63" s="15">
        <f ca="1">IFERROR(GETPIVOTDATA("Cuenta de CANT",Tabla9,"PROV",[2]Tablas!$A$77,"SEFIS",AO$52,"CANT",[2]Tablas!$A33),0)</f>
        <v>1</v>
      </c>
      <c r="AP63" s="15">
        <f ca="1">IFERROR(GETPIVOTDATA("Cuenta de CANT",Tabla9,"PROV",[2]Tablas!$A$77,"SEFIS",AP$52,"CANT",[2]Tablas!$A33),0)</f>
        <v>3</v>
      </c>
      <c r="AQ63" s="15">
        <f ca="1">IFERROR(GETPIVOTDATA("Cuenta de CANT",Tabla9,"PROV",[2]Tablas!$A$77,"SEFIS",AQ$52,"CANT",[2]Tablas!$A33),0)</f>
        <v>1</v>
      </c>
      <c r="AR63" s="15">
        <f ca="1">IFERROR(GETPIVOTDATA("Cuenta de CANT",Tabla9,"PROV",[2]Tablas!$A$77,"SEFIS",AR$52,"CANT",[2]Tablas!$A33),0)</f>
        <v>1</v>
      </c>
      <c r="AS63" s="15">
        <f ca="1">IFERROR(GETPIVOTDATA("Cuenta de CANT",Tabla9,"PROV",[2]Tablas!$A$77,"SEFIS",AS$52,"CANT",[2]Tablas!$A33),0)</f>
        <v>0</v>
      </c>
      <c r="AT63" s="15">
        <f ca="1">IFERROR(GETPIVOTDATA("Cuenta de CANT",Tabla9,"PROV",[2]Tablas!$A$77,"SEFIS",AT$52,"CANT",[2]Tablas!$A33),0)</f>
        <v>1</v>
      </c>
      <c r="AU63" s="15">
        <f ca="1">IFERROR(GETPIVOTDATA("Cuenta de CANT",Tabla9,"PROV",[2]Tablas!$A$77,"SEFIS",AU$52,"CANT",[2]Tablas!$A33),0)</f>
        <v>2</v>
      </c>
      <c r="AV63" s="15">
        <f ca="1">IFERROR(GETPIVOTDATA("Cuenta de CANT",Tabla9,"PROV",[2]Tablas!$A$77,"SEFIS",AV$52,"CANT",[2]Tablas!$A33),0)</f>
        <v>1</v>
      </c>
      <c r="AW63" s="15">
        <f ca="1">IFERROR(GETPIVOTDATA("Cuenta de CANT",Tabla9,"PROV",[2]Tablas!$A$77,"SEFIS",AW$52,"CANT",[2]Tablas!$A33),0)</f>
        <v>1</v>
      </c>
      <c r="AX63" s="15">
        <f ca="1">IFERROR(GETPIVOTDATA("Cuenta de CANT",Tabla9,"PROV",[2]Tablas!$A$77,"SEFIS",AX$52,"CANT",[2]Tablas!$A33),0)</f>
        <v>0</v>
      </c>
      <c r="AY63" s="15">
        <f ca="1">IFERROR(GETPIVOTDATA("Cuenta de CANT",Tabla9,"PROV",[2]Tablas!$A$77,"SEFIS",AY$52,"CANT",[2]Tablas!$A33),0)</f>
        <v>2</v>
      </c>
      <c r="AZ63" s="15">
        <f ca="1">IFERROR(GETPIVOTDATA("Cuenta de CANT",Tabla9,"PROV",[2]Tablas!$A$77,"SEFIS",AZ$52,"CANT",[2]Tablas!$A33),0)</f>
        <v>1</v>
      </c>
      <c r="BA63" s="15">
        <f ca="1">IFERROR(GETPIVOTDATA("Cuenta de CANT",Tabla9,"PROV",[2]Tablas!$A$77,"SEFIS",BA$52,"CANT",[2]Tablas!$A33),0)</f>
        <v>0</v>
      </c>
      <c r="BB63" s="15">
        <f ca="1">IFERROR(GETPIVOTDATA("Cuenta de CANT",Tabla9,"PROV",[2]Tablas!$A$77,"SEFIS",BB$52,"CANT",[2]Tablas!$A33),0)</f>
        <v>0</v>
      </c>
      <c r="BC63" s="15">
        <f ca="1">IFERROR(GETPIVOTDATA("Cuenta de CANT",Tabla9,"PROV",[2]Tablas!$A$77,"SEFIS",BC$52,"CANT",[2]Tablas!$A33),0)</f>
        <v>2</v>
      </c>
      <c r="BD63" s="15">
        <f ca="1">IFERROR(GETPIVOTDATA("Cuenta de CANT",Tabla9,"PROV",[2]Tablas!$A$77,"SEFIS",BD$52,"CANT",[2]Tablas!$A33),0)</f>
        <v>0</v>
      </c>
    </row>
    <row r="64" spans="1:56" x14ac:dyDescent="0.35">
      <c r="A64" s="14" t="s">
        <v>159</v>
      </c>
      <c r="B64" s="15">
        <f t="shared" ref="B64:B72" ca="1" si="8">SUM(D64:BD64)</f>
        <v>3</v>
      </c>
      <c r="C64" s="16">
        <f ca="1">IFERROR(B64/[2]Tablas!$B34*100000,"N/D")</f>
        <v>6.142254616928053</v>
      </c>
      <c r="D64" s="15">
        <f ca="1">IFERROR(GETPIVOTDATA("Cuenta de CANT",Tabla9,"PROV",[2]Tablas!$A$77,"SEFIS",D$52,"CANT",[2]Tablas!$A34),0)</f>
        <v>1</v>
      </c>
      <c r="E64" s="15">
        <f ca="1">IFERROR(GETPIVOTDATA("Cuenta de CANT",Tabla9,"PROV",[2]Tablas!$A$77,"SEFIS",E$52,"CANT",[2]Tablas!$A34),0)</f>
        <v>0</v>
      </c>
      <c r="F64" s="15">
        <f ca="1">IFERROR(GETPIVOTDATA("Cuenta de CANT",Tabla9,"PROV",[2]Tablas!$A$77,"SEFIS",F$52,"CANT",[2]Tablas!$A34),0)</f>
        <v>0</v>
      </c>
      <c r="G64" s="15">
        <f ca="1">IFERROR(GETPIVOTDATA("Cuenta de CANT",Tabla9,"PROV",[2]Tablas!$A$77,"SEFIS",G$52,"CANT",[2]Tablas!$A34),0)</f>
        <v>0</v>
      </c>
      <c r="H64" s="15">
        <f ca="1">IFERROR(GETPIVOTDATA("Cuenta de CANT",Tabla9,"PROV",[2]Tablas!$A$77,"SEFIS",H$52,"CANT",[2]Tablas!$A34),0)</f>
        <v>0</v>
      </c>
      <c r="I64" s="15">
        <f ca="1">IFERROR(GETPIVOTDATA("Cuenta de CANT",Tabla9,"PROV",[2]Tablas!$A$77,"SEFIS",I$52,"CANT",[2]Tablas!$A34),0)</f>
        <v>0</v>
      </c>
      <c r="J64" s="15">
        <f ca="1">IFERROR(GETPIVOTDATA("Cuenta de CANT",Tabla9,"PROV",[2]Tablas!$A$77,"SEFIS",J$52,"CANT",[2]Tablas!$A34),0)</f>
        <v>0</v>
      </c>
      <c r="K64" s="15">
        <f ca="1">IFERROR(GETPIVOTDATA("Cuenta de CANT",Tabla9,"PROV",[2]Tablas!$A$77,"SEFIS",K$52,"CANT",[2]Tablas!$A34),0)</f>
        <v>0</v>
      </c>
      <c r="L64" s="15">
        <f ca="1">IFERROR(GETPIVOTDATA("Cuenta de CANT",Tabla9,"PROV",[2]Tablas!$A$77,"SEFIS",L$52,"CANT",[2]Tablas!$A34),0)</f>
        <v>0</v>
      </c>
      <c r="M64" s="15">
        <f ca="1">IFERROR(GETPIVOTDATA("Cuenta de CANT",Tabla9,"PROV",[2]Tablas!$A$77,"SEFIS",M$52,"CANT",[2]Tablas!$A34),0)</f>
        <v>0</v>
      </c>
      <c r="N64" s="15">
        <f ca="1">IFERROR(GETPIVOTDATA("Cuenta de CANT",Tabla9,"PROV",[2]Tablas!$A$77,"SEFIS",N$52,"CANT",[2]Tablas!$A34),0)</f>
        <v>1</v>
      </c>
      <c r="O64" s="15">
        <f ca="1">IFERROR(GETPIVOTDATA("Cuenta de CANT",Tabla9,"PROV",[2]Tablas!$A$77,"SEFIS",O$52,"CANT",[2]Tablas!$A34),0)</f>
        <v>0</v>
      </c>
      <c r="P64" s="15">
        <f ca="1">IFERROR(GETPIVOTDATA("Cuenta de CANT",Tabla9,"PROV",[2]Tablas!$A$77,"SEFIS",P$52,"CANT",[2]Tablas!$A34),0)</f>
        <v>0</v>
      </c>
      <c r="Q64" s="15">
        <f ca="1">IFERROR(GETPIVOTDATA("Cuenta de CANT",Tabla9,"PROV",[2]Tablas!$A$77,"SEFIS",Q$52,"CANT",[2]Tablas!$A34),0)</f>
        <v>0</v>
      </c>
      <c r="R64" s="15">
        <f ca="1">IFERROR(GETPIVOTDATA("Cuenta de CANT",Tabla9,"PROV",[2]Tablas!$A$77,"SEFIS",R$52,"CANT",[2]Tablas!$A34),0)</f>
        <v>0</v>
      </c>
      <c r="S64" s="15">
        <f ca="1">IFERROR(GETPIVOTDATA("Cuenta de CANT",Tabla9,"PROV",[2]Tablas!$A$77,"SEFIS",S$52,"CANT",[2]Tablas!$A34),0)</f>
        <v>0</v>
      </c>
      <c r="T64" s="15">
        <f ca="1">IFERROR(GETPIVOTDATA("Cuenta de CANT",Tabla9,"PROV",[2]Tablas!$A$77,"SEFIS",T$52,"CANT",[2]Tablas!$A34),0)</f>
        <v>0</v>
      </c>
      <c r="U64" s="15">
        <f ca="1">IFERROR(GETPIVOTDATA("Cuenta de CANT",Tabla9,"PROV",[2]Tablas!$A$77,"SEFIS",U$52,"CANT",[2]Tablas!$A34),0)</f>
        <v>0</v>
      </c>
      <c r="V64" s="15">
        <f ca="1">IFERROR(GETPIVOTDATA("Cuenta de CANT",Tabla9,"PROV",[2]Tablas!$A$77,"SEFIS",V$52,"CANT",[2]Tablas!$A34),0)</f>
        <v>0</v>
      </c>
      <c r="W64" s="15">
        <f ca="1">IFERROR(GETPIVOTDATA("Cuenta de CANT",Tabla9,"PROV",[2]Tablas!$A$77,"SEFIS",W$52,"CANT",[2]Tablas!$A34),0)</f>
        <v>0</v>
      </c>
      <c r="X64" s="15">
        <f ca="1">IFERROR(GETPIVOTDATA("Cuenta de CANT",Tabla9,"PROV",[2]Tablas!$A$77,"SEFIS",X$52,"CANT",[2]Tablas!$A34),0)</f>
        <v>0</v>
      </c>
      <c r="Y64" s="15">
        <f ca="1">IFERROR(GETPIVOTDATA("Cuenta de CANT",Tabla9,"PROV",[2]Tablas!$A$77,"SEFIS",Y$52,"CANT",[2]Tablas!$A34),0)</f>
        <v>0</v>
      </c>
      <c r="Z64" s="15">
        <f ca="1">IFERROR(GETPIVOTDATA("Cuenta de CANT",Tabla9,"PROV",[2]Tablas!$A$77,"SEFIS",Z$52,"CANT",[2]Tablas!$A34),0)</f>
        <v>0</v>
      </c>
      <c r="AA64" s="15">
        <f ca="1">IFERROR(GETPIVOTDATA("Cuenta de CANT",Tabla9,"PROV",[2]Tablas!$A$77,"SEFIS",AA$52,"CANT",[2]Tablas!$A34),0)</f>
        <v>0</v>
      </c>
      <c r="AB64" s="15">
        <f ca="1">IFERROR(GETPIVOTDATA("Cuenta de CANT",Tabla9,"PROV",[2]Tablas!$A$77,"SEFIS",AB$52,"CANT",[2]Tablas!$A34),0)</f>
        <v>0</v>
      </c>
      <c r="AC64" s="15">
        <f ca="1">IFERROR(GETPIVOTDATA("Cuenta de CANT",Tabla9,"PROV",[2]Tablas!$A$77,"SEFIS",AC$52,"CANT",[2]Tablas!$A34),0)</f>
        <v>0</v>
      </c>
      <c r="AD64" s="15">
        <f ca="1">IFERROR(GETPIVOTDATA("Cuenta de CANT",Tabla9,"PROV",[2]Tablas!$A$77,"SEFIS",AD$52,"CANT",[2]Tablas!$A34),0)</f>
        <v>0</v>
      </c>
      <c r="AE64" s="15">
        <f ca="1">IFERROR(GETPIVOTDATA("Cuenta de CANT",Tabla9,"PROV",[2]Tablas!$A$77,"SEFIS",AE$52,"CANT",[2]Tablas!$A34),0)</f>
        <v>0</v>
      </c>
      <c r="AF64" s="15">
        <f ca="1">IFERROR(GETPIVOTDATA("Cuenta de CANT",Tabla9,"PROV",[2]Tablas!$A$77,"SEFIS",AF$52,"CANT",[2]Tablas!$A34),0)</f>
        <v>0</v>
      </c>
      <c r="AG64" s="15">
        <f ca="1">IFERROR(GETPIVOTDATA("Cuenta de CANT",Tabla9,"PROV",[2]Tablas!$A$77,"SEFIS",AG$52,"CANT",[2]Tablas!$A34),0)</f>
        <v>0</v>
      </c>
      <c r="AH64" s="15">
        <f ca="1">IFERROR(GETPIVOTDATA("Cuenta de CANT",Tabla9,"PROV",[2]Tablas!$A$77,"SEFIS",AH$52,"CANT",[2]Tablas!$A34),0)</f>
        <v>0</v>
      </c>
      <c r="AI64" s="15">
        <f ca="1">IFERROR(GETPIVOTDATA("Cuenta de CANT",Tabla9,"PROV",[2]Tablas!$A$77,"SEFIS",AI$52,"CANT",[2]Tablas!$A34),0)</f>
        <v>0</v>
      </c>
      <c r="AJ64" s="15">
        <f ca="1">IFERROR(GETPIVOTDATA("Cuenta de CANT",Tabla9,"PROV",[2]Tablas!$A$77,"SEFIS",AJ$52,"CANT",[2]Tablas!$A34),0)</f>
        <v>0</v>
      </c>
      <c r="AK64" s="15">
        <f ca="1">IFERROR(GETPIVOTDATA("Cuenta de CANT",Tabla9,"PROV",[2]Tablas!$A$77,"SEFIS",AK$52,"CANT",[2]Tablas!$A34),0)</f>
        <v>0</v>
      </c>
      <c r="AL64" s="15">
        <f ca="1">IFERROR(GETPIVOTDATA("Cuenta de CANT",Tabla9,"PROV",[2]Tablas!$A$77,"SEFIS",AL$52,"CANT",[2]Tablas!$A34),0)</f>
        <v>0</v>
      </c>
      <c r="AM64" s="15">
        <f ca="1">IFERROR(GETPIVOTDATA("Cuenta de CANT",Tabla9,"PROV",[2]Tablas!$A$77,"SEFIS",AM$52,"CANT",[2]Tablas!$A34),0)</f>
        <v>0</v>
      </c>
      <c r="AN64" s="15">
        <f ca="1">IFERROR(GETPIVOTDATA("Cuenta de CANT",Tabla9,"PROV",[2]Tablas!$A$77,"SEFIS",AN$52,"CANT",[2]Tablas!$A34),0)</f>
        <v>0</v>
      </c>
      <c r="AO64" s="15">
        <f ca="1">IFERROR(GETPIVOTDATA("Cuenta de CANT",Tabla9,"PROV",[2]Tablas!$A$77,"SEFIS",AO$52,"CANT",[2]Tablas!$A34),0)</f>
        <v>0</v>
      </c>
      <c r="AP64" s="15">
        <f ca="1">IFERROR(GETPIVOTDATA("Cuenta de CANT",Tabla9,"PROV",[2]Tablas!$A$77,"SEFIS",AP$52,"CANT",[2]Tablas!$A34),0)</f>
        <v>1</v>
      </c>
      <c r="AQ64" s="15">
        <f ca="1">IFERROR(GETPIVOTDATA("Cuenta de CANT",Tabla9,"PROV",[2]Tablas!$A$77,"SEFIS",AQ$52,"CANT",[2]Tablas!$A34),0)</f>
        <v>0</v>
      </c>
      <c r="AR64" s="15">
        <f ca="1">IFERROR(GETPIVOTDATA("Cuenta de CANT",Tabla9,"PROV",[2]Tablas!$A$77,"SEFIS",AR$52,"CANT",[2]Tablas!$A34),0)</f>
        <v>0</v>
      </c>
      <c r="AS64" s="15">
        <f ca="1">IFERROR(GETPIVOTDATA("Cuenta de CANT",Tabla9,"PROV",[2]Tablas!$A$77,"SEFIS",AS$52,"CANT",[2]Tablas!$A34),0)</f>
        <v>0</v>
      </c>
      <c r="AT64" s="15">
        <f ca="1">IFERROR(GETPIVOTDATA("Cuenta de CANT",Tabla9,"PROV",[2]Tablas!$A$77,"SEFIS",AT$52,"CANT",[2]Tablas!$A34),0)</f>
        <v>0</v>
      </c>
      <c r="AU64" s="15">
        <f ca="1">IFERROR(GETPIVOTDATA("Cuenta de CANT",Tabla9,"PROV",[2]Tablas!$A$77,"SEFIS",AU$52,"CANT",[2]Tablas!$A34),0)</f>
        <v>0</v>
      </c>
      <c r="AV64" s="15">
        <f ca="1">IFERROR(GETPIVOTDATA("Cuenta de CANT",Tabla9,"PROV",[2]Tablas!$A$77,"SEFIS",AV$52,"CANT",[2]Tablas!$A34),0)</f>
        <v>0</v>
      </c>
      <c r="AW64" s="15">
        <f ca="1">IFERROR(GETPIVOTDATA("Cuenta de CANT",Tabla9,"PROV",[2]Tablas!$A$77,"SEFIS",AW$52,"CANT",[2]Tablas!$A34),0)</f>
        <v>0</v>
      </c>
      <c r="AX64" s="15">
        <f ca="1">IFERROR(GETPIVOTDATA("Cuenta de CANT",Tabla9,"PROV",[2]Tablas!$A$77,"SEFIS",AX$52,"CANT",[2]Tablas!$A34),0)</f>
        <v>0</v>
      </c>
      <c r="AY64" s="15">
        <f ca="1">IFERROR(GETPIVOTDATA("Cuenta de CANT",Tabla9,"PROV",[2]Tablas!$A$77,"SEFIS",AY$52,"CANT",[2]Tablas!$A34),0)</f>
        <v>0</v>
      </c>
      <c r="AZ64" s="15">
        <f ca="1">IFERROR(GETPIVOTDATA("Cuenta de CANT",Tabla9,"PROV",[2]Tablas!$A$77,"SEFIS",AZ$52,"CANT",[2]Tablas!$A34),0)</f>
        <v>0</v>
      </c>
      <c r="BA64" s="15">
        <f ca="1">IFERROR(GETPIVOTDATA("Cuenta de CANT",Tabla9,"PROV",[2]Tablas!$A$77,"SEFIS",BA$52,"CANT",[2]Tablas!$A34),0)</f>
        <v>0</v>
      </c>
      <c r="BB64" s="15">
        <f ca="1">IFERROR(GETPIVOTDATA("Cuenta de CANT",Tabla9,"PROV",[2]Tablas!$A$77,"SEFIS",BB$52,"CANT",[2]Tablas!$A34),0)</f>
        <v>0</v>
      </c>
      <c r="BC64" s="15">
        <f ca="1">IFERROR(GETPIVOTDATA("Cuenta de CANT",Tabla9,"PROV",[2]Tablas!$A$77,"SEFIS",BC$52,"CANT",[2]Tablas!$A34),0)</f>
        <v>0</v>
      </c>
      <c r="BD64" s="15">
        <f ca="1">IFERROR(GETPIVOTDATA("Cuenta de CANT",Tabla9,"PROV",[2]Tablas!$A$77,"SEFIS",BD$52,"CANT",[2]Tablas!$A34),0)</f>
        <v>0</v>
      </c>
    </row>
    <row r="65" spans="1:56" x14ac:dyDescent="0.35">
      <c r="A65" s="14" t="s">
        <v>160</v>
      </c>
      <c r="B65" s="15">
        <f t="shared" ca="1" si="8"/>
        <v>16</v>
      </c>
      <c r="C65" s="16">
        <f ca="1">IFERROR(B65/[2]Tablas!$B35*100000,"N/D")</f>
        <v>31.980811513092142</v>
      </c>
      <c r="D65" s="15">
        <f ca="1">IFERROR(GETPIVOTDATA("Cuenta de CANT",Tabla9,"PROV",[2]Tablas!$A$77,"SEFIS",D$52,"CANT",[2]Tablas!$A35),0)</f>
        <v>0</v>
      </c>
      <c r="E65" s="15">
        <f ca="1">IFERROR(GETPIVOTDATA("Cuenta de CANT",Tabla9,"PROV",[2]Tablas!$A$77,"SEFIS",E$52,"CANT",[2]Tablas!$A35),0)</f>
        <v>0</v>
      </c>
      <c r="F65" s="15">
        <f ca="1">IFERROR(GETPIVOTDATA("Cuenta de CANT",Tabla9,"PROV",[2]Tablas!$A$77,"SEFIS",F$52,"CANT",[2]Tablas!$A35),0)</f>
        <v>0</v>
      </c>
      <c r="G65" s="15">
        <f ca="1">IFERROR(GETPIVOTDATA("Cuenta de CANT",Tabla9,"PROV",[2]Tablas!$A$77,"SEFIS",G$52,"CANT",[2]Tablas!$A35),0)</f>
        <v>0</v>
      </c>
      <c r="H65" s="15">
        <f ca="1">IFERROR(GETPIVOTDATA("Cuenta de CANT",Tabla9,"PROV",[2]Tablas!$A$77,"SEFIS",H$52,"CANT",[2]Tablas!$A35),0)</f>
        <v>0</v>
      </c>
      <c r="I65" s="15">
        <f ca="1">IFERROR(GETPIVOTDATA("Cuenta de CANT",Tabla9,"PROV",[2]Tablas!$A$77,"SEFIS",I$52,"CANT",[2]Tablas!$A35),0)</f>
        <v>0</v>
      </c>
      <c r="J65" s="15">
        <f ca="1">IFERROR(GETPIVOTDATA("Cuenta de CANT",Tabla9,"PROV",[2]Tablas!$A$77,"SEFIS",J$52,"CANT",[2]Tablas!$A35),0)</f>
        <v>0</v>
      </c>
      <c r="K65" s="15">
        <f ca="1">IFERROR(GETPIVOTDATA("Cuenta de CANT",Tabla9,"PROV",[2]Tablas!$A$77,"SEFIS",K$52,"CANT",[2]Tablas!$A35),0)</f>
        <v>1</v>
      </c>
      <c r="L65" s="15">
        <f ca="1">IFERROR(GETPIVOTDATA("Cuenta de CANT",Tabla9,"PROV",[2]Tablas!$A$77,"SEFIS",L$52,"CANT",[2]Tablas!$A35),0)</f>
        <v>0</v>
      </c>
      <c r="M65" s="15">
        <f ca="1">IFERROR(GETPIVOTDATA("Cuenta de CANT",Tabla9,"PROV",[2]Tablas!$A$77,"SEFIS",M$52,"CANT",[2]Tablas!$A35),0)</f>
        <v>0</v>
      </c>
      <c r="N65" s="15">
        <f ca="1">IFERROR(GETPIVOTDATA("Cuenta de CANT",Tabla9,"PROV",[2]Tablas!$A$77,"SEFIS",N$52,"CANT",[2]Tablas!$A35),0)</f>
        <v>0</v>
      </c>
      <c r="O65" s="15">
        <f ca="1">IFERROR(GETPIVOTDATA("Cuenta de CANT",Tabla9,"PROV",[2]Tablas!$A$77,"SEFIS",O$52,"CANT",[2]Tablas!$A35),0)</f>
        <v>0</v>
      </c>
      <c r="P65" s="15">
        <f ca="1">IFERROR(GETPIVOTDATA("Cuenta de CANT",Tabla9,"PROV",[2]Tablas!$A$77,"SEFIS",P$52,"CANT",[2]Tablas!$A35),0)</f>
        <v>1</v>
      </c>
      <c r="Q65" s="15">
        <f ca="1">IFERROR(GETPIVOTDATA("Cuenta de CANT",Tabla9,"PROV",[2]Tablas!$A$77,"SEFIS",Q$52,"CANT",[2]Tablas!$A35),0)</f>
        <v>0</v>
      </c>
      <c r="R65" s="15">
        <f ca="1">IFERROR(GETPIVOTDATA("Cuenta de CANT",Tabla9,"PROV",[2]Tablas!$A$77,"SEFIS",R$52,"CANT",[2]Tablas!$A35),0)</f>
        <v>2</v>
      </c>
      <c r="S65" s="15">
        <f ca="1">IFERROR(GETPIVOTDATA("Cuenta de CANT",Tabla9,"PROV",[2]Tablas!$A$77,"SEFIS",S$52,"CANT",[2]Tablas!$A35),0)</f>
        <v>0</v>
      </c>
      <c r="T65" s="15">
        <f ca="1">IFERROR(GETPIVOTDATA("Cuenta de CANT",Tabla9,"PROV",[2]Tablas!$A$77,"SEFIS",T$52,"CANT",[2]Tablas!$A35),0)</f>
        <v>1</v>
      </c>
      <c r="U65" s="15">
        <f ca="1">IFERROR(GETPIVOTDATA("Cuenta de CANT",Tabla9,"PROV",[2]Tablas!$A$77,"SEFIS",U$52,"CANT",[2]Tablas!$A35),0)</f>
        <v>0</v>
      </c>
      <c r="V65" s="15">
        <f ca="1">IFERROR(GETPIVOTDATA("Cuenta de CANT",Tabla9,"PROV",[2]Tablas!$A$77,"SEFIS",V$52,"CANT",[2]Tablas!$A35),0)</f>
        <v>0</v>
      </c>
      <c r="W65" s="15">
        <f ca="1">IFERROR(GETPIVOTDATA("Cuenta de CANT",Tabla9,"PROV",[2]Tablas!$A$77,"SEFIS",W$52,"CANT",[2]Tablas!$A35),0)</f>
        <v>0</v>
      </c>
      <c r="X65" s="15">
        <f ca="1">IFERROR(GETPIVOTDATA("Cuenta de CANT",Tabla9,"PROV",[2]Tablas!$A$77,"SEFIS",X$52,"CANT",[2]Tablas!$A35),0)</f>
        <v>0</v>
      </c>
      <c r="Y65" s="15">
        <f ca="1">IFERROR(GETPIVOTDATA("Cuenta de CANT",Tabla9,"PROV",[2]Tablas!$A$77,"SEFIS",Y$52,"CANT",[2]Tablas!$A35),0)</f>
        <v>0</v>
      </c>
      <c r="Z65" s="15">
        <f ca="1">IFERROR(GETPIVOTDATA("Cuenta de CANT",Tabla9,"PROV",[2]Tablas!$A$77,"SEFIS",Z$52,"CANT",[2]Tablas!$A35),0)</f>
        <v>1</v>
      </c>
      <c r="AA65" s="15">
        <f ca="1">IFERROR(GETPIVOTDATA("Cuenta de CANT",Tabla9,"PROV",[2]Tablas!$A$77,"SEFIS",AA$52,"CANT",[2]Tablas!$A35),0)</f>
        <v>0</v>
      </c>
      <c r="AB65" s="15">
        <f ca="1">IFERROR(GETPIVOTDATA("Cuenta de CANT",Tabla9,"PROV",[2]Tablas!$A$77,"SEFIS",AB$52,"CANT",[2]Tablas!$A35),0)</f>
        <v>0</v>
      </c>
      <c r="AC65" s="15">
        <f ca="1">IFERROR(GETPIVOTDATA("Cuenta de CANT",Tabla9,"PROV",[2]Tablas!$A$77,"SEFIS",AC$52,"CANT",[2]Tablas!$A35),0)</f>
        <v>0</v>
      </c>
      <c r="AD65" s="15">
        <f ca="1">IFERROR(GETPIVOTDATA("Cuenta de CANT",Tabla9,"PROV",[2]Tablas!$A$77,"SEFIS",AD$52,"CANT",[2]Tablas!$A35),0)</f>
        <v>1</v>
      </c>
      <c r="AE65" s="15">
        <f ca="1">IFERROR(GETPIVOTDATA("Cuenta de CANT",Tabla9,"PROV",[2]Tablas!$A$77,"SEFIS",AE$52,"CANT",[2]Tablas!$A35),0)</f>
        <v>1</v>
      </c>
      <c r="AF65" s="15">
        <f ca="1">IFERROR(GETPIVOTDATA("Cuenta de CANT",Tabla9,"PROV",[2]Tablas!$A$77,"SEFIS",AF$52,"CANT",[2]Tablas!$A35),0)</f>
        <v>0</v>
      </c>
      <c r="AG65" s="15">
        <f ca="1">IFERROR(GETPIVOTDATA("Cuenta de CANT",Tabla9,"PROV",[2]Tablas!$A$77,"SEFIS",AG$52,"CANT",[2]Tablas!$A35),0)</f>
        <v>0</v>
      </c>
      <c r="AH65" s="15">
        <f ca="1">IFERROR(GETPIVOTDATA("Cuenta de CANT",Tabla9,"PROV",[2]Tablas!$A$77,"SEFIS",AH$52,"CANT",[2]Tablas!$A35),0)</f>
        <v>0</v>
      </c>
      <c r="AI65" s="15">
        <f ca="1">IFERROR(GETPIVOTDATA("Cuenta de CANT",Tabla9,"PROV",[2]Tablas!$A$77,"SEFIS",AI$52,"CANT",[2]Tablas!$A35),0)</f>
        <v>0</v>
      </c>
      <c r="AJ65" s="15">
        <f ca="1">IFERROR(GETPIVOTDATA("Cuenta de CANT",Tabla9,"PROV",[2]Tablas!$A$77,"SEFIS",AJ$52,"CANT",[2]Tablas!$A35),0)</f>
        <v>0</v>
      </c>
      <c r="AK65" s="15">
        <f ca="1">IFERROR(GETPIVOTDATA("Cuenta de CANT",Tabla9,"PROV",[2]Tablas!$A$77,"SEFIS",AK$52,"CANT",[2]Tablas!$A35),0)</f>
        <v>1</v>
      </c>
      <c r="AL65" s="15">
        <f ca="1">IFERROR(GETPIVOTDATA("Cuenta de CANT",Tabla9,"PROV",[2]Tablas!$A$77,"SEFIS",AL$52,"CANT",[2]Tablas!$A35),0)</f>
        <v>0</v>
      </c>
      <c r="AM65" s="15">
        <f ca="1">IFERROR(GETPIVOTDATA("Cuenta de CANT",Tabla9,"PROV",[2]Tablas!$A$77,"SEFIS",AM$52,"CANT",[2]Tablas!$A35),0)</f>
        <v>0</v>
      </c>
      <c r="AN65" s="15">
        <f ca="1">IFERROR(GETPIVOTDATA("Cuenta de CANT",Tabla9,"PROV",[2]Tablas!$A$77,"SEFIS",AN$52,"CANT",[2]Tablas!$A35),0)</f>
        <v>0</v>
      </c>
      <c r="AO65" s="15">
        <f ca="1">IFERROR(GETPIVOTDATA("Cuenta de CANT",Tabla9,"PROV",[2]Tablas!$A$77,"SEFIS",AO$52,"CANT",[2]Tablas!$A35),0)</f>
        <v>0</v>
      </c>
      <c r="AP65" s="15">
        <f ca="1">IFERROR(GETPIVOTDATA("Cuenta de CANT",Tabla9,"PROV",[2]Tablas!$A$77,"SEFIS",AP$52,"CANT",[2]Tablas!$A35),0)</f>
        <v>0</v>
      </c>
      <c r="AQ65" s="15">
        <f ca="1">IFERROR(GETPIVOTDATA("Cuenta de CANT",Tabla9,"PROV",[2]Tablas!$A$77,"SEFIS",AQ$52,"CANT",[2]Tablas!$A35),0)</f>
        <v>1</v>
      </c>
      <c r="AR65" s="15">
        <f ca="1">IFERROR(GETPIVOTDATA("Cuenta de CANT",Tabla9,"PROV",[2]Tablas!$A$77,"SEFIS",AR$52,"CANT",[2]Tablas!$A35),0)</f>
        <v>0</v>
      </c>
      <c r="AS65" s="15">
        <f ca="1">IFERROR(GETPIVOTDATA("Cuenta de CANT",Tabla9,"PROV",[2]Tablas!$A$77,"SEFIS",AS$52,"CANT",[2]Tablas!$A35),0)</f>
        <v>0</v>
      </c>
      <c r="AT65" s="15">
        <f ca="1">IFERROR(GETPIVOTDATA("Cuenta de CANT",Tabla9,"PROV",[2]Tablas!$A$77,"SEFIS",AT$52,"CANT",[2]Tablas!$A35),0)</f>
        <v>0</v>
      </c>
      <c r="AU65" s="15">
        <f ca="1">IFERROR(GETPIVOTDATA("Cuenta de CANT",Tabla9,"PROV",[2]Tablas!$A$77,"SEFIS",AU$52,"CANT",[2]Tablas!$A35),0)</f>
        <v>1</v>
      </c>
      <c r="AV65" s="15">
        <f ca="1">IFERROR(GETPIVOTDATA("Cuenta de CANT",Tabla9,"PROV",[2]Tablas!$A$77,"SEFIS",AV$52,"CANT",[2]Tablas!$A35),0)</f>
        <v>0</v>
      </c>
      <c r="AW65" s="15">
        <f ca="1">IFERROR(GETPIVOTDATA("Cuenta de CANT",Tabla9,"PROV",[2]Tablas!$A$77,"SEFIS",AW$52,"CANT",[2]Tablas!$A35),0)</f>
        <v>3</v>
      </c>
      <c r="AX65" s="15">
        <f ca="1">IFERROR(GETPIVOTDATA("Cuenta de CANT",Tabla9,"PROV",[2]Tablas!$A$77,"SEFIS",AX$52,"CANT",[2]Tablas!$A35),0)</f>
        <v>1</v>
      </c>
      <c r="AY65" s="15">
        <f ca="1">IFERROR(GETPIVOTDATA("Cuenta de CANT",Tabla9,"PROV",[2]Tablas!$A$77,"SEFIS",AY$52,"CANT",[2]Tablas!$A35),0)</f>
        <v>0</v>
      </c>
      <c r="AZ65" s="15">
        <f ca="1">IFERROR(GETPIVOTDATA("Cuenta de CANT",Tabla9,"PROV",[2]Tablas!$A$77,"SEFIS",AZ$52,"CANT",[2]Tablas!$A35),0)</f>
        <v>0</v>
      </c>
      <c r="BA65" s="15">
        <f ca="1">IFERROR(GETPIVOTDATA("Cuenta de CANT",Tabla9,"PROV",[2]Tablas!$A$77,"SEFIS",BA$52,"CANT",[2]Tablas!$A35),0)</f>
        <v>0</v>
      </c>
      <c r="BB65" s="15">
        <f ca="1">IFERROR(GETPIVOTDATA("Cuenta de CANT",Tabla9,"PROV",[2]Tablas!$A$77,"SEFIS",BB$52,"CANT",[2]Tablas!$A35),0)</f>
        <v>0</v>
      </c>
      <c r="BC65" s="15">
        <f ca="1">IFERROR(GETPIVOTDATA("Cuenta de CANT",Tabla9,"PROV",[2]Tablas!$A$77,"SEFIS",BC$52,"CANT",[2]Tablas!$A35),0)</f>
        <v>1</v>
      </c>
      <c r="BD65" s="15">
        <f ca="1">IFERROR(GETPIVOTDATA("Cuenta de CANT",Tabla9,"PROV",[2]Tablas!$A$77,"SEFIS",BD$52,"CANT",[2]Tablas!$A35),0)</f>
        <v>0</v>
      </c>
    </row>
    <row r="66" spans="1:56" x14ac:dyDescent="0.35">
      <c r="A66" s="14" t="s">
        <v>161</v>
      </c>
      <c r="B66" s="15">
        <f t="shared" ca="1" si="8"/>
        <v>13</v>
      </c>
      <c r="C66" s="16">
        <f ca="1">IFERROR(B66/[2]Tablas!$B36*100000,"N/D")</f>
        <v>28.812695316828833</v>
      </c>
      <c r="D66" s="15">
        <f ca="1">IFERROR(GETPIVOTDATA("Cuenta de CANT",Tabla9,"PROV",[2]Tablas!$A$77,"SEFIS",D$52,"CANT",[2]Tablas!$A36),0)</f>
        <v>0</v>
      </c>
      <c r="E66" s="15">
        <f ca="1">IFERROR(GETPIVOTDATA("Cuenta de CANT",Tabla9,"PROV",[2]Tablas!$A$77,"SEFIS",E$52,"CANT",[2]Tablas!$A36),0)</f>
        <v>2</v>
      </c>
      <c r="F66" s="15">
        <f ca="1">IFERROR(GETPIVOTDATA("Cuenta de CANT",Tabla9,"PROV",[2]Tablas!$A$77,"SEFIS",F$52,"CANT",[2]Tablas!$A36),0)</f>
        <v>1</v>
      </c>
      <c r="G66" s="15">
        <f ca="1">IFERROR(GETPIVOTDATA("Cuenta de CANT",Tabla9,"PROV",[2]Tablas!$A$77,"SEFIS",G$52,"CANT",[2]Tablas!$A36),0)</f>
        <v>0</v>
      </c>
      <c r="H66" s="15">
        <f ca="1">IFERROR(GETPIVOTDATA("Cuenta de CANT",Tabla9,"PROV",[2]Tablas!$A$77,"SEFIS",H$52,"CANT",[2]Tablas!$A36),0)</f>
        <v>0</v>
      </c>
      <c r="I66" s="15">
        <f ca="1">IFERROR(GETPIVOTDATA("Cuenta de CANT",Tabla9,"PROV",[2]Tablas!$A$77,"SEFIS",I$52,"CANT",[2]Tablas!$A36),0)</f>
        <v>0</v>
      </c>
      <c r="J66" s="15">
        <f ca="1">IFERROR(GETPIVOTDATA("Cuenta de CANT",Tabla9,"PROV",[2]Tablas!$A$77,"SEFIS",J$52,"CANT",[2]Tablas!$A36),0)</f>
        <v>0</v>
      </c>
      <c r="K66" s="15">
        <f ca="1">IFERROR(GETPIVOTDATA("Cuenta de CANT",Tabla9,"PROV",[2]Tablas!$A$77,"SEFIS",K$52,"CANT",[2]Tablas!$A36),0)</f>
        <v>0</v>
      </c>
      <c r="L66" s="15">
        <f ca="1">IFERROR(GETPIVOTDATA("Cuenta de CANT",Tabla9,"PROV",[2]Tablas!$A$77,"SEFIS",L$52,"CANT",[2]Tablas!$A36),0)</f>
        <v>0</v>
      </c>
      <c r="M66" s="15">
        <f ca="1">IFERROR(GETPIVOTDATA("Cuenta de CANT",Tabla9,"PROV",[2]Tablas!$A$77,"SEFIS",M$52,"CANT",[2]Tablas!$A36),0)</f>
        <v>1</v>
      </c>
      <c r="N66" s="15">
        <f ca="1">IFERROR(GETPIVOTDATA("Cuenta de CANT",Tabla9,"PROV",[2]Tablas!$A$77,"SEFIS",N$52,"CANT",[2]Tablas!$A36),0)</f>
        <v>0</v>
      </c>
      <c r="O66" s="15">
        <f ca="1">IFERROR(GETPIVOTDATA("Cuenta de CANT",Tabla9,"PROV",[2]Tablas!$A$77,"SEFIS",O$52,"CANT",[2]Tablas!$A36),0)</f>
        <v>0</v>
      </c>
      <c r="P66" s="15">
        <f ca="1">IFERROR(GETPIVOTDATA("Cuenta de CANT",Tabla9,"PROV",[2]Tablas!$A$77,"SEFIS",P$52,"CANT",[2]Tablas!$A36),0)</f>
        <v>0</v>
      </c>
      <c r="Q66" s="15">
        <f ca="1">IFERROR(GETPIVOTDATA("Cuenta de CANT",Tabla9,"PROV",[2]Tablas!$A$77,"SEFIS",Q$52,"CANT",[2]Tablas!$A36),0)</f>
        <v>1</v>
      </c>
      <c r="R66" s="15">
        <f ca="1">IFERROR(GETPIVOTDATA("Cuenta de CANT",Tabla9,"PROV",[2]Tablas!$A$77,"SEFIS",R$52,"CANT",[2]Tablas!$A36),0)</f>
        <v>0</v>
      </c>
      <c r="S66" s="15">
        <f ca="1">IFERROR(GETPIVOTDATA("Cuenta de CANT",Tabla9,"PROV",[2]Tablas!$A$77,"SEFIS",S$52,"CANT",[2]Tablas!$A36),0)</f>
        <v>0</v>
      </c>
      <c r="T66" s="15">
        <f ca="1">IFERROR(GETPIVOTDATA("Cuenta de CANT",Tabla9,"PROV",[2]Tablas!$A$77,"SEFIS",T$52,"CANT",[2]Tablas!$A36),0)</f>
        <v>0</v>
      </c>
      <c r="U66" s="15">
        <f ca="1">IFERROR(GETPIVOTDATA("Cuenta de CANT",Tabla9,"PROV",[2]Tablas!$A$77,"SEFIS",U$52,"CANT",[2]Tablas!$A36),0)</f>
        <v>1</v>
      </c>
      <c r="V66" s="15">
        <f ca="1">IFERROR(GETPIVOTDATA("Cuenta de CANT",Tabla9,"PROV",[2]Tablas!$A$77,"SEFIS",V$52,"CANT",[2]Tablas!$A36),0)</f>
        <v>0</v>
      </c>
      <c r="W66" s="15">
        <f ca="1">IFERROR(GETPIVOTDATA("Cuenta de CANT",Tabla9,"PROV",[2]Tablas!$A$77,"SEFIS",W$52,"CANT",[2]Tablas!$A36),0)</f>
        <v>0</v>
      </c>
      <c r="X66" s="15">
        <f ca="1">IFERROR(GETPIVOTDATA("Cuenta de CANT",Tabla9,"PROV",[2]Tablas!$A$77,"SEFIS",X$52,"CANT",[2]Tablas!$A36),0)</f>
        <v>0</v>
      </c>
      <c r="Y66" s="15">
        <f ca="1">IFERROR(GETPIVOTDATA("Cuenta de CANT",Tabla9,"PROV",[2]Tablas!$A$77,"SEFIS",Y$52,"CANT",[2]Tablas!$A36),0)</f>
        <v>0</v>
      </c>
      <c r="Z66" s="15">
        <f ca="1">IFERROR(GETPIVOTDATA("Cuenta de CANT",Tabla9,"PROV",[2]Tablas!$A$77,"SEFIS",Z$52,"CANT",[2]Tablas!$A36),0)</f>
        <v>0</v>
      </c>
      <c r="AA66" s="15">
        <f ca="1">IFERROR(GETPIVOTDATA("Cuenta de CANT",Tabla9,"PROV",[2]Tablas!$A$77,"SEFIS",AA$52,"CANT",[2]Tablas!$A36),0)</f>
        <v>1</v>
      </c>
      <c r="AB66" s="15">
        <f ca="1">IFERROR(GETPIVOTDATA("Cuenta de CANT",Tabla9,"PROV",[2]Tablas!$A$77,"SEFIS",AB$52,"CANT",[2]Tablas!$A36),0)</f>
        <v>0</v>
      </c>
      <c r="AC66" s="15">
        <f ca="1">IFERROR(GETPIVOTDATA("Cuenta de CANT",Tabla9,"PROV",[2]Tablas!$A$77,"SEFIS",AC$52,"CANT",[2]Tablas!$A36),0)</f>
        <v>0</v>
      </c>
      <c r="AD66" s="15">
        <f ca="1">IFERROR(GETPIVOTDATA("Cuenta de CANT",Tabla9,"PROV",[2]Tablas!$A$77,"SEFIS",AD$52,"CANT",[2]Tablas!$A36),0)</f>
        <v>1</v>
      </c>
      <c r="AE66" s="15">
        <f ca="1">IFERROR(GETPIVOTDATA("Cuenta de CANT",Tabla9,"PROV",[2]Tablas!$A$77,"SEFIS",AE$52,"CANT",[2]Tablas!$A36),0)</f>
        <v>0</v>
      </c>
      <c r="AF66" s="15">
        <f ca="1">IFERROR(GETPIVOTDATA("Cuenta de CANT",Tabla9,"PROV",[2]Tablas!$A$77,"SEFIS",AF$52,"CANT",[2]Tablas!$A36),0)</f>
        <v>0</v>
      </c>
      <c r="AG66" s="15">
        <f ca="1">IFERROR(GETPIVOTDATA("Cuenta de CANT",Tabla9,"PROV",[2]Tablas!$A$77,"SEFIS",AG$52,"CANT",[2]Tablas!$A36),0)</f>
        <v>0</v>
      </c>
      <c r="AH66" s="15">
        <f ca="1">IFERROR(GETPIVOTDATA("Cuenta de CANT",Tabla9,"PROV",[2]Tablas!$A$77,"SEFIS",AH$52,"CANT",[2]Tablas!$A36),0)</f>
        <v>0</v>
      </c>
      <c r="AI66" s="15">
        <f ca="1">IFERROR(GETPIVOTDATA("Cuenta de CANT",Tabla9,"PROV",[2]Tablas!$A$77,"SEFIS",AI$52,"CANT",[2]Tablas!$A36),0)</f>
        <v>0</v>
      </c>
      <c r="AJ66" s="15">
        <f ca="1">IFERROR(GETPIVOTDATA("Cuenta de CANT",Tabla9,"PROV",[2]Tablas!$A$77,"SEFIS",AJ$52,"CANT",[2]Tablas!$A36),0)</f>
        <v>1</v>
      </c>
      <c r="AK66" s="15">
        <f ca="1">IFERROR(GETPIVOTDATA("Cuenta de CANT",Tabla9,"PROV",[2]Tablas!$A$77,"SEFIS",AK$52,"CANT",[2]Tablas!$A36),0)</f>
        <v>0</v>
      </c>
      <c r="AL66" s="15">
        <f ca="1">IFERROR(GETPIVOTDATA("Cuenta de CANT",Tabla9,"PROV",[2]Tablas!$A$77,"SEFIS",AL$52,"CANT",[2]Tablas!$A36),0)</f>
        <v>1</v>
      </c>
      <c r="AM66" s="15">
        <f ca="1">IFERROR(GETPIVOTDATA("Cuenta de CANT",Tabla9,"PROV",[2]Tablas!$A$77,"SEFIS",AM$52,"CANT",[2]Tablas!$A36),0)</f>
        <v>0</v>
      </c>
      <c r="AN66" s="15">
        <f ca="1">IFERROR(GETPIVOTDATA("Cuenta de CANT",Tabla9,"PROV",[2]Tablas!$A$77,"SEFIS",AN$52,"CANT",[2]Tablas!$A36),0)</f>
        <v>0</v>
      </c>
      <c r="AO66" s="15">
        <f ca="1">IFERROR(GETPIVOTDATA("Cuenta de CANT",Tabla9,"PROV",[2]Tablas!$A$77,"SEFIS",AO$52,"CANT",[2]Tablas!$A36),0)</f>
        <v>0</v>
      </c>
      <c r="AP66" s="15">
        <f ca="1">IFERROR(GETPIVOTDATA("Cuenta de CANT",Tabla9,"PROV",[2]Tablas!$A$77,"SEFIS",AP$52,"CANT",[2]Tablas!$A36),0)</f>
        <v>2</v>
      </c>
      <c r="AQ66" s="15">
        <f ca="1">IFERROR(GETPIVOTDATA("Cuenta de CANT",Tabla9,"PROV",[2]Tablas!$A$77,"SEFIS",AQ$52,"CANT",[2]Tablas!$A36),0)</f>
        <v>0</v>
      </c>
      <c r="AR66" s="15">
        <f ca="1">IFERROR(GETPIVOTDATA("Cuenta de CANT",Tabla9,"PROV",[2]Tablas!$A$77,"SEFIS",AR$52,"CANT",[2]Tablas!$A36),0)</f>
        <v>0</v>
      </c>
      <c r="AS66" s="15">
        <f ca="1">IFERROR(GETPIVOTDATA("Cuenta de CANT",Tabla9,"PROV",[2]Tablas!$A$77,"SEFIS",AS$52,"CANT",[2]Tablas!$A36),0)</f>
        <v>0</v>
      </c>
      <c r="AT66" s="15">
        <f ca="1">IFERROR(GETPIVOTDATA("Cuenta de CANT",Tabla9,"PROV",[2]Tablas!$A$77,"SEFIS",AT$52,"CANT",[2]Tablas!$A36),0)</f>
        <v>0</v>
      </c>
      <c r="AU66" s="15">
        <f ca="1">IFERROR(GETPIVOTDATA("Cuenta de CANT",Tabla9,"PROV",[2]Tablas!$A$77,"SEFIS",AU$52,"CANT",[2]Tablas!$A36),0)</f>
        <v>0</v>
      </c>
      <c r="AV66" s="15">
        <f ca="1">IFERROR(GETPIVOTDATA("Cuenta de CANT",Tabla9,"PROV",[2]Tablas!$A$77,"SEFIS",AV$52,"CANT",[2]Tablas!$A36),0)</f>
        <v>0</v>
      </c>
      <c r="AW66" s="15">
        <f ca="1">IFERROR(GETPIVOTDATA("Cuenta de CANT",Tabla9,"PROV",[2]Tablas!$A$77,"SEFIS",AW$52,"CANT",[2]Tablas!$A36),0)</f>
        <v>1</v>
      </c>
      <c r="AX66" s="15">
        <f ca="1">IFERROR(GETPIVOTDATA("Cuenta de CANT",Tabla9,"PROV",[2]Tablas!$A$77,"SEFIS",AX$52,"CANT",[2]Tablas!$A36),0)</f>
        <v>0</v>
      </c>
      <c r="AY66" s="15">
        <f ca="1">IFERROR(GETPIVOTDATA("Cuenta de CANT",Tabla9,"PROV",[2]Tablas!$A$77,"SEFIS",AY$52,"CANT",[2]Tablas!$A36),0)</f>
        <v>0</v>
      </c>
      <c r="AZ66" s="15">
        <f ca="1">IFERROR(GETPIVOTDATA("Cuenta de CANT",Tabla9,"PROV",[2]Tablas!$A$77,"SEFIS",AZ$52,"CANT",[2]Tablas!$A36),0)</f>
        <v>0</v>
      </c>
      <c r="BA66" s="15">
        <f ca="1">IFERROR(GETPIVOTDATA("Cuenta de CANT",Tabla9,"PROV",[2]Tablas!$A$77,"SEFIS",BA$52,"CANT",[2]Tablas!$A36),0)</f>
        <v>0</v>
      </c>
      <c r="BB66" s="15">
        <f ca="1">IFERROR(GETPIVOTDATA("Cuenta de CANT",Tabla9,"PROV",[2]Tablas!$A$77,"SEFIS",BB$52,"CANT",[2]Tablas!$A36),0)</f>
        <v>0</v>
      </c>
      <c r="BC66" s="15">
        <f ca="1">IFERROR(GETPIVOTDATA("Cuenta de CANT",Tabla9,"PROV",[2]Tablas!$A$77,"SEFIS",BC$52,"CANT",[2]Tablas!$A36),0)</f>
        <v>0</v>
      </c>
      <c r="BD66" s="15">
        <f ca="1">IFERROR(GETPIVOTDATA("Cuenta de CANT",Tabla9,"PROV",[2]Tablas!$A$77,"SEFIS",BD$52,"CANT",[2]Tablas!$A36),0)</f>
        <v>0</v>
      </c>
    </row>
    <row r="67" spans="1:56" x14ac:dyDescent="0.35">
      <c r="A67" s="14" t="s">
        <v>162</v>
      </c>
      <c r="B67" s="15">
        <f t="shared" ca="1" si="8"/>
        <v>2</v>
      </c>
      <c r="C67" s="16">
        <f ca="1">IFERROR(B67/[2]Tablas!$B37*100000,"N/D")</f>
        <v>3.5236081747709656</v>
      </c>
      <c r="D67" s="15">
        <f ca="1">IFERROR(GETPIVOTDATA("Cuenta de CANT",Tabla9,"PROV",[2]Tablas!$A$77,"SEFIS",D$52,"CANT",[2]Tablas!$A37),0)</f>
        <v>1</v>
      </c>
      <c r="E67" s="15">
        <f ca="1">IFERROR(GETPIVOTDATA("Cuenta de CANT",Tabla9,"PROV",[2]Tablas!$A$77,"SEFIS",E$52,"CANT",[2]Tablas!$A37),0)</f>
        <v>0</v>
      </c>
      <c r="F67" s="15">
        <f ca="1">IFERROR(GETPIVOTDATA("Cuenta de CANT",Tabla9,"PROV",[2]Tablas!$A$77,"SEFIS",F$52,"CANT",[2]Tablas!$A37),0)</f>
        <v>0</v>
      </c>
      <c r="G67" s="15">
        <f ca="1">IFERROR(GETPIVOTDATA("Cuenta de CANT",Tabla9,"PROV",[2]Tablas!$A$77,"SEFIS",G$52,"CANT",[2]Tablas!$A37),0)</f>
        <v>0</v>
      </c>
      <c r="H67" s="15">
        <f ca="1">IFERROR(GETPIVOTDATA("Cuenta de CANT",Tabla9,"PROV",[2]Tablas!$A$77,"SEFIS",H$52,"CANT",[2]Tablas!$A37),0)</f>
        <v>0</v>
      </c>
      <c r="I67" s="15">
        <f ca="1">IFERROR(GETPIVOTDATA("Cuenta de CANT",Tabla9,"PROV",[2]Tablas!$A$77,"SEFIS",I$52,"CANT",[2]Tablas!$A37),0)</f>
        <v>0</v>
      </c>
      <c r="J67" s="15">
        <f ca="1">IFERROR(GETPIVOTDATA("Cuenta de CANT",Tabla9,"PROV",[2]Tablas!$A$77,"SEFIS",J$52,"CANT",[2]Tablas!$A37),0)</f>
        <v>0</v>
      </c>
      <c r="K67" s="15">
        <f ca="1">IFERROR(GETPIVOTDATA("Cuenta de CANT",Tabla9,"PROV",[2]Tablas!$A$77,"SEFIS",K$52,"CANT",[2]Tablas!$A37),0)</f>
        <v>1</v>
      </c>
      <c r="L67" s="15">
        <f ca="1">IFERROR(GETPIVOTDATA("Cuenta de CANT",Tabla9,"PROV",[2]Tablas!$A$77,"SEFIS",L$52,"CANT",[2]Tablas!$A37),0)</f>
        <v>0</v>
      </c>
      <c r="M67" s="15">
        <f ca="1">IFERROR(GETPIVOTDATA("Cuenta de CANT",Tabla9,"PROV",[2]Tablas!$A$77,"SEFIS",M$52,"CANT",[2]Tablas!$A37),0)</f>
        <v>0</v>
      </c>
      <c r="N67" s="15">
        <f ca="1">IFERROR(GETPIVOTDATA("Cuenta de CANT",Tabla9,"PROV",[2]Tablas!$A$77,"SEFIS",N$52,"CANT",[2]Tablas!$A37),0)</f>
        <v>0</v>
      </c>
      <c r="O67" s="15">
        <f ca="1">IFERROR(GETPIVOTDATA("Cuenta de CANT",Tabla9,"PROV",[2]Tablas!$A$77,"SEFIS",O$52,"CANT",[2]Tablas!$A37),0)</f>
        <v>0</v>
      </c>
      <c r="P67" s="15">
        <f ca="1">IFERROR(GETPIVOTDATA("Cuenta de CANT",Tabla9,"PROV",[2]Tablas!$A$77,"SEFIS",P$52,"CANT",[2]Tablas!$A37),0)</f>
        <v>0</v>
      </c>
      <c r="Q67" s="15">
        <f ca="1">IFERROR(GETPIVOTDATA("Cuenta de CANT",Tabla9,"PROV",[2]Tablas!$A$77,"SEFIS",Q$52,"CANT",[2]Tablas!$A37),0)</f>
        <v>0</v>
      </c>
      <c r="R67" s="15">
        <f ca="1">IFERROR(GETPIVOTDATA("Cuenta de CANT",Tabla9,"PROV",[2]Tablas!$A$77,"SEFIS",R$52,"CANT",[2]Tablas!$A37),0)</f>
        <v>0</v>
      </c>
      <c r="S67" s="15">
        <f ca="1">IFERROR(GETPIVOTDATA("Cuenta de CANT",Tabla9,"PROV",[2]Tablas!$A$77,"SEFIS",S$52,"CANT",[2]Tablas!$A37),0)</f>
        <v>0</v>
      </c>
      <c r="T67" s="15">
        <f ca="1">IFERROR(GETPIVOTDATA("Cuenta de CANT",Tabla9,"PROV",[2]Tablas!$A$77,"SEFIS",T$52,"CANT",[2]Tablas!$A37),0)</f>
        <v>0</v>
      </c>
      <c r="U67" s="15">
        <f ca="1">IFERROR(GETPIVOTDATA("Cuenta de CANT",Tabla9,"PROV",[2]Tablas!$A$77,"SEFIS",U$52,"CANT",[2]Tablas!$A37),0)</f>
        <v>0</v>
      </c>
      <c r="V67" s="15">
        <f ca="1">IFERROR(GETPIVOTDATA("Cuenta de CANT",Tabla9,"PROV",[2]Tablas!$A$77,"SEFIS",V$52,"CANT",[2]Tablas!$A37),0)</f>
        <v>0</v>
      </c>
      <c r="W67" s="15">
        <f ca="1">IFERROR(GETPIVOTDATA("Cuenta de CANT",Tabla9,"PROV",[2]Tablas!$A$77,"SEFIS",W$52,"CANT",[2]Tablas!$A37),0)</f>
        <v>0</v>
      </c>
      <c r="X67" s="15">
        <f ca="1">IFERROR(GETPIVOTDATA("Cuenta de CANT",Tabla9,"PROV",[2]Tablas!$A$77,"SEFIS",X$52,"CANT",[2]Tablas!$A37),0)</f>
        <v>0</v>
      </c>
      <c r="Y67" s="15">
        <f ca="1">IFERROR(GETPIVOTDATA("Cuenta de CANT",Tabla9,"PROV",[2]Tablas!$A$77,"SEFIS",Y$52,"CANT",[2]Tablas!$A37),0)</f>
        <v>0</v>
      </c>
      <c r="Z67" s="15">
        <f ca="1">IFERROR(GETPIVOTDATA("Cuenta de CANT",Tabla9,"PROV",[2]Tablas!$A$77,"SEFIS",Z$52,"CANT",[2]Tablas!$A37),0)</f>
        <v>0</v>
      </c>
      <c r="AA67" s="15">
        <f ca="1">IFERROR(GETPIVOTDATA("Cuenta de CANT",Tabla9,"PROV",[2]Tablas!$A$77,"SEFIS",AA$52,"CANT",[2]Tablas!$A37),0)</f>
        <v>0</v>
      </c>
      <c r="AB67" s="15">
        <f ca="1">IFERROR(GETPIVOTDATA("Cuenta de CANT",Tabla9,"PROV",[2]Tablas!$A$77,"SEFIS",AB$52,"CANT",[2]Tablas!$A37),0)</f>
        <v>0</v>
      </c>
      <c r="AC67" s="15">
        <f ca="1">IFERROR(GETPIVOTDATA("Cuenta de CANT",Tabla9,"PROV",[2]Tablas!$A$77,"SEFIS",AC$52,"CANT",[2]Tablas!$A37),0)</f>
        <v>0</v>
      </c>
      <c r="AD67" s="15">
        <f ca="1">IFERROR(GETPIVOTDATA("Cuenta de CANT",Tabla9,"PROV",[2]Tablas!$A$77,"SEFIS",AD$52,"CANT",[2]Tablas!$A37),0)</f>
        <v>0</v>
      </c>
      <c r="AE67" s="15">
        <f ca="1">IFERROR(GETPIVOTDATA("Cuenta de CANT",Tabla9,"PROV",[2]Tablas!$A$77,"SEFIS",AE$52,"CANT",[2]Tablas!$A37),0)</f>
        <v>0</v>
      </c>
      <c r="AF67" s="15">
        <f ca="1">IFERROR(GETPIVOTDATA("Cuenta de CANT",Tabla9,"PROV",[2]Tablas!$A$77,"SEFIS",AF$52,"CANT",[2]Tablas!$A37),0)</f>
        <v>0</v>
      </c>
      <c r="AG67" s="15">
        <f ca="1">IFERROR(GETPIVOTDATA("Cuenta de CANT",Tabla9,"PROV",[2]Tablas!$A$77,"SEFIS",AG$52,"CANT",[2]Tablas!$A37),0)</f>
        <v>0</v>
      </c>
      <c r="AH67" s="15">
        <f ca="1">IFERROR(GETPIVOTDATA("Cuenta de CANT",Tabla9,"PROV",[2]Tablas!$A$77,"SEFIS",AH$52,"CANT",[2]Tablas!$A37),0)</f>
        <v>0</v>
      </c>
      <c r="AI67" s="15">
        <f ca="1">IFERROR(GETPIVOTDATA("Cuenta de CANT",Tabla9,"PROV",[2]Tablas!$A$77,"SEFIS",AI$52,"CANT",[2]Tablas!$A37),0)</f>
        <v>0</v>
      </c>
      <c r="AJ67" s="15">
        <f ca="1">IFERROR(GETPIVOTDATA("Cuenta de CANT",Tabla9,"PROV",[2]Tablas!$A$77,"SEFIS",AJ$52,"CANT",[2]Tablas!$A37),0)</f>
        <v>0</v>
      </c>
      <c r="AK67" s="15">
        <f ca="1">IFERROR(GETPIVOTDATA("Cuenta de CANT",Tabla9,"PROV",[2]Tablas!$A$77,"SEFIS",AK$52,"CANT",[2]Tablas!$A37),0)</f>
        <v>0</v>
      </c>
      <c r="AL67" s="15">
        <f ca="1">IFERROR(GETPIVOTDATA("Cuenta de CANT",Tabla9,"PROV",[2]Tablas!$A$77,"SEFIS",AL$52,"CANT",[2]Tablas!$A37),0)</f>
        <v>0</v>
      </c>
      <c r="AM67" s="15">
        <f ca="1">IFERROR(GETPIVOTDATA("Cuenta de CANT",Tabla9,"PROV",[2]Tablas!$A$77,"SEFIS",AM$52,"CANT",[2]Tablas!$A37),0)</f>
        <v>0</v>
      </c>
      <c r="AN67" s="15">
        <f ca="1">IFERROR(GETPIVOTDATA("Cuenta de CANT",Tabla9,"PROV",[2]Tablas!$A$77,"SEFIS",AN$52,"CANT",[2]Tablas!$A37),0)</f>
        <v>0</v>
      </c>
      <c r="AO67" s="15">
        <f ca="1">IFERROR(GETPIVOTDATA("Cuenta de CANT",Tabla9,"PROV",[2]Tablas!$A$77,"SEFIS",AO$52,"CANT",[2]Tablas!$A37),0)</f>
        <v>0</v>
      </c>
      <c r="AP67" s="15">
        <f ca="1">IFERROR(GETPIVOTDATA("Cuenta de CANT",Tabla9,"PROV",[2]Tablas!$A$77,"SEFIS",AP$52,"CANT",[2]Tablas!$A37),0)</f>
        <v>0</v>
      </c>
      <c r="AQ67" s="15">
        <f ca="1">IFERROR(GETPIVOTDATA("Cuenta de CANT",Tabla9,"PROV",[2]Tablas!$A$77,"SEFIS",AQ$52,"CANT",[2]Tablas!$A37),0)</f>
        <v>0</v>
      </c>
      <c r="AR67" s="15">
        <f ca="1">IFERROR(GETPIVOTDATA("Cuenta de CANT",Tabla9,"PROV",[2]Tablas!$A$77,"SEFIS",AR$52,"CANT",[2]Tablas!$A37),0)</f>
        <v>0</v>
      </c>
      <c r="AS67" s="15">
        <f ca="1">IFERROR(GETPIVOTDATA("Cuenta de CANT",Tabla9,"PROV",[2]Tablas!$A$77,"SEFIS",AS$52,"CANT",[2]Tablas!$A37),0)</f>
        <v>0</v>
      </c>
      <c r="AT67" s="15">
        <f ca="1">IFERROR(GETPIVOTDATA("Cuenta de CANT",Tabla9,"PROV",[2]Tablas!$A$77,"SEFIS",AT$52,"CANT",[2]Tablas!$A37),0)</f>
        <v>0</v>
      </c>
      <c r="AU67" s="15">
        <f ca="1">IFERROR(GETPIVOTDATA("Cuenta de CANT",Tabla9,"PROV",[2]Tablas!$A$77,"SEFIS",AU$52,"CANT",[2]Tablas!$A37),0)</f>
        <v>0</v>
      </c>
      <c r="AV67" s="15">
        <f ca="1">IFERROR(GETPIVOTDATA("Cuenta de CANT",Tabla9,"PROV",[2]Tablas!$A$77,"SEFIS",AV$52,"CANT",[2]Tablas!$A37),0)</f>
        <v>0</v>
      </c>
      <c r="AW67" s="15">
        <f ca="1">IFERROR(GETPIVOTDATA("Cuenta de CANT",Tabla9,"PROV",[2]Tablas!$A$77,"SEFIS",AW$52,"CANT",[2]Tablas!$A37),0)</f>
        <v>0</v>
      </c>
      <c r="AX67" s="15">
        <f ca="1">IFERROR(GETPIVOTDATA("Cuenta de CANT",Tabla9,"PROV",[2]Tablas!$A$77,"SEFIS",AX$52,"CANT",[2]Tablas!$A37),0)</f>
        <v>0</v>
      </c>
      <c r="AY67" s="15">
        <f ca="1">IFERROR(GETPIVOTDATA("Cuenta de CANT",Tabla9,"PROV",[2]Tablas!$A$77,"SEFIS",AY$52,"CANT",[2]Tablas!$A37),0)</f>
        <v>0</v>
      </c>
      <c r="AZ67" s="15">
        <f ca="1">IFERROR(GETPIVOTDATA("Cuenta de CANT",Tabla9,"PROV",[2]Tablas!$A$77,"SEFIS",AZ$52,"CANT",[2]Tablas!$A37),0)</f>
        <v>0</v>
      </c>
      <c r="BA67" s="15">
        <f ca="1">IFERROR(GETPIVOTDATA("Cuenta de CANT",Tabla9,"PROV",[2]Tablas!$A$77,"SEFIS",BA$52,"CANT",[2]Tablas!$A37),0)</f>
        <v>0</v>
      </c>
      <c r="BB67" s="15">
        <f ca="1">IFERROR(GETPIVOTDATA("Cuenta de CANT",Tabla9,"PROV",[2]Tablas!$A$77,"SEFIS",BB$52,"CANT",[2]Tablas!$A37),0)</f>
        <v>0</v>
      </c>
      <c r="BC67" s="15">
        <f ca="1">IFERROR(GETPIVOTDATA("Cuenta de CANT",Tabla9,"PROV",[2]Tablas!$A$77,"SEFIS",BC$52,"CANT",[2]Tablas!$A37),0)</f>
        <v>0</v>
      </c>
      <c r="BD67" s="15">
        <f ca="1">IFERROR(GETPIVOTDATA("Cuenta de CANT",Tabla9,"PROV",[2]Tablas!$A$77,"SEFIS",BD$52,"CANT",[2]Tablas!$A37),0)</f>
        <v>0</v>
      </c>
    </row>
    <row r="68" spans="1:56" x14ac:dyDescent="0.35">
      <c r="A68" s="14" t="s">
        <v>163</v>
      </c>
      <c r="B68" s="15">
        <f t="shared" ca="1" si="8"/>
        <v>8</v>
      </c>
      <c r="C68" s="16">
        <f ca="1">IFERROR(B68/[2]Tablas!$B38*100000,"N/D")</f>
        <v>34.062845950779192</v>
      </c>
      <c r="D68" s="15">
        <f ca="1">IFERROR(GETPIVOTDATA("Cuenta de CANT",Tabla9,"PROV",[2]Tablas!$A$77,"SEFIS",D$52,"CANT",[2]Tablas!$A38),0)</f>
        <v>1</v>
      </c>
      <c r="E68" s="15">
        <f ca="1">IFERROR(GETPIVOTDATA("Cuenta de CANT",Tabla9,"PROV",[2]Tablas!$A$77,"SEFIS",E$52,"CANT",[2]Tablas!$A38),0)</f>
        <v>0</v>
      </c>
      <c r="F68" s="15">
        <f ca="1">IFERROR(GETPIVOTDATA("Cuenta de CANT",Tabla9,"PROV",[2]Tablas!$A$77,"SEFIS",F$52,"CANT",[2]Tablas!$A38),0)</f>
        <v>0</v>
      </c>
      <c r="G68" s="15">
        <f ca="1">IFERROR(GETPIVOTDATA("Cuenta de CANT",Tabla9,"PROV",[2]Tablas!$A$77,"SEFIS",G$52,"CANT",[2]Tablas!$A38),0)</f>
        <v>1</v>
      </c>
      <c r="H68" s="15">
        <f ca="1">IFERROR(GETPIVOTDATA("Cuenta de CANT",Tabla9,"PROV",[2]Tablas!$A$77,"SEFIS",H$52,"CANT",[2]Tablas!$A38),0)</f>
        <v>0</v>
      </c>
      <c r="I68" s="15">
        <f ca="1">IFERROR(GETPIVOTDATA("Cuenta de CANT",Tabla9,"PROV",[2]Tablas!$A$77,"SEFIS",I$52,"CANT",[2]Tablas!$A38),0)</f>
        <v>0</v>
      </c>
      <c r="J68" s="15">
        <f ca="1">IFERROR(GETPIVOTDATA("Cuenta de CANT",Tabla9,"PROV",[2]Tablas!$A$77,"SEFIS",J$52,"CANT",[2]Tablas!$A38),0)</f>
        <v>0</v>
      </c>
      <c r="K68" s="15">
        <f ca="1">IFERROR(GETPIVOTDATA("Cuenta de CANT",Tabla9,"PROV",[2]Tablas!$A$77,"SEFIS",K$52,"CANT",[2]Tablas!$A38),0)</f>
        <v>0</v>
      </c>
      <c r="L68" s="15">
        <f ca="1">IFERROR(GETPIVOTDATA("Cuenta de CANT",Tabla9,"PROV",[2]Tablas!$A$77,"SEFIS",L$52,"CANT",[2]Tablas!$A38),0)</f>
        <v>0</v>
      </c>
      <c r="M68" s="15">
        <f ca="1">IFERROR(GETPIVOTDATA("Cuenta de CANT",Tabla9,"PROV",[2]Tablas!$A$77,"SEFIS",M$52,"CANT",[2]Tablas!$A38),0)</f>
        <v>0</v>
      </c>
      <c r="N68" s="15">
        <f ca="1">IFERROR(GETPIVOTDATA("Cuenta de CANT",Tabla9,"PROV",[2]Tablas!$A$77,"SEFIS",N$52,"CANT",[2]Tablas!$A38),0)</f>
        <v>0</v>
      </c>
      <c r="O68" s="15">
        <f ca="1">IFERROR(GETPIVOTDATA("Cuenta de CANT",Tabla9,"PROV",[2]Tablas!$A$77,"SEFIS",O$52,"CANT",[2]Tablas!$A38),0)</f>
        <v>0</v>
      </c>
      <c r="P68" s="15">
        <f ca="1">IFERROR(GETPIVOTDATA("Cuenta de CANT",Tabla9,"PROV",[2]Tablas!$A$77,"SEFIS",P$52,"CANT",[2]Tablas!$A38),0)</f>
        <v>0</v>
      </c>
      <c r="Q68" s="15">
        <f ca="1">IFERROR(GETPIVOTDATA("Cuenta de CANT",Tabla9,"PROV",[2]Tablas!$A$77,"SEFIS",Q$52,"CANT",[2]Tablas!$A38),0)</f>
        <v>1</v>
      </c>
      <c r="R68" s="15">
        <f ca="1">IFERROR(GETPIVOTDATA("Cuenta de CANT",Tabla9,"PROV",[2]Tablas!$A$77,"SEFIS",R$52,"CANT",[2]Tablas!$A38),0)</f>
        <v>0</v>
      </c>
      <c r="S68" s="15">
        <f ca="1">IFERROR(GETPIVOTDATA("Cuenta de CANT",Tabla9,"PROV",[2]Tablas!$A$77,"SEFIS",S$52,"CANT",[2]Tablas!$A38),0)</f>
        <v>0</v>
      </c>
      <c r="T68" s="15">
        <f ca="1">IFERROR(GETPIVOTDATA("Cuenta de CANT",Tabla9,"PROV",[2]Tablas!$A$77,"SEFIS",T$52,"CANT",[2]Tablas!$A38),0)</f>
        <v>0</v>
      </c>
      <c r="U68" s="15">
        <f ca="1">IFERROR(GETPIVOTDATA("Cuenta de CANT",Tabla9,"PROV",[2]Tablas!$A$77,"SEFIS",U$52,"CANT",[2]Tablas!$A38),0)</f>
        <v>0</v>
      </c>
      <c r="V68" s="15">
        <f ca="1">IFERROR(GETPIVOTDATA("Cuenta de CANT",Tabla9,"PROV",[2]Tablas!$A$77,"SEFIS",V$52,"CANT",[2]Tablas!$A38),0)</f>
        <v>0</v>
      </c>
      <c r="W68" s="15">
        <f ca="1">IFERROR(GETPIVOTDATA("Cuenta de CANT",Tabla9,"PROV",[2]Tablas!$A$77,"SEFIS",W$52,"CANT",[2]Tablas!$A38),0)</f>
        <v>0</v>
      </c>
      <c r="X68" s="15">
        <f ca="1">IFERROR(GETPIVOTDATA("Cuenta de CANT",Tabla9,"PROV",[2]Tablas!$A$77,"SEFIS",X$52,"CANT",[2]Tablas!$A38),0)</f>
        <v>0</v>
      </c>
      <c r="Y68" s="15">
        <f ca="1">IFERROR(GETPIVOTDATA("Cuenta de CANT",Tabla9,"PROV",[2]Tablas!$A$77,"SEFIS",Y$52,"CANT",[2]Tablas!$A38),0)</f>
        <v>0</v>
      </c>
      <c r="Z68" s="15">
        <f ca="1">IFERROR(GETPIVOTDATA("Cuenta de CANT",Tabla9,"PROV",[2]Tablas!$A$77,"SEFIS",Z$52,"CANT",[2]Tablas!$A38),0)</f>
        <v>0</v>
      </c>
      <c r="AA68" s="15">
        <f ca="1">IFERROR(GETPIVOTDATA("Cuenta de CANT",Tabla9,"PROV",[2]Tablas!$A$77,"SEFIS",AA$52,"CANT",[2]Tablas!$A38),0)</f>
        <v>0</v>
      </c>
      <c r="AB68" s="15">
        <f ca="1">IFERROR(GETPIVOTDATA("Cuenta de CANT",Tabla9,"PROV",[2]Tablas!$A$77,"SEFIS",AB$52,"CANT",[2]Tablas!$A38),0)</f>
        <v>1</v>
      </c>
      <c r="AC68" s="15">
        <f ca="1">IFERROR(GETPIVOTDATA("Cuenta de CANT",Tabla9,"PROV",[2]Tablas!$A$77,"SEFIS",AC$52,"CANT",[2]Tablas!$A38),0)</f>
        <v>1</v>
      </c>
      <c r="AD68" s="15">
        <f ca="1">IFERROR(GETPIVOTDATA("Cuenta de CANT",Tabla9,"PROV",[2]Tablas!$A$77,"SEFIS",AD$52,"CANT",[2]Tablas!$A38),0)</f>
        <v>0</v>
      </c>
      <c r="AE68" s="15">
        <f ca="1">IFERROR(GETPIVOTDATA("Cuenta de CANT",Tabla9,"PROV",[2]Tablas!$A$77,"SEFIS",AE$52,"CANT",[2]Tablas!$A38),0)</f>
        <v>0</v>
      </c>
      <c r="AF68" s="15">
        <f ca="1">IFERROR(GETPIVOTDATA("Cuenta de CANT",Tabla9,"PROV",[2]Tablas!$A$77,"SEFIS",AF$52,"CANT",[2]Tablas!$A38),0)</f>
        <v>0</v>
      </c>
      <c r="AG68" s="15">
        <f ca="1">IFERROR(GETPIVOTDATA("Cuenta de CANT",Tabla9,"PROV",[2]Tablas!$A$77,"SEFIS",AG$52,"CANT",[2]Tablas!$A38),0)</f>
        <v>0</v>
      </c>
      <c r="AH68" s="15">
        <f ca="1">IFERROR(GETPIVOTDATA("Cuenta de CANT",Tabla9,"PROV",[2]Tablas!$A$77,"SEFIS",AH$52,"CANT",[2]Tablas!$A38),0)</f>
        <v>0</v>
      </c>
      <c r="AI68" s="15">
        <f ca="1">IFERROR(GETPIVOTDATA("Cuenta de CANT",Tabla9,"PROV",[2]Tablas!$A$77,"SEFIS",AI$52,"CANT",[2]Tablas!$A38),0)</f>
        <v>1</v>
      </c>
      <c r="AJ68" s="15">
        <f ca="1">IFERROR(GETPIVOTDATA("Cuenta de CANT",Tabla9,"PROV",[2]Tablas!$A$77,"SEFIS",AJ$52,"CANT",[2]Tablas!$A38),0)</f>
        <v>0</v>
      </c>
      <c r="AK68" s="15">
        <f ca="1">IFERROR(GETPIVOTDATA("Cuenta de CANT",Tabla9,"PROV",[2]Tablas!$A$77,"SEFIS",AK$52,"CANT",[2]Tablas!$A38),0)</f>
        <v>2</v>
      </c>
      <c r="AL68" s="15">
        <f ca="1">IFERROR(GETPIVOTDATA("Cuenta de CANT",Tabla9,"PROV",[2]Tablas!$A$77,"SEFIS",AL$52,"CANT",[2]Tablas!$A38),0)</f>
        <v>0</v>
      </c>
      <c r="AM68" s="15">
        <f ca="1">IFERROR(GETPIVOTDATA("Cuenta de CANT",Tabla9,"PROV",[2]Tablas!$A$77,"SEFIS",AM$52,"CANT",[2]Tablas!$A38),0)</f>
        <v>0</v>
      </c>
      <c r="AN68" s="15">
        <f ca="1">IFERROR(GETPIVOTDATA("Cuenta de CANT",Tabla9,"PROV",[2]Tablas!$A$77,"SEFIS",AN$52,"CANT",[2]Tablas!$A38),0)</f>
        <v>0</v>
      </c>
      <c r="AO68" s="15">
        <f ca="1">IFERROR(GETPIVOTDATA("Cuenta de CANT",Tabla9,"PROV",[2]Tablas!$A$77,"SEFIS",AO$52,"CANT",[2]Tablas!$A38),0)</f>
        <v>0</v>
      </c>
      <c r="AP68" s="15">
        <f ca="1">IFERROR(GETPIVOTDATA("Cuenta de CANT",Tabla9,"PROV",[2]Tablas!$A$77,"SEFIS",AP$52,"CANT",[2]Tablas!$A38),0)</f>
        <v>0</v>
      </c>
      <c r="AQ68" s="15">
        <f ca="1">IFERROR(GETPIVOTDATA("Cuenta de CANT",Tabla9,"PROV",[2]Tablas!$A$77,"SEFIS",AQ$52,"CANT",[2]Tablas!$A38),0)</f>
        <v>0</v>
      </c>
      <c r="AR68" s="15">
        <f ca="1">IFERROR(GETPIVOTDATA("Cuenta de CANT",Tabla9,"PROV",[2]Tablas!$A$77,"SEFIS",AR$52,"CANT",[2]Tablas!$A38),0)</f>
        <v>0</v>
      </c>
      <c r="AS68" s="15">
        <f ca="1">IFERROR(GETPIVOTDATA("Cuenta de CANT",Tabla9,"PROV",[2]Tablas!$A$77,"SEFIS",AS$52,"CANT",[2]Tablas!$A38),0)</f>
        <v>0</v>
      </c>
      <c r="AT68" s="15">
        <f ca="1">IFERROR(GETPIVOTDATA("Cuenta de CANT",Tabla9,"PROV",[2]Tablas!$A$77,"SEFIS",AT$52,"CANT",[2]Tablas!$A38),0)</f>
        <v>0</v>
      </c>
      <c r="AU68" s="15">
        <f ca="1">IFERROR(GETPIVOTDATA("Cuenta de CANT",Tabla9,"PROV",[2]Tablas!$A$77,"SEFIS",AU$52,"CANT",[2]Tablas!$A38),0)</f>
        <v>0</v>
      </c>
      <c r="AV68" s="15">
        <f ca="1">IFERROR(GETPIVOTDATA("Cuenta de CANT",Tabla9,"PROV",[2]Tablas!$A$77,"SEFIS",AV$52,"CANT",[2]Tablas!$A38),0)</f>
        <v>0</v>
      </c>
      <c r="AW68" s="15">
        <f ca="1">IFERROR(GETPIVOTDATA("Cuenta de CANT",Tabla9,"PROV",[2]Tablas!$A$77,"SEFIS",AW$52,"CANT",[2]Tablas!$A38),0)</f>
        <v>0</v>
      </c>
      <c r="AX68" s="15">
        <f ca="1">IFERROR(GETPIVOTDATA("Cuenta de CANT",Tabla9,"PROV",[2]Tablas!$A$77,"SEFIS",AX$52,"CANT",[2]Tablas!$A38),0)</f>
        <v>0</v>
      </c>
      <c r="AY68" s="15">
        <f ca="1">IFERROR(GETPIVOTDATA("Cuenta de CANT",Tabla9,"PROV",[2]Tablas!$A$77,"SEFIS",AY$52,"CANT",[2]Tablas!$A38),0)</f>
        <v>0</v>
      </c>
      <c r="AZ68" s="15">
        <f ca="1">IFERROR(GETPIVOTDATA("Cuenta de CANT",Tabla9,"PROV",[2]Tablas!$A$77,"SEFIS",AZ$52,"CANT",[2]Tablas!$A38),0)</f>
        <v>0</v>
      </c>
      <c r="BA68" s="15">
        <f ca="1">IFERROR(GETPIVOTDATA("Cuenta de CANT",Tabla9,"PROV",[2]Tablas!$A$77,"SEFIS",BA$52,"CANT",[2]Tablas!$A38),0)</f>
        <v>0</v>
      </c>
      <c r="BB68" s="15">
        <f ca="1">IFERROR(GETPIVOTDATA("Cuenta de CANT",Tabla9,"PROV",[2]Tablas!$A$77,"SEFIS",BB$52,"CANT",[2]Tablas!$A38),0)</f>
        <v>0</v>
      </c>
      <c r="BC68" s="15">
        <f ca="1">IFERROR(GETPIVOTDATA("Cuenta de CANT",Tabla9,"PROV",[2]Tablas!$A$77,"SEFIS",BC$52,"CANT",[2]Tablas!$A38),0)</f>
        <v>0</v>
      </c>
      <c r="BD68" s="15">
        <f ca="1">IFERROR(GETPIVOTDATA("Cuenta de CANT",Tabla9,"PROV",[2]Tablas!$A$77,"SEFIS",BD$52,"CANT",[2]Tablas!$A38),0)</f>
        <v>0</v>
      </c>
    </row>
    <row r="69" spans="1:56" x14ac:dyDescent="0.35">
      <c r="A69" s="14" t="s">
        <v>164</v>
      </c>
      <c r="B69" s="15">
        <f t="shared" ca="1" si="8"/>
        <v>36</v>
      </c>
      <c r="C69" s="16">
        <f ca="1">IFERROR(B69/[2]Tablas!$B39*100000,"N/D")</f>
        <v>135.80805794477141</v>
      </c>
      <c r="D69" s="15">
        <f ca="1">IFERROR(GETPIVOTDATA("Cuenta de CANT",Tabla9,"PROV",[2]Tablas!$A$77,"SEFIS",D$52,"CANT",[2]Tablas!$A39),0)</f>
        <v>1</v>
      </c>
      <c r="E69" s="15">
        <f ca="1">IFERROR(GETPIVOTDATA("Cuenta de CANT",Tabla9,"PROV",[2]Tablas!$A$77,"SEFIS",E$52,"CANT",[2]Tablas!$A39),0)</f>
        <v>0</v>
      </c>
      <c r="F69" s="15">
        <f ca="1">IFERROR(GETPIVOTDATA("Cuenta de CANT",Tabla9,"PROV",[2]Tablas!$A$77,"SEFIS",F$52,"CANT",[2]Tablas!$A39),0)</f>
        <v>1</v>
      </c>
      <c r="G69" s="15">
        <f ca="1">IFERROR(GETPIVOTDATA("Cuenta de CANT",Tabla9,"PROV",[2]Tablas!$A$77,"SEFIS",G$52,"CANT",[2]Tablas!$A39),0)</f>
        <v>0</v>
      </c>
      <c r="H69" s="15">
        <f ca="1">IFERROR(GETPIVOTDATA("Cuenta de CANT",Tabla9,"PROV",[2]Tablas!$A$77,"SEFIS",H$52,"CANT",[2]Tablas!$A39),0)</f>
        <v>1</v>
      </c>
      <c r="I69" s="15">
        <f ca="1">IFERROR(GETPIVOTDATA("Cuenta de CANT",Tabla9,"PROV",[2]Tablas!$A$77,"SEFIS",I$52,"CANT",[2]Tablas!$A39),0)</f>
        <v>0</v>
      </c>
      <c r="J69" s="15">
        <f ca="1">IFERROR(GETPIVOTDATA("Cuenta de CANT",Tabla9,"PROV",[2]Tablas!$A$77,"SEFIS",J$52,"CANT",[2]Tablas!$A39),0)</f>
        <v>0</v>
      </c>
      <c r="K69" s="15">
        <f ca="1">IFERROR(GETPIVOTDATA("Cuenta de CANT",Tabla9,"PROV",[2]Tablas!$A$77,"SEFIS",K$52,"CANT",[2]Tablas!$A39),0)</f>
        <v>0</v>
      </c>
      <c r="L69" s="15">
        <f ca="1">IFERROR(GETPIVOTDATA("Cuenta de CANT",Tabla9,"PROV",[2]Tablas!$A$77,"SEFIS",L$52,"CANT",[2]Tablas!$A39),0)</f>
        <v>0</v>
      </c>
      <c r="M69" s="15">
        <f ca="1">IFERROR(GETPIVOTDATA("Cuenta de CANT",Tabla9,"PROV",[2]Tablas!$A$77,"SEFIS",M$52,"CANT",[2]Tablas!$A39),0)</f>
        <v>0</v>
      </c>
      <c r="N69" s="15">
        <f ca="1">IFERROR(GETPIVOTDATA("Cuenta de CANT",Tabla9,"PROV",[2]Tablas!$A$77,"SEFIS",N$52,"CANT",[2]Tablas!$A39),0)</f>
        <v>0</v>
      </c>
      <c r="O69" s="15">
        <f ca="1">IFERROR(GETPIVOTDATA("Cuenta de CANT",Tabla9,"PROV",[2]Tablas!$A$77,"SEFIS",O$52,"CANT",[2]Tablas!$A39),0)</f>
        <v>0</v>
      </c>
      <c r="P69" s="15">
        <f ca="1">IFERROR(GETPIVOTDATA("Cuenta de CANT",Tabla9,"PROV",[2]Tablas!$A$77,"SEFIS",P$52,"CANT",[2]Tablas!$A39),0)</f>
        <v>0</v>
      </c>
      <c r="Q69" s="15">
        <f ca="1">IFERROR(GETPIVOTDATA("Cuenta de CANT",Tabla9,"PROV",[2]Tablas!$A$77,"SEFIS",Q$52,"CANT",[2]Tablas!$A39),0)</f>
        <v>0</v>
      </c>
      <c r="R69" s="15">
        <f ca="1">IFERROR(GETPIVOTDATA("Cuenta de CANT",Tabla9,"PROV",[2]Tablas!$A$77,"SEFIS",R$52,"CANT",[2]Tablas!$A39),0)</f>
        <v>0</v>
      </c>
      <c r="S69" s="15">
        <f ca="1">IFERROR(GETPIVOTDATA("Cuenta de CANT",Tabla9,"PROV",[2]Tablas!$A$77,"SEFIS",S$52,"CANT",[2]Tablas!$A39),0)</f>
        <v>0</v>
      </c>
      <c r="T69" s="15">
        <f ca="1">IFERROR(GETPIVOTDATA("Cuenta de CANT",Tabla9,"PROV",[2]Tablas!$A$77,"SEFIS",T$52,"CANT",[2]Tablas!$A39),0)</f>
        <v>0</v>
      </c>
      <c r="U69" s="15">
        <f ca="1">IFERROR(GETPIVOTDATA("Cuenta de CANT",Tabla9,"PROV",[2]Tablas!$A$77,"SEFIS",U$52,"CANT",[2]Tablas!$A39),0)</f>
        <v>0</v>
      </c>
      <c r="V69" s="15">
        <f ca="1">IFERROR(GETPIVOTDATA("Cuenta de CANT",Tabla9,"PROV",[2]Tablas!$A$77,"SEFIS",V$52,"CANT",[2]Tablas!$A39),0)</f>
        <v>1</v>
      </c>
      <c r="W69" s="15">
        <f ca="1">IFERROR(GETPIVOTDATA("Cuenta de CANT",Tabla9,"PROV",[2]Tablas!$A$77,"SEFIS",W$52,"CANT",[2]Tablas!$A39),0)</f>
        <v>0</v>
      </c>
      <c r="X69" s="15">
        <f ca="1">IFERROR(GETPIVOTDATA("Cuenta de CANT",Tabla9,"PROV",[2]Tablas!$A$77,"SEFIS",X$52,"CANT",[2]Tablas!$A39),0)</f>
        <v>0</v>
      </c>
      <c r="Y69" s="15">
        <f ca="1">IFERROR(GETPIVOTDATA("Cuenta de CANT",Tabla9,"PROV",[2]Tablas!$A$77,"SEFIS",Y$52,"CANT",[2]Tablas!$A39),0)</f>
        <v>0</v>
      </c>
      <c r="Z69" s="15">
        <f ca="1">IFERROR(GETPIVOTDATA("Cuenta de CANT",Tabla9,"PROV",[2]Tablas!$A$77,"SEFIS",Z$52,"CANT",[2]Tablas!$A39),0)</f>
        <v>0</v>
      </c>
      <c r="AA69" s="15">
        <f ca="1">IFERROR(GETPIVOTDATA("Cuenta de CANT",Tabla9,"PROV",[2]Tablas!$A$77,"SEFIS",AA$52,"CANT",[2]Tablas!$A39),0)</f>
        <v>0</v>
      </c>
      <c r="AB69" s="15">
        <f ca="1">IFERROR(GETPIVOTDATA("Cuenta de CANT",Tabla9,"PROV",[2]Tablas!$A$77,"SEFIS",AB$52,"CANT",[2]Tablas!$A39),0)</f>
        <v>0</v>
      </c>
      <c r="AC69" s="15">
        <f ca="1">IFERROR(GETPIVOTDATA("Cuenta de CANT",Tabla9,"PROV",[2]Tablas!$A$77,"SEFIS",AC$52,"CANT",[2]Tablas!$A39),0)</f>
        <v>0</v>
      </c>
      <c r="AD69" s="15">
        <f ca="1">IFERROR(GETPIVOTDATA("Cuenta de CANT",Tabla9,"PROV",[2]Tablas!$A$77,"SEFIS",AD$52,"CANT",[2]Tablas!$A39),0)</f>
        <v>0</v>
      </c>
      <c r="AE69" s="15">
        <f ca="1">IFERROR(GETPIVOTDATA("Cuenta de CANT",Tabla9,"PROV",[2]Tablas!$A$77,"SEFIS",AE$52,"CANT",[2]Tablas!$A39),0)</f>
        <v>0</v>
      </c>
      <c r="AF69" s="15">
        <f ca="1">IFERROR(GETPIVOTDATA("Cuenta de CANT",Tabla9,"PROV",[2]Tablas!$A$77,"SEFIS",AF$52,"CANT",[2]Tablas!$A39),0)</f>
        <v>0</v>
      </c>
      <c r="AG69" s="15">
        <f ca="1">IFERROR(GETPIVOTDATA("Cuenta de CANT",Tabla9,"PROV",[2]Tablas!$A$77,"SEFIS",AG$52,"CANT",[2]Tablas!$A39),0)</f>
        <v>0</v>
      </c>
      <c r="AH69" s="15">
        <f ca="1">IFERROR(GETPIVOTDATA("Cuenta de CANT",Tabla9,"PROV",[2]Tablas!$A$77,"SEFIS",AH$52,"CANT",[2]Tablas!$A39),0)</f>
        <v>1</v>
      </c>
      <c r="AI69" s="15">
        <f ca="1">IFERROR(GETPIVOTDATA("Cuenta de CANT",Tabla9,"PROV",[2]Tablas!$A$77,"SEFIS",AI$52,"CANT",[2]Tablas!$A39),0)</f>
        <v>8</v>
      </c>
      <c r="AJ69" s="15">
        <f ca="1">IFERROR(GETPIVOTDATA("Cuenta de CANT",Tabla9,"PROV",[2]Tablas!$A$77,"SEFIS",AJ$52,"CANT",[2]Tablas!$A39),0)</f>
        <v>3</v>
      </c>
      <c r="AK69" s="15">
        <f ca="1">IFERROR(GETPIVOTDATA("Cuenta de CANT",Tabla9,"PROV",[2]Tablas!$A$77,"SEFIS",AK$52,"CANT",[2]Tablas!$A39),0)</f>
        <v>2</v>
      </c>
      <c r="AL69" s="15">
        <f ca="1">IFERROR(GETPIVOTDATA("Cuenta de CANT",Tabla9,"PROV",[2]Tablas!$A$77,"SEFIS",AL$52,"CANT",[2]Tablas!$A39),0)</f>
        <v>0</v>
      </c>
      <c r="AM69" s="15">
        <f ca="1">IFERROR(GETPIVOTDATA("Cuenta de CANT",Tabla9,"PROV",[2]Tablas!$A$77,"SEFIS",AM$52,"CANT",[2]Tablas!$A39),0)</f>
        <v>2</v>
      </c>
      <c r="AN69" s="15">
        <f ca="1">IFERROR(GETPIVOTDATA("Cuenta de CANT",Tabla9,"PROV",[2]Tablas!$A$77,"SEFIS",AN$52,"CANT",[2]Tablas!$A39),0)</f>
        <v>2</v>
      </c>
      <c r="AO69" s="15">
        <f ca="1">IFERROR(GETPIVOTDATA("Cuenta de CANT",Tabla9,"PROV",[2]Tablas!$A$77,"SEFIS",AO$52,"CANT",[2]Tablas!$A39),0)</f>
        <v>2</v>
      </c>
      <c r="AP69" s="15">
        <f ca="1">IFERROR(GETPIVOTDATA("Cuenta de CANT",Tabla9,"PROV",[2]Tablas!$A$77,"SEFIS",AP$52,"CANT",[2]Tablas!$A39),0)</f>
        <v>0</v>
      </c>
      <c r="AQ69" s="15">
        <f ca="1">IFERROR(GETPIVOTDATA("Cuenta de CANT",Tabla9,"PROV",[2]Tablas!$A$77,"SEFIS",AQ$52,"CANT",[2]Tablas!$A39),0)</f>
        <v>0</v>
      </c>
      <c r="AR69" s="15">
        <f ca="1">IFERROR(GETPIVOTDATA("Cuenta de CANT",Tabla9,"PROV",[2]Tablas!$A$77,"SEFIS",AR$52,"CANT",[2]Tablas!$A39),0)</f>
        <v>1</v>
      </c>
      <c r="AS69" s="15">
        <f ca="1">IFERROR(GETPIVOTDATA("Cuenta de CANT",Tabla9,"PROV",[2]Tablas!$A$77,"SEFIS",AS$52,"CANT",[2]Tablas!$A39),0)</f>
        <v>1</v>
      </c>
      <c r="AT69" s="15">
        <f ca="1">IFERROR(GETPIVOTDATA("Cuenta de CANT",Tabla9,"PROV",[2]Tablas!$A$77,"SEFIS",AT$52,"CANT",[2]Tablas!$A39),0)</f>
        <v>0</v>
      </c>
      <c r="AU69" s="15">
        <f ca="1">IFERROR(GETPIVOTDATA("Cuenta de CANT",Tabla9,"PROV",[2]Tablas!$A$77,"SEFIS",AU$52,"CANT",[2]Tablas!$A39),0)</f>
        <v>1</v>
      </c>
      <c r="AV69" s="15">
        <f ca="1">IFERROR(GETPIVOTDATA("Cuenta de CANT",Tabla9,"PROV",[2]Tablas!$A$77,"SEFIS",AV$52,"CANT",[2]Tablas!$A39),0)</f>
        <v>2</v>
      </c>
      <c r="AW69" s="15">
        <f ca="1">IFERROR(GETPIVOTDATA("Cuenta de CANT",Tabla9,"PROV",[2]Tablas!$A$77,"SEFIS",AW$52,"CANT",[2]Tablas!$A39),0)</f>
        <v>4</v>
      </c>
      <c r="AX69" s="15">
        <f ca="1">IFERROR(GETPIVOTDATA("Cuenta de CANT",Tabla9,"PROV",[2]Tablas!$A$77,"SEFIS",AX$52,"CANT",[2]Tablas!$A39),0)</f>
        <v>0</v>
      </c>
      <c r="AY69" s="15">
        <f ca="1">IFERROR(GETPIVOTDATA("Cuenta de CANT",Tabla9,"PROV",[2]Tablas!$A$77,"SEFIS",AY$52,"CANT",[2]Tablas!$A39),0)</f>
        <v>1</v>
      </c>
      <c r="AZ69" s="15">
        <f ca="1">IFERROR(GETPIVOTDATA("Cuenta de CANT",Tabla9,"PROV",[2]Tablas!$A$77,"SEFIS",AZ$52,"CANT",[2]Tablas!$A39),0)</f>
        <v>2</v>
      </c>
      <c r="BA69" s="15">
        <f ca="1">IFERROR(GETPIVOTDATA("Cuenta de CANT",Tabla9,"PROV",[2]Tablas!$A$77,"SEFIS",BA$52,"CANT",[2]Tablas!$A39),0)</f>
        <v>0</v>
      </c>
      <c r="BB69" s="15">
        <f ca="1">IFERROR(GETPIVOTDATA("Cuenta de CANT",Tabla9,"PROV",[2]Tablas!$A$77,"SEFIS",BB$52,"CANT",[2]Tablas!$A39),0)</f>
        <v>0</v>
      </c>
      <c r="BC69" s="15">
        <f ca="1">IFERROR(GETPIVOTDATA("Cuenta de CANT",Tabla9,"PROV",[2]Tablas!$A$77,"SEFIS",BC$52,"CANT",[2]Tablas!$A39),0)</f>
        <v>0</v>
      </c>
      <c r="BD69" s="15">
        <f ca="1">IFERROR(GETPIVOTDATA("Cuenta de CANT",Tabla9,"PROV",[2]Tablas!$A$77,"SEFIS",BD$52,"CANT",[2]Tablas!$A39),0)</f>
        <v>0</v>
      </c>
    </row>
    <row r="70" spans="1:56" x14ac:dyDescent="0.35">
      <c r="A70" s="14" t="s">
        <v>165</v>
      </c>
      <c r="B70" s="15">
        <f t="shared" ca="1" si="8"/>
        <v>7</v>
      </c>
      <c r="C70" s="16">
        <f ca="1">IFERROR(B70/[2]Tablas!$B40*100000,"N/D")</f>
        <v>31.594150568694708</v>
      </c>
      <c r="D70" s="15">
        <f ca="1">IFERROR(GETPIVOTDATA("Cuenta de CANT",Tabla9,"PROV",[2]Tablas!$A$77,"SEFIS",D$52,"CANT",[2]Tablas!$A40),0)</f>
        <v>0</v>
      </c>
      <c r="E70" s="15">
        <f ca="1">IFERROR(GETPIVOTDATA("Cuenta de CANT",Tabla9,"PROV",[2]Tablas!$A$77,"SEFIS",E$52,"CANT",[2]Tablas!$A40),0)</f>
        <v>0</v>
      </c>
      <c r="F70" s="15">
        <f ca="1">IFERROR(GETPIVOTDATA("Cuenta de CANT",Tabla9,"PROV",[2]Tablas!$A$77,"SEFIS",F$52,"CANT",[2]Tablas!$A40),0)</f>
        <v>1</v>
      </c>
      <c r="G70" s="15">
        <f ca="1">IFERROR(GETPIVOTDATA("Cuenta de CANT",Tabla9,"PROV",[2]Tablas!$A$77,"SEFIS",G$52,"CANT",[2]Tablas!$A40),0)</f>
        <v>0</v>
      </c>
      <c r="H70" s="15">
        <f ca="1">IFERROR(GETPIVOTDATA("Cuenta de CANT",Tabla9,"PROV",[2]Tablas!$A$77,"SEFIS",H$52,"CANT",[2]Tablas!$A40),0)</f>
        <v>0</v>
      </c>
      <c r="I70" s="15">
        <f ca="1">IFERROR(GETPIVOTDATA("Cuenta de CANT",Tabla9,"PROV",[2]Tablas!$A$77,"SEFIS",I$52,"CANT",[2]Tablas!$A40),0)</f>
        <v>0</v>
      </c>
      <c r="J70" s="15">
        <f ca="1">IFERROR(GETPIVOTDATA("Cuenta de CANT",Tabla9,"PROV",[2]Tablas!$A$77,"SEFIS",J$52,"CANT",[2]Tablas!$A40),0)</f>
        <v>0</v>
      </c>
      <c r="K70" s="15">
        <f ca="1">IFERROR(GETPIVOTDATA("Cuenta de CANT",Tabla9,"PROV",[2]Tablas!$A$77,"SEFIS",K$52,"CANT",[2]Tablas!$A40),0)</f>
        <v>0</v>
      </c>
      <c r="L70" s="15">
        <f ca="1">IFERROR(GETPIVOTDATA("Cuenta de CANT",Tabla9,"PROV",[2]Tablas!$A$77,"SEFIS",L$52,"CANT",[2]Tablas!$A40),0)</f>
        <v>0</v>
      </c>
      <c r="M70" s="15">
        <f ca="1">IFERROR(GETPIVOTDATA("Cuenta de CANT",Tabla9,"PROV",[2]Tablas!$A$77,"SEFIS",M$52,"CANT",[2]Tablas!$A40),0)</f>
        <v>0</v>
      </c>
      <c r="N70" s="15">
        <f ca="1">IFERROR(GETPIVOTDATA("Cuenta de CANT",Tabla9,"PROV",[2]Tablas!$A$77,"SEFIS",N$52,"CANT",[2]Tablas!$A40),0)</f>
        <v>0</v>
      </c>
      <c r="O70" s="15">
        <f ca="1">IFERROR(GETPIVOTDATA("Cuenta de CANT",Tabla9,"PROV",[2]Tablas!$A$77,"SEFIS",O$52,"CANT",[2]Tablas!$A40),0)</f>
        <v>0</v>
      </c>
      <c r="P70" s="15">
        <f ca="1">IFERROR(GETPIVOTDATA("Cuenta de CANT",Tabla9,"PROV",[2]Tablas!$A$77,"SEFIS",P$52,"CANT",[2]Tablas!$A40),0)</f>
        <v>0</v>
      </c>
      <c r="Q70" s="15">
        <f ca="1">IFERROR(GETPIVOTDATA("Cuenta de CANT",Tabla9,"PROV",[2]Tablas!$A$77,"SEFIS",Q$52,"CANT",[2]Tablas!$A40),0)</f>
        <v>0</v>
      </c>
      <c r="R70" s="15">
        <f ca="1">IFERROR(GETPIVOTDATA("Cuenta de CANT",Tabla9,"PROV",[2]Tablas!$A$77,"SEFIS",R$52,"CANT",[2]Tablas!$A40),0)</f>
        <v>1</v>
      </c>
      <c r="S70" s="15">
        <f ca="1">IFERROR(GETPIVOTDATA("Cuenta de CANT",Tabla9,"PROV",[2]Tablas!$A$77,"SEFIS",S$52,"CANT",[2]Tablas!$A40),0)</f>
        <v>0</v>
      </c>
      <c r="T70" s="15">
        <f ca="1">IFERROR(GETPIVOTDATA("Cuenta de CANT",Tabla9,"PROV",[2]Tablas!$A$77,"SEFIS",T$52,"CANT",[2]Tablas!$A40),0)</f>
        <v>1</v>
      </c>
      <c r="U70" s="15">
        <f ca="1">IFERROR(GETPIVOTDATA("Cuenta de CANT",Tabla9,"PROV",[2]Tablas!$A$77,"SEFIS",U$52,"CANT",[2]Tablas!$A40),0)</f>
        <v>0</v>
      </c>
      <c r="V70" s="15">
        <f ca="1">IFERROR(GETPIVOTDATA("Cuenta de CANT",Tabla9,"PROV",[2]Tablas!$A$77,"SEFIS",V$52,"CANT",[2]Tablas!$A40),0)</f>
        <v>0</v>
      </c>
      <c r="W70" s="15">
        <f ca="1">IFERROR(GETPIVOTDATA("Cuenta de CANT",Tabla9,"PROV",[2]Tablas!$A$77,"SEFIS",W$52,"CANT",[2]Tablas!$A40),0)</f>
        <v>0</v>
      </c>
      <c r="X70" s="15">
        <f ca="1">IFERROR(GETPIVOTDATA("Cuenta de CANT",Tabla9,"PROV",[2]Tablas!$A$77,"SEFIS",X$52,"CANT",[2]Tablas!$A40),0)</f>
        <v>0</v>
      </c>
      <c r="Y70" s="15">
        <f ca="1">IFERROR(GETPIVOTDATA("Cuenta de CANT",Tabla9,"PROV",[2]Tablas!$A$77,"SEFIS",Y$52,"CANT",[2]Tablas!$A40),0)</f>
        <v>0</v>
      </c>
      <c r="Z70" s="15">
        <f ca="1">IFERROR(GETPIVOTDATA("Cuenta de CANT",Tabla9,"PROV",[2]Tablas!$A$77,"SEFIS",Z$52,"CANT",[2]Tablas!$A40),0)</f>
        <v>1</v>
      </c>
      <c r="AA70" s="15">
        <f ca="1">IFERROR(GETPIVOTDATA("Cuenta de CANT",Tabla9,"PROV",[2]Tablas!$A$77,"SEFIS",AA$52,"CANT",[2]Tablas!$A40),0)</f>
        <v>0</v>
      </c>
      <c r="AB70" s="15">
        <f ca="1">IFERROR(GETPIVOTDATA("Cuenta de CANT",Tabla9,"PROV",[2]Tablas!$A$77,"SEFIS",AB$52,"CANT",[2]Tablas!$A40),0)</f>
        <v>0</v>
      </c>
      <c r="AC70" s="15">
        <f ca="1">IFERROR(GETPIVOTDATA("Cuenta de CANT",Tabla9,"PROV",[2]Tablas!$A$77,"SEFIS",AC$52,"CANT",[2]Tablas!$A40),0)</f>
        <v>1</v>
      </c>
      <c r="AD70" s="15">
        <f ca="1">IFERROR(GETPIVOTDATA("Cuenta de CANT",Tabla9,"PROV",[2]Tablas!$A$77,"SEFIS",AD$52,"CANT",[2]Tablas!$A40),0)</f>
        <v>0</v>
      </c>
      <c r="AE70" s="15">
        <f ca="1">IFERROR(GETPIVOTDATA("Cuenta de CANT",Tabla9,"PROV",[2]Tablas!$A$77,"SEFIS",AE$52,"CANT",[2]Tablas!$A40),0)</f>
        <v>0</v>
      </c>
      <c r="AF70" s="15">
        <f ca="1">IFERROR(GETPIVOTDATA("Cuenta de CANT",Tabla9,"PROV",[2]Tablas!$A$77,"SEFIS",AF$52,"CANT",[2]Tablas!$A40),0)</f>
        <v>0</v>
      </c>
      <c r="AG70" s="15">
        <f ca="1">IFERROR(GETPIVOTDATA("Cuenta de CANT",Tabla9,"PROV",[2]Tablas!$A$77,"SEFIS",AG$52,"CANT",[2]Tablas!$A40),0)</f>
        <v>0</v>
      </c>
      <c r="AH70" s="15">
        <f ca="1">IFERROR(GETPIVOTDATA("Cuenta de CANT",Tabla9,"PROV",[2]Tablas!$A$77,"SEFIS",AH$52,"CANT",[2]Tablas!$A40),0)</f>
        <v>0</v>
      </c>
      <c r="AI70" s="15">
        <f ca="1">IFERROR(GETPIVOTDATA("Cuenta de CANT",Tabla9,"PROV",[2]Tablas!$A$77,"SEFIS",AI$52,"CANT",[2]Tablas!$A40),0)</f>
        <v>1</v>
      </c>
      <c r="AJ70" s="15">
        <f ca="1">IFERROR(GETPIVOTDATA("Cuenta de CANT",Tabla9,"PROV",[2]Tablas!$A$77,"SEFIS",AJ$52,"CANT",[2]Tablas!$A40),0)</f>
        <v>0</v>
      </c>
      <c r="AK70" s="15">
        <f ca="1">IFERROR(GETPIVOTDATA("Cuenta de CANT",Tabla9,"PROV",[2]Tablas!$A$77,"SEFIS",AK$52,"CANT",[2]Tablas!$A40),0)</f>
        <v>0</v>
      </c>
      <c r="AL70" s="15">
        <f ca="1">IFERROR(GETPIVOTDATA("Cuenta de CANT",Tabla9,"PROV",[2]Tablas!$A$77,"SEFIS",AL$52,"CANT",[2]Tablas!$A40),0)</f>
        <v>0</v>
      </c>
      <c r="AM70" s="15">
        <f ca="1">IFERROR(GETPIVOTDATA("Cuenta de CANT",Tabla9,"PROV",[2]Tablas!$A$77,"SEFIS",AM$52,"CANT",[2]Tablas!$A40),0)</f>
        <v>0</v>
      </c>
      <c r="AN70" s="15">
        <f ca="1">IFERROR(GETPIVOTDATA("Cuenta de CANT",Tabla9,"PROV",[2]Tablas!$A$77,"SEFIS",AN$52,"CANT",[2]Tablas!$A40),0)</f>
        <v>0</v>
      </c>
      <c r="AO70" s="15">
        <f ca="1">IFERROR(GETPIVOTDATA("Cuenta de CANT",Tabla9,"PROV",[2]Tablas!$A$77,"SEFIS",AO$52,"CANT",[2]Tablas!$A40),0)</f>
        <v>0</v>
      </c>
      <c r="AP70" s="15">
        <f ca="1">IFERROR(GETPIVOTDATA("Cuenta de CANT",Tabla9,"PROV",[2]Tablas!$A$77,"SEFIS",AP$52,"CANT",[2]Tablas!$A40),0)</f>
        <v>0</v>
      </c>
      <c r="AQ70" s="15">
        <f ca="1">IFERROR(GETPIVOTDATA("Cuenta de CANT",Tabla9,"PROV",[2]Tablas!$A$77,"SEFIS",AQ$52,"CANT",[2]Tablas!$A40),0)</f>
        <v>1</v>
      </c>
      <c r="AR70" s="15">
        <f ca="1">IFERROR(GETPIVOTDATA("Cuenta de CANT",Tabla9,"PROV",[2]Tablas!$A$77,"SEFIS",AR$52,"CANT",[2]Tablas!$A40),0)</f>
        <v>0</v>
      </c>
      <c r="AS70" s="15">
        <f ca="1">IFERROR(GETPIVOTDATA("Cuenta de CANT",Tabla9,"PROV",[2]Tablas!$A$77,"SEFIS",AS$52,"CANT",[2]Tablas!$A40),0)</f>
        <v>0</v>
      </c>
      <c r="AT70" s="15">
        <f ca="1">IFERROR(GETPIVOTDATA("Cuenta de CANT",Tabla9,"PROV",[2]Tablas!$A$77,"SEFIS",AT$52,"CANT",[2]Tablas!$A40),0)</f>
        <v>0</v>
      </c>
      <c r="AU70" s="15">
        <f ca="1">IFERROR(GETPIVOTDATA("Cuenta de CANT",Tabla9,"PROV",[2]Tablas!$A$77,"SEFIS",AU$52,"CANT",[2]Tablas!$A40),0)</f>
        <v>0</v>
      </c>
      <c r="AV70" s="15">
        <f ca="1">IFERROR(GETPIVOTDATA("Cuenta de CANT",Tabla9,"PROV",[2]Tablas!$A$77,"SEFIS",AV$52,"CANT",[2]Tablas!$A40),0)</f>
        <v>0</v>
      </c>
      <c r="AW70" s="15">
        <f ca="1">IFERROR(GETPIVOTDATA("Cuenta de CANT",Tabla9,"PROV",[2]Tablas!$A$77,"SEFIS",AW$52,"CANT",[2]Tablas!$A40),0)</f>
        <v>0</v>
      </c>
      <c r="AX70" s="15">
        <f ca="1">IFERROR(GETPIVOTDATA("Cuenta de CANT",Tabla9,"PROV",[2]Tablas!$A$77,"SEFIS",AX$52,"CANT",[2]Tablas!$A40),0)</f>
        <v>0</v>
      </c>
      <c r="AY70" s="15">
        <f ca="1">IFERROR(GETPIVOTDATA("Cuenta de CANT",Tabla9,"PROV",[2]Tablas!$A$77,"SEFIS",AY$52,"CANT",[2]Tablas!$A40),0)</f>
        <v>0</v>
      </c>
      <c r="AZ70" s="15">
        <f ca="1">IFERROR(GETPIVOTDATA("Cuenta de CANT",Tabla9,"PROV",[2]Tablas!$A$77,"SEFIS",AZ$52,"CANT",[2]Tablas!$A40),0)</f>
        <v>0</v>
      </c>
      <c r="BA70" s="15">
        <f ca="1">IFERROR(GETPIVOTDATA("Cuenta de CANT",Tabla9,"PROV",[2]Tablas!$A$77,"SEFIS",BA$52,"CANT",[2]Tablas!$A40),0)</f>
        <v>0</v>
      </c>
      <c r="BB70" s="15">
        <f ca="1">IFERROR(GETPIVOTDATA("Cuenta de CANT",Tabla9,"PROV",[2]Tablas!$A$77,"SEFIS",BB$52,"CANT",[2]Tablas!$A40),0)</f>
        <v>0</v>
      </c>
      <c r="BC70" s="15">
        <f ca="1">IFERROR(GETPIVOTDATA("Cuenta de CANT",Tabla9,"PROV",[2]Tablas!$A$77,"SEFIS",BC$52,"CANT",[2]Tablas!$A40),0)</f>
        <v>0</v>
      </c>
      <c r="BD70" s="15">
        <f ca="1">IFERROR(GETPIVOTDATA("Cuenta de CANT",Tabla9,"PROV",[2]Tablas!$A$77,"SEFIS",BD$52,"CANT",[2]Tablas!$A40),0)</f>
        <v>0</v>
      </c>
    </row>
    <row r="71" spans="1:56" x14ac:dyDescent="0.35">
      <c r="A71" s="14" t="s">
        <v>166</v>
      </c>
      <c r="B71" s="15">
        <f t="shared" ca="1" si="8"/>
        <v>11</v>
      </c>
      <c r="C71" s="16">
        <f ca="1">IFERROR(B71/[2]Tablas!$B41*100000,"N/D")</f>
        <v>36.122422172599499</v>
      </c>
      <c r="D71" s="15">
        <f ca="1">IFERROR(GETPIVOTDATA("Cuenta de CANT",Tabla9,"PROV",[2]Tablas!$A$77,"SEFIS",D$52,"CANT",[2]Tablas!$A41),0)</f>
        <v>0</v>
      </c>
      <c r="E71" s="15">
        <f ca="1">IFERROR(GETPIVOTDATA("Cuenta de CANT",Tabla9,"PROV",[2]Tablas!$A$77,"SEFIS",E$52,"CANT",[2]Tablas!$A41),0)</f>
        <v>0</v>
      </c>
      <c r="F71" s="15">
        <f ca="1">IFERROR(GETPIVOTDATA("Cuenta de CANT",Tabla9,"PROV",[2]Tablas!$A$77,"SEFIS",F$52,"CANT",[2]Tablas!$A41),0)</f>
        <v>0</v>
      </c>
      <c r="G71" s="15">
        <f ca="1">IFERROR(GETPIVOTDATA("Cuenta de CANT",Tabla9,"PROV",[2]Tablas!$A$77,"SEFIS",G$52,"CANT",[2]Tablas!$A41),0)</f>
        <v>0</v>
      </c>
      <c r="H71" s="15">
        <f ca="1">IFERROR(GETPIVOTDATA("Cuenta de CANT",Tabla9,"PROV",[2]Tablas!$A$77,"SEFIS",H$52,"CANT",[2]Tablas!$A41),0)</f>
        <v>0</v>
      </c>
      <c r="I71" s="15">
        <f ca="1">IFERROR(GETPIVOTDATA("Cuenta de CANT",Tabla9,"PROV",[2]Tablas!$A$77,"SEFIS",I$52,"CANT",[2]Tablas!$A41),0)</f>
        <v>1</v>
      </c>
      <c r="J71" s="15">
        <f ca="1">IFERROR(GETPIVOTDATA("Cuenta de CANT",Tabla9,"PROV",[2]Tablas!$A$77,"SEFIS",J$52,"CANT",[2]Tablas!$A41),0)</f>
        <v>0</v>
      </c>
      <c r="K71" s="15">
        <f ca="1">IFERROR(GETPIVOTDATA("Cuenta de CANT",Tabla9,"PROV",[2]Tablas!$A$77,"SEFIS",K$52,"CANT",[2]Tablas!$A41),0)</f>
        <v>0</v>
      </c>
      <c r="L71" s="15">
        <f ca="1">IFERROR(GETPIVOTDATA("Cuenta de CANT",Tabla9,"PROV",[2]Tablas!$A$77,"SEFIS",L$52,"CANT",[2]Tablas!$A41),0)</f>
        <v>0</v>
      </c>
      <c r="M71" s="15">
        <f ca="1">IFERROR(GETPIVOTDATA("Cuenta de CANT",Tabla9,"PROV",[2]Tablas!$A$77,"SEFIS",M$52,"CANT",[2]Tablas!$A41),0)</f>
        <v>0</v>
      </c>
      <c r="N71" s="15">
        <f ca="1">IFERROR(GETPIVOTDATA("Cuenta de CANT",Tabla9,"PROV",[2]Tablas!$A$77,"SEFIS",N$52,"CANT",[2]Tablas!$A41),0)</f>
        <v>1</v>
      </c>
      <c r="O71" s="15">
        <f ca="1">IFERROR(GETPIVOTDATA("Cuenta de CANT",Tabla9,"PROV",[2]Tablas!$A$77,"SEFIS",O$52,"CANT",[2]Tablas!$A41),0)</f>
        <v>0</v>
      </c>
      <c r="P71" s="15">
        <f ca="1">IFERROR(GETPIVOTDATA("Cuenta de CANT",Tabla9,"PROV",[2]Tablas!$A$77,"SEFIS",P$52,"CANT",[2]Tablas!$A41),0)</f>
        <v>0</v>
      </c>
      <c r="Q71" s="15">
        <f ca="1">IFERROR(GETPIVOTDATA("Cuenta de CANT",Tabla9,"PROV",[2]Tablas!$A$77,"SEFIS",Q$52,"CANT",[2]Tablas!$A41),0)</f>
        <v>0</v>
      </c>
      <c r="R71" s="15">
        <f ca="1">IFERROR(GETPIVOTDATA("Cuenta de CANT",Tabla9,"PROV",[2]Tablas!$A$77,"SEFIS",R$52,"CANT",[2]Tablas!$A41),0)</f>
        <v>0</v>
      </c>
      <c r="S71" s="15">
        <f ca="1">IFERROR(GETPIVOTDATA("Cuenta de CANT",Tabla9,"PROV",[2]Tablas!$A$77,"SEFIS",S$52,"CANT",[2]Tablas!$A41),0)</f>
        <v>0</v>
      </c>
      <c r="T71" s="15">
        <f ca="1">IFERROR(GETPIVOTDATA("Cuenta de CANT",Tabla9,"PROV",[2]Tablas!$A$77,"SEFIS",T$52,"CANT",[2]Tablas!$A41),0)</f>
        <v>0</v>
      </c>
      <c r="U71" s="15">
        <f ca="1">IFERROR(GETPIVOTDATA("Cuenta de CANT",Tabla9,"PROV",[2]Tablas!$A$77,"SEFIS",U$52,"CANT",[2]Tablas!$A41),0)</f>
        <v>0</v>
      </c>
      <c r="V71" s="15">
        <f ca="1">IFERROR(GETPIVOTDATA("Cuenta de CANT",Tabla9,"PROV",[2]Tablas!$A$77,"SEFIS",V$52,"CANT",[2]Tablas!$A41),0)</f>
        <v>0</v>
      </c>
      <c r="W71" s="15">
        <f ca="1">IFERROR(GETPIVOTDATA("Cuenta de CANT",Tabla9,"PROV",[2]Tablas!$A$77,"SEFIS",W$52,"CANT",[2]Tablas!$A41),0)</f>
        <v>0</v>
      </c>
      <c r="X71" s="15">
        <f ca="1">IFERROR(GETPIVOTDATA("Cuenta de CANT",Tabla9,"PROV",[2]Tablas!$A$77,"SEFIS",X$52,"CANT",[2]Tablas!$A41),0)</f>
        <v>0</v>
      </c>
      <c r="Y71" s="15">
        <f ca="1">IFERROR(GETPIVOTDATA("Cuenta de CANT",Tabla9,"PROV",[2]Tablas!$A$77,"SEFIS",Y$52,"CANT",[2]Tablas!$A41),0)</f>
        <v>0</v>
      </c>
      <c r="Z71" s="15">
        <f ca="1">IFERROR(GETPIVOTDATA("Cuenta de CANT",Tabla9,"PROV",[2]Tablas!$A$77,"SEFIS",Z$52,"CANT",[2]Tablas!$A41),0)</f>
        <v>0</v>
      </c>
      <c r="AA71" s="15">
        <f ca="1">IFERROR(GETPIVOTDATA("Cuenta de CANT",Tabla9,"PROV",[2]Tablas!$A$77,"SEFIS",AA$52,"CANT",[2]Tablas!$A41),0)</f>
        <v>0</v>
      </c>
      <c r="AB71" s="15">
        <f ca="1">IFERROR(GETPIVOTDATA("Cuenta de CANT",Tabla9,"PROV",[2]Tablas!$A$77,"SEFIS",AB$52,"CANT",[2]Tablas!$A41),0)</f>
        <v>0</v>
      </c>
      <c r="AC71" s="15">
        <f ca="1">IFERROR(GETPIVOTDATA("Cuenta de CANT",Tabla9,"PROV",[2]Tablas!$A$77,"SEFIS",AC$52,"CANT",[2]Tablas!$A41),0)</f>
        <v>0</v>
      </c>
      <c r="AD71" s="15">
        <f ca="1">IFERROR(GETPIVOTDATA("Cuenta de CANT",Tabla9,"PROV",[2]Tablas!$A$77,"SEFIS",AD$52,"CANT",[2]Tablas!$A41),0)</f>
        <v>0</v>
      </c>
      <c r="AE71" s="15">
        <f ca="1">IFERROR(GETPIVOTDATA("Cuenta de CANT",Tabla9,"PROV",[2]Tablas!$A$77,"SEFIS",AE$52,"CANT",[2]Tablas!$A41),0)</f>
        <v>0</v>
      </c>
      <c r="AF71" s="15">
        <f ca="1">IFERROR(GETPIVOTDATA("Cuenta de CANT",Tabla9,"PROV",[2]Tablas!$A$77,"SEFIS",AF$52,"CANT",[2]Tablas!$A41),0)</f>
        <v>0</v>
      </c>
      <c r="AG71" s="15">
        <f ca="1">IFERROR(GETPIVOTDATA("Cuenta de CANT",Tabla9,"PROV",[2]Tablas!$A$77,"SEFIS",AG$52,"CANT",[2]Tablas!$A41),0)</f>
        <v>1</v>
      </c>
      <c r="AH71" s="15">
        <f ca="1">IFERROR(GETPIVOTDATA("Cuenta de CANT",Tabla9,"PROV",[2]Tablas!$A$77,"SEFIS",AH$52,"CANT",[2]Tablas!$A41),0)</f>
        <v>0</v>
      </c>
      <c r="AI71" s="15">
        <f ca="1">IFERROR(GETPIVOTDATA("Cuenta de CANT",Tabla9,"PROV",[2]Tablas!$A$77,"SEFIS",AI$52,"CANT",[2]Tablas!$A41),0)</f>
        <v>0</v>
      </c>
      <c r="AJ71" s="15">
        <f ca="1">IFERROR(GETPIVOTDATA("Cuenta de CANT",Tabla9,"PROV",[2]Tablas!$A$77,"SEFIS",AJ$52,"CANT",[2]Tablas!$A41),0)</f>
        <v>0</v>
      </c>
      <c r="AK71" s="15">
        <f ca="1">IFERROR(GETPIVOTDATA("Cuenta de CANT",Tabla9,"PROV",[2]Tablas!$A$77,"SEFIS",AK$52,"CANT",[2]Tablas!$A41),0)</f>
        <v>0</v>
      </c>
      <c r="AL71" s="15">
        <f ca="1">IFERROR(GETPIVOTDATA("Cuenta de CANT",Tabla9,"PROV",[2]Tablas!$A$77,"SEFIS",AL$52,"CANT",[2]Tablas!$A41),0)</f>
        <v>0</v>
      </c>
      <c r="AM71" s="15">
        <f ca="1">IFERROR(GETPIVOTDATA("Cuenta de CANT",Tabla9,"PROV",[2]Tablas!$A$77,"SEFIS",AM$52,"CANT",[2]Tablas!$A41),0)</f>
        <v>1</v>
      </c>
      <c r="AN71" s="15">
        <f ca="1">IFERROR(GETPIVOTDATA("Cuenta de CANT",Tabla9,"PROV",[2]Tablas!$A$77,"SEFIS",AN$52,"CANT",[2]Tablas!$A41),0)</f>
        <v>0</v>
      </c>
      <c r="AO71" s="15">
        <f ca="1">IFERROR(GETPIVOTDATA("Cuenta de CANT",Tabla9,"PROV",[2]Tablas!$A$77,"SEFIS",AO$52,"CANT",[2]Tablas!$A41),0)</f>
        <v>1</v>
      </c>
      <c r="AP71" s="15">
        <f ca="1">IFERROR(GETPIVOTDATA("Cuenta de CANT",Tabla9,"PROV",[2]Tablas!$A$77,"SEFIS",AP$52,"CANT",[2]Tablas!$A41),0)</f>
        <v>0</v>
      </c>
      <c r="AQ71" s="15">
        <f ca="1">IFERROR(GETPIVOTDATA("Cuenta de CANT",Tabla9,"PROV",[2]Tablas!$A$77,"SEFIS",AQ$52,"CANT",[2]Tablas!$A41),0)</f>
        <v>0</v>
      </c>
      <c r="AR71" s="15">
        <f ca="1">IFERROR(GETPIVOTDATA("Cuenta de CANT",Tabla9,"PROV",[2]Tablas!$A$77,"SEFIS",AR$52,"CANT",[2]Tablas!$A41),0)</f>
        <v>0</v>
      </c>
      <c r="AS71" s="15">
        <f ca="1">IFERROR(GETPIVOTDATA("Cuenta de CANT",Tabla9,"PROV",[2]Tablas!$A$77,"SEFIS",AS$52,"CANT",[2]Tablas!$A41),0)</f>
        <v>0</v>
      </c>
      <c r="AT71" s="15">
        <f ca="1">IFERROR(GETPIVOTDATA("Cuenta de CANT",Tabla9,"PROV",[2]Tablas!$A$77,"SEFIS",AT$52,"CANT",[2]Tablas!$A41),0)</f>
        <v>1</v>
      </c>
      <c r="AU71" s="15">
        <f ca="1">IFERROR(GETPIVOTDATA("Cuenta de CANT",Tabla9,"PROV",[2]Tablas!$A$77,"SEFIS",AU$52,"CANT",[2]Tablas!$A41),0)</f>
        <v>1</v>
      </c>
      <c r="AV71" s="15">
        <f ca="1">IFERROR(GETPIVOTDATA("Cuenta de CANT",Tabla9,"PROV",[2]Tablas!$A$77,"SEFIS",AV$52,"CANT",[2]Tablas!$A41),0)</f>
        <v>1</v>
      </c>
      <c r="AW71" s="15">
        <f ca="1">IFERROR(GETPIVOTDATA("Cuenta de CANT",Tabla9,"PROV",[2]Tablas!$A$77,"SEFIS",AW$52,"CANT",[2]Tablas!$A41),0)</f>
        <v>0</v>
      </c>
      <c r="AX71" s="15">
        <f ca="1">IFERROR(GETPIVOTDATA("Cuenta de CANT",Tabla9,"PROV",[2]Tablas!$A$77,"SEFIS",AX$52,"CANT",[2]Tablas!$A41),0)</f>
        <v>1</v>
      </c>
      <c r="AY71" s="15">
        <f ca="1">IFERROR(GETPIVOTDATA("Cuenta de CANT",Tabla9,"PROV",[2]Tablas!$A$77,"SEFIS",AY$52,"CANT",[2]Tablas!$A41),0)</f>
        <v>1</v>
      </c>
      <c r="AZ71" s="15">
        <f ca="1">IFERROR(GETPIVOTDATA("Cuenta de CANT",Tabla9,"PROV",[2]Tablas!$A$77,"SEFIS",AZ$52,"CANT",[2]Tablas!$A41),0)</f>
        <v>0</v>
      </c>
      <c r="BA71" s="15">
        <f ca="1">IFERROR(GETPIVOTDATA("Cuenta de CANT",Tabla9,"PROV",[2]Tablas!$A$77,"SEFIS",BA$52,"CANT",[2]Tablas!$A41),0)</f>
        <v>1</v>
      </c>
      <c r="BB71" s="15">
        <f ca="1">IFERROR(GETPIVOTDATA("Cuenta de CANT",Tabla9,"PROV",[2]Tablas!$A$77,"SEFIS",BB$52,"CANT",[2]Tablas!$A41),0)</f>
        <v>0</v>
      </c>
      <c r="BC71" s="15">
        <f ca="1">IFERROR(GETPIVOTDATA("Cuenta de CANT",Tabla9,"PROV",[2]Tablas!$A$77,"SEFIS",BC$52,"CANT",[2]Tablas!$A41),0)</f>
        <v>0</v>
      </c>
      <c r="BD71" s="15">
        <f ca="1">IFERROR(GETPIVOTDATA("Cuenta de CANT",Tabla9,"PROV",[2]Tablas!$A$77,"SEFIS",BD$52,"CANT",[2]Tablas!$A41),0)</f>
        <v>0</v>
      </c>
    </row>
    <row r="72" spans="1:56" x14ac:dyDescent="0.35">
      <c r="A72" s="14" t="s">
        <v>167</v>
      </c>
      <c r="B72" s="15">
        <f t="shared" ca="1" si="8"/>
        <v>56</v>
      </c>
      <c r="C72" s="16">
        <f ca="1">IFERROR(B72/[2]Tablas!$B42*100000,"N/D")</f>
        <v>58.040109861636523</v>
      </c>
      <c r="D72" s="15">
        <f ca="1">IFERROR(GETPIVOTDATA("Cuenta de CANT",Tabla9,"PROV",[2]Tablas!$A$77,"SEFIS",D$52,"CANT",[2]Tablas!$A42),0)</f>
        <v>0</v>
      </c>
      <c r="E72" s="15">
        <f ca="1">IFERROR(GETPIVOTDATA("Cuenta de CANT",Tabla9,"PROV",[2]Tablas!$A$77,"SEFIS",E$52,"CANT",[2]Tablas!$A42),0)</f>
        <v>1</v>
      </c>
      <c r="F72" s="15">
        <f ca="1">IFERROR(GETPIVOTDATA("Cuenta de CANT",Tabla9,"PROV",[2]Tablas!$A$77,"SEFIS",F$52,"CANT",[2]Tablas!$A42),0)</f>
        <v>2</v>
      </c>
      <c r="G72" s="15">
        <f ca="1">IFERROR(GETPIVOTDATA("Cuenta de CANT",Tabla9,"PROV",[2]Tablas!$A$77,"SEFIS",G$52,"CANT",[2]Tablas!$A42),0)</f>
        <v>3</v>
      </c>
      <c r="H72" s="15">
        <f ca="1">IFERROR(GETPIVOTDATA("Cuenta de CANT",Tabla9,"PROV",[2]Tablas!$A$77,"SEFIS",H$52,"CANT",[2]Tablas!$A42),0)</f>
        <v>0</v>
      </c>
      <c r="I72" s="15">
        <f ca="1">IFERROR(GETPIVOTDATA("Cuenta de CANT",Tabla9,"PROV",[2]Tablas!$A$77,"SEFIS",I$52,"CANT",[2]Tablas!$A42),0)</f>
        <v>1</v>
      </c>
      <c r="J72" s="15">
        <f ca="1">IFERROR(GETPIVOTDATA("Cuenta de CANT",Tabla9,"PROV",[2]Tablas!$A$77,"SEFIS",J$52,"CANT",[2]Tablas!$A42),0)</f>
        <v>0</v>
      </c>
      <c r="K72" s="15">
        <f ca="1">IFERROR(GETPIVOTDATA("Cuenta de CANT",Tabla9,"PROV",[2]Tablas!$A$77,"SEFIS",K$52,"CANT",[2]Tablas!$A42),0)</f>
        <v>2</v>
      </c>
      <c r="L72" s="15">
        <f ca="1">IFERROR(GETPIVOTDATA("Cuenta de CANT",Tabla9,"PROV",[2]Tablas!$A$77,"SEFIS",L$52,"CANT",[2]Tablas!$A42),0)</f>
        <v>3</v>
      </c>
      <c r="M72" s="15">
        <f ca="1">IFERROR(GETPIVOTDATA("Cuenta de CANT",Tabla9,"PROV",[2]Tablas!$A$77,"SEFIS",M$52,"CANT",[2]Tablas!$A42),0)</f>
        <v>0</v>
      </c>
      <c r="N72" s="15">
        <f ca="1">IFERROR(GETPIVOTDATA("Cuenta de CANT",Tabla9,"PROV",[2]Tablas!$A$77,"SEFIS",N$52,"CANT",[2]Tablas!$A42),0)</f>
        <v>0</v>
      </c>
      <c r="O72" s="15">
        <f ca="1">IFERROR(GETPIVOTDATA("Cuenta de CANT",Tabla9,"PROV",[2]Tablas!$A$77,"SEFIS",O$52,"CANT",[2]Tablas!$A42),0)</f>
        <v>1</v>
      </c>
      <c r="P72" s="15">
        <f ca="1">IFERROR(GETPIVOTDATA("Cuenta de CANT",Tabla9,"PROV",[2]Tablas!$A$77,"SEFIS",P$52,"CANT",[2]Tablas!$A42),0)</f>
        <v>1</v>
      </c>
      <c r="Q72" s="15">
        <f ca="1">IFERROR(GETPIVOTDATA("Cuenta de CANT",Tabla9,"PROV",[2]Tablas!$A$77,"SEFIS",Q$52,"CANT",[2]Tablas!$A42),0)</f>
        <v>2</v>
      </c>
      <c r="R72" s="15">
        <f ca="1">IFERROR(GETPIVOTDATA("Cuenta de CANT",Tabla9,"PROV",[2]Tablas!$A$77,"SEFIS",R$52,"CANT",[2]Tablas!$A42),0)</f>
        <v>0</v>
      </c>
      <c r="S72" s="15">
        <f ca="1">IFERROR(GETPIVOTDATA("Cuenta de CANT",Tabla9,"PROV",[2]Tablas!$A$77,"SEFIS",S$52,"CANT",[2]Tablas!$A42),0)</f>
        <v>3</v>
      </c>
      <c r="T72" s="15">
        <f ca="1">IFERROR(GETPIVOTDATA("Cuenta de CANT",Tabla9,"PROV",[2]Tablas!$A$77,"SEFIS",T$52,"CANT",[2]Tablas!$A42),0)</f>
        <v>0</v>
      </c>
      <c r="U72" s="15">
        <f ca="1">IFERROR(GETPIVOTDATA("Cuenta de CANT",Tabla9,"PROV",[2]Tablas!$A$77,"SEFIS",U$52,"CANT",[2]Tablas!$A42),0)</f>
        <v>2</v>
      </c>
      <c r="V72" s="15">
        <f ca="1">IFERROR(GETPIVOTDATA("Cuenta de CANT",Tabla9,"PROV",[2]Tablas!$A$77,"SEFIS",V$52,"CANT",[2]Tablas!$A42),0)</f>
        <v>2</v>
      </c>
      <c r="W72" s="15">
        <f ca="1">IFERROR(GETPIVOTDATA("Cuenta de CANT",Tabla9,"PROV",[2]Tablas!$A$77,"SEFIS",W$52,"CANT",[2]Tablas!$A42),0)</f>
        <v>1</v>
      </c>
      <c r="X72" s="15">
        <f ca="1">IFERROR(GETPIVOTDATA("Cuenta de CANT",Tabla9,"PROV",[2]Tablas!$A$77,"SEFIS",X$52,"CANT",[2]Tablas!$A42),0)</f>
        <v>0</v>
      </c>
      <c r="Y72" s="15">
        <f ca="1">IFERROR(GETPIVOTDATA("Cuenta de CANT",Tabla9,"PROV",[2]Tablas!$A$77,"SEFIS",Y$52,"CANT",[2]Tablas!$A42),0)</f>
        <v>0</v>
      </c>
      <c r="Z72" s="15">
        <f ca="1">IFERROR(GETPIVOTDATA("Cuenta de CANT",Tabla9,"PROV",[2]Tablas!$A$77,"SEFIS",Z$52,"CANT",[2]Tablas!$A42),0)</f>
        <v>0</v>
      </c>
      <c r="AA72" s="15">
        <f ca="1">IFERROR(GETPIVOTDATA("Cuenta de CANT",Tabla9,"PROV",[2]Tablas!$A$77,"SEFIS",AA$52,"CANT",[2]Tablas!$A42),0)</f>
        <v>1</v>
      </c>
      <c r="AB72" s="15">
        <f ca="1">IFERROR(GETPIVOTDATA("Cuenta de CANT",Tabla9,"PROV",[2]Tablas!$A$77,"SEFIS",AB$52,"CANT",[2]Tablas!$A42),0)</f>
        <v>2</v>
      </c>
      <c r="AC72" s="15">
        <f ca="1">IFERROR(GETPIVOTDATA("Cuenta de CANT",Tabla9,"PROV",[2]Tablas!$A$77,"SEFIS",AC$52,"CANT",[2]Tablas!$A42),0)</f>
        <v>2</v>
      </c>
      <c r="AD72" s="15">
        <f ca="1">IFERROR(GETPIVOTDATA("Cuenta de CANT",Tabla9,"PROV",[2]Tablas!$A$77,"SEFIS",AD$52,"CANT",[2]Tablas!$A42),0)</f>
        <v>2</v>
      </c>
      <c r="AE72" s="15">
        <f ca="1">IFERROR(GETPIVOTDATA("Cuenta de CANT",Tabla9,"PROV",[2]Tablas!$A$77,"SEFIS",AE$52,"CANT",[2]Tablas!$A42),0)</f>
        <v>0</v>
      </c>
      <c r="AF72" s="15">
        <f ca="1">IFERROR(GETPIVOTDATA("Cuenta de CANT",Tabla9,"PROV",[2]Tablas!$A$77,"SEFIS",AF$52,"CANT",[2]Tablas!$A42),0)</f>
        <v>0</v>
      </c>
      <c r="AG72" s="15">
        <f ca="1">IFERROR(GETPIVOTDATA("Cuenta de CANT",Tabla9,"PROV",[2]Tablas!$A$77,"SEFIS",AG$52,"CANT",[2]Tablas!$A42),0)</f>
        <v>1</v>
      </c>
      <c r="AH72" s="15">
        <f ca="1">IFERROR(GETPIVOTDATA("Cuenta de CANT",Tabla9,"PROV",[2]Tablas!$A$77,"SEFIS",AH$52,"CANT",[2]Tablas!$A42),0)</f>
        <v>1</v>
      </c>
      <c r="AI72" s="15">
        <f ca="1">IFERROR(GETPIVOTDATA("Cuenta de CANT",Tabla9,"PROV",[2]Tablas!$A$77,"SEFIS",AI$52,"CANT",[2]Tablas!$A42),0)</f>
        <v>2</v>
      </c>
      <c r="AJ72" s="15">
        <f ca="1">IFERROR(GETPIVOTDATA("Cuenta de CANT",Tabla9,"PROV",[2]Tablas!$A$77,"SEFIS",AJ$52,"CANT",[2]Tablas!$A42),0)</f>
        <v>0</v>
      </c>
      <c r="AK72" s="15">
        <f ca="1">IFERROR(GETPIVOTDATA("Cuenta de CANT",Tabla9,"PROV",[2]Tablas!$A$77,"SEFIS",AK$52,"CANT",[2]Tablas!$A42),0)</f>
        <v>1</v>
      </c>
      <c r="AL72" s="15">
        <f ca="1">IFERROR(GETPIVOTDATA("Cuenta de CANT",Tabla9,"PROV",[2]Tablas!$A$77,"SEFIS",AL$52,"CANT",[2]Tablas!$A42),0)</f>
        <v>1</v>
      </c>
      <c r="AM72" s="15">
        <f ca="1">IFERROR(GETPIVOTDATA("Cuenta de CANT",Tabla9,"PROV",[2]Tablas!$A$77,"SEFIS",AM$52,"CANT",[2]Tablas!$A42),0)</f>
        <v>0</v>
      </c>
      <c r="AN72" s="15">
        <f ca="1">IFERROR(GETPIVOTDATA("Cuenta de CANT",Tabla9,"PROV",[2]Tablas!$A$77,"SEFIS",AN$52,"CANT",[2]Tablas!$A42),0)</f>
        <v>1</v>
      </c>
      <c r="AO72" s="15">
        <f ca="1">IFERROR(GETPIVOTDATA("Cuenta de CANT",Tabla9,"PROV",[2]Tablas!$A$77,"SEFIS",AO$52,"CANT",[2]Tablas!$A42),0)</f>
        <v>0</v>
      </c>
      <c r="AP72" s="15">
        <f ca="1">IFERROR(GETPIVOTDATA("Cuenta de CANT",Tabla9,"PROV",[2]Tablas!$A$77,"SEFIS",AP$52,"CANT",[2]Tablas!$A42),0)</f>
        <v>0</v>
      </c>
      <c r="AQ72" s="15">
        <f ca="1">IFERROR(GETPIVOTDATA("Cuenta de CANT",Tabla9,"PROV",[2]Tablas!$A$77,"SEFIS",AQ$52,"CANT",[2]Tablas!$A42),0)</f>
        <v>2</v>
      </c>
      <c r="AR72" s="15">
        <f ca="1">IFERROR(GETPIVOTDATA("Cuenta de CANT",Tabla9,"PROV",[2]Tablas!$A$77,"SEFIS",AR$52,"CANT",[2]Tablas!$A42),0)</f>
        <v>1</v>
      </c>
      <c r="AS72" s="15">
        <f ca="1">IFERROR(GETPIVOTDATA("Cuenta de CANT",Tabla9,"PROV",[2]Tablas!$A$77,"SEFIS",AS$52,"CANT",[2]Tablas!$A42),0)</f>
        <v>1</v>
      </c>
      <c r="AT72" s="15">
        <f ca="1">IFERROR(GETPIVOTDATA("Cuenta de CANT",Tabla9,"PROV",[2]Tablas!$A$77,"SEFIS",AT$52,"CANT",[2]Tablas!$A42),0)</f>
        <v>0</v>
      </c>
      <c r="AU72" s="15">
        <f ca="1">IFERROR(GETPIVOTDATA("Cuenta de CANT",Tabla9,"PROV",[2]Tablas!$A$77,"SEFIS",AU$52,"CANT",[2]Tablas!$A42),0)</f>
        <v>0</v>
      </c>
      <c r="AV72" s="15">
        <f ca="1">IFERROR(GETPIVOTDATA("Cuenta de CANT",Tabla9,"PROV",[2]Tablas!$A$77,"SEFIS",AV$52,"CANT",[2]Tablas!$A42),0)</f>
        <v>3</v>
      </c>
      <c r="AW72" s="15">
        <f ca="1">IFERROR(GETPIVOTDATA("Cuenta de CANT",Tabla9,"PROV",[2]Tablas!$A$77,"SEFIS",AW$52,"CANT",[2]Tablas!$A42),0)</f>
        <v>0</v>
      </c>
      <c r="AX72" s="15">
        <f ca="1">IFERROR(GETPIVOTDATA("Cuenta de CANT",Tabla9,"PROV",[2]Tablas!$A$77,"SEFIS",AX$52,"CANT",[2]Tablas!$A42),0)</f>
        <v>0</v>
      </c>
      <c r="AY72" s="15">
        <f ca="1">IFERROR(GETPIVOTDATA("Cuenta de CANT",Tabla9,"PROV",[2]Tablas!$A$77,"SEFIS",AY$52,"CANT",[2]Tablas!$A42),0)</f>
        <v>1</v>
      </c>
      <c r="AZ72" s="15">
        <f ca="1">IFERROR(GETPIVOTDATA("Cuenta de CANT",Tabla9,"PROV",[2]Tablas!$A$77,"SEFIS",AZ$52,"CANT",[2]Tablas!$A42),0)</f>
        <v>2</v>
      </c>
      <c r="BA72" s="15">
        <f ca="1">IFERROR(GETPIVOTDATA("Cuenta de CANT",Tabla9,"PROV",[2]Tablas!$A$77,"SEFIS",BA$52,"CANT",[2]Tablas!$A42),0)</f>
        <v>4</v>
      </c>
      <c r="BB72" s="15">
        <f ca="1">IFERROR(GETPIVOTDATA("Cuenta de CANT",Tabla9,"PROV",[2]Tablas!$A$77,"SEFIS",BB$52,"CANT",[2]Tablas!$A42),0)</f>
        <v>3</v>
      </c>
      <c r="BC72" s="15">
        <f ca="1">IFERROR(GETPIVOTDATA("Cuenta de CANT",Tabla9,"PROV",[2]Tablas!$A$77,"SEFIS",BC$52,"CANT",[2]Tablas!$A42),0)</f>
        <v>1</v>
      </c>
      <c r="BD72" s="15">
        <f ca="1">IFERROR(GETPIVOTDATA("Cuenta de CANT",Tabla9,"PROV",[2]Tablas!$A$77,"SEFIS",BD$52,"CANT",[2]Tablas!$A42),0)</f>
        <v>0</v>
      </c>
    </row>
    <row r="73" spans="1:56" x14ac:dyDescent="0.35">
      <c r="A73" s="14"/>
      <c r="B73" s="12"/>
      <c r="C73" s="13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</row>
    <row r="74" spans="1:56" x14ac:dyDescent="0.35">
      <c r="A74" s="1" t="s">
        <v>168</v>
      </c>
      <c r="B74" s="10">
        <f ca="1">SUM(D74:BD74)</f>
        <v>1198</v>
      </c>
      <c r="C74" s="11">
        <f ca="1">IFERROR(B74/[2]Tablas!$B44*100000,"N/D")</f>
        <v>289.53563125051357</v>
      </c>
      <c r="D74" s="10">
        <f ca="1">SUM(D75:D85)</f>
        <v>43</v>
      </c>
      <c r="E74" s="10">
        <f t="shared" ref="E74:BD74" ca="1" si="9">SUM(E75:E85)</f>
        <v>7</v>
      </c>
      <c r="F74" s="10">
        <f t="shared" ca="1" si="9"/>
        <v>6</v>
      </c>
      <c r="G74" s="10">
        <f t="shared" ca="1" si="9"/>
        <v>7</v>
      </c>
      <c r="H74" s="10">
        <f t="shared" ca="1" si="9"/>
        <v>7</v>
      </c>
      <c r="I74" s="10">
        <f t="shared" ca="1" si="9"/>
        <v>1</v>
      </c>
      <c r="J74" s="10">
        <f t="shared" ca="1" si="9"/>
        <v>3</v>
      </c>
      <c r="K74" s="10">
        <f t="shared" ca="1" si="9"/>
        <v>3</v>
      </c>
      <c r="L74" s="10">
        <f t="shared" ca="1" si="9"/>
        <v>6</v>
      </c>
      <c r="M74" s="10">
        <f t="shared" ca="1" si="9"/>
        <v>1</v>
      </c>
      <c r="N74" s="10">
        <f ca="1">SUM(N75:N85)</f>
        <v>3</v>
      </c>
      <c r="O74" s="10">
        <f t="shared" ca="1" si="9"/>
        <v>30</v>
      </c>
      <c r="P74" s="10">
        <f t="shared" ca="1" si="9"/>
        <v>8</v>
      </c>
      <c r="Q74" s="10">
        <f t="shared" ca="1" si="9"/>
        <v>5</v>
      </c>
      <c r="R74" s="10">
        <f t="shared" ca="1" si="9"/>
        <v>1</v>
      </c>
      <c r="S74" s="10">
        <f t="shared" ca="1" si="9"/>
        <v>0</v>
      </c>
      <c r="T74" s="10">
        <f t="shared" ca="1" si="9"/>
        <v>1</v>
      </c>
      <c r="U74" s="10">
        <f t="shared" ca="1" si="9"/>
        <v>2</v>
      </c>
      <c r="V74" s="10">
        <f t="shared" ca="1" si="9"/>
        <v>2</v>
      </c>
      <c r="W74" s="10">
        <f t="shared" ca="1" si="9"/>
        <v>6</v>
      </c>
      <c r="X74" s="10">
        <f t="shared" ca="1" si="9"/>
        <v>2</v>
      </c>
      <c r="Y74" s="10">
        <f t="shared" ca="1" si="9"/>
        <v>2</v>
      </c>
      <c r="Z74" s="10">
        <f t="shared" ca="1" si="9"/>
        <v>2</v>
      </c>
      <c r="AA74" s="10">
        <f t="shared" ca="1" si="9"/>
        <v>6</v>
      </c>
      <c r="AB74" s="10">
        <f t="shared" ca="1" si="9"/>
        <v>2</v>
      </c>
      <c r="AC74" s="10">
        <f t="shared" ca="1" si="9"/>
        <v>4</v>
      </c>
      <c r="AD74" s="10">
        <f t="shared" ca="1" si="9"/>
        <v>10</v>
      </c>
      <c r="AE74" s="10">
        <f t="shared" ca="1" si="9"/>
        <v>11</v>
      </c>
      <c r="AF74" s="10">
        <f t="shared" ca="1" si="9"/>
        <v>10</v>
      </c>
      <c r="AG74" s="10">
        <f t="shared" ca="1" si="9"/>
        <v>19</v>
      </c>
      <c r="AH74" s="10">
        <f t="shared" ca="1" si="9"/>
        <v>25</v>
      </c>
      <c r="AI74" s="10">
        <f t="shared" ca="1" si="9"/>
        <v>17</v>
      </c>
      <c r="AJ74" s="10">
        <f t="shared" ca="1" si="9"/>
        <v>18</v>
      </c>
      <c r="AK74" s="10">
        <f t="shared" ca="1" si="9"/>
        <v>22</v>
      </c>
      <c r="AL74" s="10">
        <f t="shared" ca="1" si="9"/>
        <v>23</v>
      </c>
      <c r="AM74" s="10">
        <f t="shared" ca="1" si="9"/>
        <v>24</v>
      </c>
      <c r="AN74" s="10">
        <f t="shared" ca="1" si="9"/>
        <v>28</v>
      </c>
      <c r="AO74" s="10">
        <f t="shared" ca="1" si="9"/>
        <v>35</v>
      </c>
      <c r="AP74" s="10">
        <f t="shared" ca="1" si="9"/>
        <v>33</v>
      </c>
      <c r="AQ74" s="10">
        <f t="shared" ca="1" si="9"/>
        <v>27</v>
      </c>
      <c r="AR74" s="10">
        <f t="shared" ca="1" si="9"/>
        <v>55</v>
      </c>
      <c r="AS74" s="10">
        <f t="shared" ca="1" si="9"/>
        <v>51</v>
      </c>
      <c r="AT74" s="10">
        <f t="shared" ca="1" si="9"/>
        <v>66</v>
      </c>
      <c r="AU74" s="10">
        <f t="shared" ca="1" si="9"/>
        <v>73</v>
      </c>
      <c r="AV74" s="10">
        <f t="shared" ca="1" si="9"/>
        <v>68</v>
      </c>
      <c r="AW74" s="10">
        <f t="shared" ca="1" si="9"/>
        <v>78</v>
      </c>
      <c r="AX74" s="10">
        <f t="shared" ca="1" si="9"/>
        <v>64</v>
      </c>
      <c r="AY74" s="10">
        <f t="shared" ca="1" si="9"/>
        <v>66</v>
      </c>
      <c r="AZ74" s="10">
        <f t="shared" ca="1" si="9"/>
        <v>69</v>
      </c>
      <c r="BA74" s="10">
        <f t="shared" ca="1" si="9"/>
        <v>75</v>
      </c>
      <c r="BB74" s="10">
        <f t="shared" ca="1" si="9"/>
        <v>42</v>
      </c>
      <c r="BC74" s="10">
        <f t="shared" ca="1" si="9"/>
        <v>29</v>
      </c>
      <c r="BD74" s="10">
        <f t="shared" ca="1" si="9"/>
        <v>0</v>
      </c>
    </row>
    <row r="75" spans="1:56" x14ac:dyDescent="0.35">
      <c r="A75" s="14" t="s">
        <v>169</v>
      </c>
      <c r="B75" s="15">
        <f ca="1">SUM(D75:BD75)</f>
        <v>152</v>
      </c>
      <c r="C75" s="16">
        <f ca="1">IFERROR(B75/[2]Tablas!$B45*100000,"N/D")</f>
        <v>186.06700860559917</v>
      </c>
      <c r="D75" s="15">
        <f ca="1">IFERROR(GETPIVOTDATA("Cuenta de CANT",Tabla9,"PROV",[2]Tablas!$A$89,"SEFIS",D$52,"CANT",[2]Tablas!$A45),0)</f>
        <v>38</v>
      </c>
      <c r="E75" s="15">
        <f ca="1">IFERROR(GETPIVOTDATA("Cuenta de CANT",Tabla9,"PROV",[2]Tablas!$A$89,"SEFIS",E$52,"CANT",[2]Tablas!$A45),0)</f>
        <v>0</v>
      </c>
      <c r="F75" s="15">
        <f ca="1">IFERROR(GETPIVOTDATA("Cuenta de CANT",Tabla9,"PROV",[2]Tablas!$A$89,"SEFIS",F$52,"CANT",[2]Tablas!$A45),0)</f>
        <v>1</v>
      </c>
      <c r="G75" s="15">
        <f ca="1">IFERROR(GETPIVOTDATA("Cuenta de CANT",Tabla9,"PROV",[2]Tablas!$A$89,"SEFIS",G$52,"CANT",[2]Tablas!$A45),0)</f>
        <v>0</v>
      </c>
      <c r="H75" s="15">
        <f ca="1">IFERROR(GETPIVOTDATA("Cuenta de CANT",Tabla9,"PROV",[2]Tablas!$A$89,"SEFIS",H$52,"CANT",[2]Tablas!$A45),0)</f>
        <v>0</v>
      </c>
      <c r="I75" s="15">
        <f ca="1">IFERROR(GETPIVOTDATA("Cuenta de CANT",Tabla9,"PROV",[2]Tablas!$A$89,"SEFIS",I$52,"CANT",[2]Tablas!$A45),0)</f>
        <v>1</v>
      </c>
      <c r="J75" s="15">
        <f ca="1">IFERROR(GETPIVOTDATA("Cuenta de CANT",Tabla9,"PROV",[2]Tablas!$A$89,"SEFIS",J$52,"CANT",[2]Tablas!$A45),0)</f>
        <v>0</v>
      </c>
      <c r="K75" s="15">
        <f ca="1">IFERROR(GETPIVOTDATA("Cuenta de CANT",Tabla9,"PROV",[2]Tablas!$A$89,"SEFIS",K$52,"CANT",[2]Tablas!$A45),0)</f>
        <v>1</v>
      </c>
      <c r="L75" s="15">
        <f ca="1">IFERROR(GETPIVOTDATA("Cuenta de CANT",Tabla9,"PROV",[2]Tablas!$A$89,"SEFIS",L$52,"CANT",[2]Tablas!$A45),0)</f>
        <v>1</v>
      </c>
      <c r="M75" s="15">
        <f ca="1">IFERROR(GETPIVOTDATA("Cuenta de CANT",Tabla9,"PROV",[2]Tablas!$A$89,"SEFIS",M$52,"CANT",[2]Tablas!$A45),0)</f>
        <v>0</v>
      </c>
      <c r="N75" s="15">
        <f ca="1">IFERROR(GETPIVOTDATA("Cuenta de CANT",Tabla9,"PROV",[2]Tablas!$A$89,"SEFIS",N$52,"CANT",[2]Tablas!$A45),0)</f>
        <v>1</v>
      </c>
      <c r="O75" s="15">
        <f ca="1">IFERROR(GETPIVOTDATA("Cuenta de CANT",Tabla9,"PROV",[2]Tablas!$A$89,"SEFIS",O$52,"CANT",[2]Tablas!$A45),0)</f>
        <v>28</v>
      </c>
      <c r="P75" s="15">
        <f ca="1">IFERROR(GETPIVOTDATA("Cuenta de CANT",Tabla9,"PROV",[2]Tablas!$A$89,"SEFIS",P$52,"CANT",[2]Tablas!$A45),0)</f>
        <v>6</v>
      </c>
      <c r="Q75" s="15">
        <f ca="1">IFERROR(GETPIVOTDATA("Cuenta de CANT",Tabla9,"PROV",[2]Tablas!$A$89,"SEFIS",Q$52,"CANT",[2]Tablas!$A45),0)</f>
        <v>1</v>
      </c>
      <c r="R75" s="15">
        <f ca="1">IFERROR(GETPIVOTDATA("Cuenta de CANT",Tabla9,"PROV",[2]Tablas!$A$89,"SEFIS",R$52,"CANT",[2]Tablas!$A45),0)</f>
        <v>0</v>
      </c>
      <c r="S75" s="15">
        <f ca="1">IFERROR(GETPIVOTDATA("Cuenta de CANT",Tabla9,"PROV",[2]Tablas!$A$89,"SEFIS",S$52,"CANT",[2]Tablas!$A45),0)</f>
        <v>0</v>
      </c>
      <c r="T75" s="15">
        <f ca="1">IFERROR(GETPIVOTDATA("Cuenta de CANT",Tabla9,"PROV",[2]Tablas!$A$89,"SEFIS",T$52,"CANT",[2]Tablas!$A45),0)</f>
        <v>0</v>
      </c>
      <c r="U75" s="15">
        <f ca="1">IFERROR(GETPIVOTDATA("Cuenta de CANT",Tabla9,"PROV",[2]Tablas!$A$89,"SEFIS",U$52,"CANT",[2]Tablas!$A45),0)</f>
        <v>0</v>
      </c>
      <c r="V75" s="15">
        <f ca="1">IFERROR(GETPIVOTDATA("Cuenta de CANT",Tabla9,"PROV",[2]Tablas!$A$89,"SEFIS",V$52,"CANT",[2]Tablas!$A45),0)</f>
        <v>0</v>
      </c>
      <c r="W75" s="15">
        <f ca="1">IFERROR(GETPIVOTDATA("Cuenta de CANT",Tabla9,"PROV",[2]Tablas!$A$89,"SEFIS",W$52,"CANT",[2]Tablas!$A45),0)</f>
        <v>0</v>
      </c>
      <c r="X75" s="15">
        <f ca="1">IFERROR(GETPIVOTDATA("Cuenta de CANT",Tabla9,"PROV",[2]Tablas!$A$89,"SEFIS",X$52,"CANT",[2]Tablas!$A45),0)</f>
        <v>0</v>
      </c>
      <c r="Y75" s="15">
        <f ca="1">IFERROR(GETPIVOTDATA("Cuenta de CANT",Tabla9,"PROV",[2]Tablas!$A$89,"SEFIS",Y$52,"CANT",[2]Tablas!$A45),0)</f>
        <v>0</v>
      </c>
      <c r="Z75" s="15">
        <f ca="1">IFERROR(GETPIVOTDATA("Cuenta de CANT",Tabla9,"PROV",[2]Tablas!$A$89,"SEFIS",Z$52,"CANT",[2]Tablas!$A45),0)</f>
        <v>0</v>
      </c>
      <c r="AA75" s="15">
        <f ca="1">IFERROR(GETPIVOTDATA("Cuenta de CANT",Tabla9,"PROV",[2]Tablas!$A$89,"SEFIS",AA$52,"CANT",[2]Tablas!$A45),0)</f>
        <v>1</v>
      </c>
      <c r="AB75" s="15">
        <f ca="1">IFERROR(GETPIVOTDATA("Cuenta de CANT",Tabla9,"PROV",[2]Tablas!$A$89,"SEFIS",AB$52,"CANT",[2]Tablas!$A45),0)</f>
        <v>1</v>
      </c>
      <c r="AC75" s="15">
        <f ca="1">IFERROR(GETPIVOTDATA("Cuenta de CANT",Tabla9,"PROV",[2]Tablas!$A$89,"SEFIS",AC$52,"CANT",[2]Tablas!$A45),0)</f>
        <v>0</v>
      </c>
      <c r="AD75" s="15">
        <f ca="1">IFERROR(GETPIVOTDATA("Cuenta de CANT",Tabla9,"PROV",[2]Tablas!$A$89,"SEFIS",AD$52,"CANT",[2]Tablas!$A45),0)</f>
        <v>2</v>
      </c>
      <c r="AE75" s="15">
        <f ca="1">IFERROR(GETPIVOTDATA("Cuenta de CANT",Tabla9,"PROV",[2]Tablas!$A$89,"SEFIS",AE$52,"CANT",[2]Tablas!$A45),0)</f>
        <v>1</v>
      </c>
      <c r="AF75" s="15">
        <f ca="1">IFERROR(GETPIVOTDATA("Cuenta de CANT",Tabla9,"PROV",[2]Tablas!$A$89,"SEFIS",AF$52,"CANT",[2]Tablas!$A45),0)</f>
        <v>2</v>
      </c>
      <c r="AG75" s="15">
        <f ca="1">IFERROR(GETPIVOTDATA("Cuenta de CANT",Tabla9,"PROV",[2]Tablas!$A$89,"SEFIS",AG$52,"CANT",[2]Tablas!$A45),0)</f>
        <v>1</v>
      </c>
      <c r="AH75" s="15">
        <f ca="1">IFERROR(GETPIVOTDATA("Cuenta de CANT",Tabla9,"PROV",[2]Tablas!$A$89,"SEFIS",AH$52,"CANT",[2]Tablas!$A45),0)</f>
        <v>0</v>
      </c>
      <c r="AI75" s="15">
        <f ca="1">IFERROR(GETPIVOTDATA("Cuenta de CANT",Tabla9,"PROV",[2]Tablas!$A$89,"SEFIS",AI$52,"CANT",[2]Tablas!$A45),0)</f>
        <v>1</v>
      </c>
      <c r="AJ75" s="15">
        <f ca="1">IFERROR(GETPIVOTDATA("Cuenta de CANT",Tabla9,"PROV",[2]Tablas!$A$89,"SEFIS",AJ$52,"CANT",[2]Tablas!$A45),0)</f>
        <v>2</v>
      </c>
      <c r="AK75" s="15">
        <f ca="1">IFERROR(GETPIVOTDATA("Cuenta de CANT",Tabla9,"PROV",[2]Tablas!$A$89,"SEFIS",AK$52,"CANT",[2]Tablas!$A45),0)</f>
        <v>1</v>
      </c>
      <c r="AL75" s="15">
        <f ca="1">IFERROR(GETPIVOTDATA("Cuenta de CANT",Tabla9,"PROV",[2]Tablas!$A$89,"SEFIS",AL$52,"CANT",[2]Tablas!$A45),0)</f>
        <v>3</v>
      </c>
      <c r="AM75" s="15">
        <f ca="1">IFERROR(GETPIVOTDATA("Cuenta de CANT",Tabla9,"PROV",[2]Tablas!$A$89,"SEFIS",AM$52,"CANT",[2]Tablas!$A45),0)</f>
        <v>2</v>
      </c>
      <c r="AN75" s="15">
        <f ca="1">IFERROR(GETPIVOTDATA("Cuenta de CANT",Tabla9,"PROV",[2]Tablas!$A$89,"SEFIS",AN$52,"CANT",[2]Tablas!$A45),0)</f>
        <v>7</v>
      </c>
      <c r="AO75" s="15">
        <f ca="1">IFERROR(GETPIVOTDATA("Cuenta de CANT",Tabla9,"PROV",[2]Tablas!$A$89,"SEFIS",AO$52,"CANT",[2]Tablas!$A45),0)</f>
        <v>5</v>
      </c>
      <c r="AP75" s="15">
        <f ca="1">IFERROR(GETPIVOTDATA("Cuenta de CANT",Tabla9,"PROV",[2]Tablas!$A$89,"SEFIS",AP$52,"CANT",[2]Tablas!$A45),0)</f>
        <v>4</v>
      </c>
      <c r="AQ75" s="15">
        <f ca="1">IFERROR(GETPIVOTDATA("Cuenta de CANT",Tabla9,"PROV",[2]Tablas!$A$89,"SEFIS",AQ$52,"CANT",[2]Tablas!$A45),0)</f>
        <v>2</v>
      </c>
      <c r="AR75" s="15">
        <f ca="1">IFERROR(GETPIVOTDATA("Cuenta de CANT",Tabla9,"PROV",[2]Tablas!$A$89,"SEFIS",AR$52,"CANT",[2]Tablas!$A45),0)</f>
        <v>3</v>
      </c>
      <c r="AS75" s="15">
        <f ca="1">IFERROR(GETPIVOTDATA("Cuenta de CANT",Tabla9,"PROV",[2]Tablas!$A$89,"SEFIS",AS$52,"CANT",[2]Tablas!$A45),0)</f>
        <v>4</v>
      </c>
      <c r="AT75" s="15">
        <f ca="1">IFERROR(GETPIVOTDATA("Cuenta de CANT",Tabla9,"PROV",[2]Tablas!$A$89,"SEFIS",AT$52,"CANT",[2]Tablas!$A45),0)</f>
        <v>4</v>
      </c>
      <c r="AU75" s="15">
        <f ca="1">IFERROR(GETPIVOTDATA("Cuenta de CANT",Tabla9,"PROV",[2]Tablas!$A$89,"SEFIS",AU$52,"CANT",[2]Tablas!$A45),0)</f>
        <v>9</v>
      </c>
      <c r="AV75" s="15">
        <f ca="1">IFERROR(GETPIVOTDATA("Cuenta de CANT",Tabla9,"PROV",[2]Tablas!$A$89,"SEFIS",AV$52,"CANT",[2]Tablas!$A45),0)</f>
        <v>5</v>
      </c>
      <c r="AW75" s="15">
        <f ca="1">IFERROR(GETPIVOTDATA("Cuenta de CANT",Tabla9,"PROV",[2]Tablas!$A$89,"SEFIS",AW$52,"CANT",[2]Tablas!$A45),0)</f>
        <v>4</v>
      </c>
      <c r="AX75" s="15">
        <f ca="1">IFERROR(GETPIVOTDATA("Cuenta de CANT",Tabla9,"PROV",[2]Tablas!$A$89,"SEFIS",AX$52,"CANT",[2]Tablas!$A45),0)</f>
        <v>5</v>
      </c>
      <c r="AY75" s="15">
        <f ca="1">IFERROR(GETPIVOTDATA("Cuenta de CANT",Tabla9,"PROV",[2]Tablas!$A$89,"SEFIS",AY$52,"CANT",[2]Tablas!$A45),0)</f>
        <v>1</v>
      </c>
      <c r="AZ75" s="15">
        <f ca="1">IFERROR(GETPIVOTDATA("Cuenta de CANT",Tabla9,"PROV",[2]Tablas!$A$89,"SEFIS",AZ$52,"CANT",[2]Tablas!$A45),0)</f>
        <v>0</v>
      </c>
      <c r="BA75" s="15">
        <f ca="1">IFERROR(GETPIVOTDATA("Cuenta de CANT",Tabla9,"PROV",[2]Tablas!$A$89,"SEFIS",BA$52,"CANT",[2]Tablas!$A45),0)</f>
        <v>1</v>
      </c>
      <c r="BB75" s="15">
        <f ca="1">IFERROR(GETPIVOTDATA("Cuenta de CANT",Tabla9,"PROV",[2]Tablas!$A$89,"SEFIS",BB$52,"CANT",[2]Tablas!$A45),0)</f>
        <v>2</v>
      </c>
      <c r="BC75" s="15">
        <f ca="1">IFERROR(GETPIVOTDATA("Cuenta de CANT",Tabla9,"PROV",[2]Tablas!$A$89,"SEFIS",BC$52,"CANT",[2]Tablas!$A45),0)</f>
        <v>1</v>
      </c>
      <c r="BD75" s="15">
        <f ca="1">IFERROR(GETPIVOTDATA("Cuenta de CANT",Tabla9,"PROV",[2]Tablas!$A$89,"SEFIS",BD$52,"CANT",[2]Tablas!$A45),0)</f>
        <v>0</v>
      </c>
    </row>
    <row r="76" spans="1:56" x14ac:dyDescent="0.35">
      <c r="A76" s="14" t="s">
        <v>170</v>
      </c>
      <c r="B76" s="15">
        <f t="shared" ref="B76:B85" ca="1" si="10">SUM(D76:BD76)</f>
        <v>25</v>
      </c>
      <c r="C76" s="16">
        <f ca="1">IFERROR(B76/[2]Tablas!$B46*100000,"N/D")</f>
        <v>42.408101643738021</v>
      </c>
      <c r="D76" s="15">
        <f ca="1">IFERROR(GETPIVOTDATA("Cuenta de CANT",Tabla9,"PROV",[2]Tablas!$A$89,"SEFIS",D$52,"CANT",[2]Tablas!$A46),0)</f>
        <v>0</v>
      </c>
      <c r="E76" s="15">
        <f ca="1">IFERROR(GETPIVOTDATA("Cuenta de CANT",Tabla9,"PROV",[2]Tablas!$A$89,"SEFIS",E$52,"CANT",[2]Tablas!$A46),0)</f>
        <v>0</v>
      </c>
      <c r="F76" s="15">
        <f ca="1">IFERROR(GETPIVOTDATA("Cuenta de CANT",Tabla9,"PROV",[2]Tablas!$A$89,"SEFIS",F$52,"CANT",[2]Tablas!$A46),0)</f>
        <v>0</v>
      </c>
      <c r="G76" s="15">
        <f ca="1">IFERROR(GETPIVOTDATA("Cuenta de CANT",Tabla9,"PROV",[2]Tablas!$A$89,"SEFIS",G$52,"CANT",[2]Tablas!$A46),0)</f>
        <v>1</v>
      </c>
      <c r="H76" s="15">
        <f ca="1">IFERROR(GETPIVOTDATA("Cuenta de CANT",Tabla9,"PROV",[2]Tablas!$A$89,"SEFIS",H$52,"CANT",[2]Tablas!$A46),0)</f>
        <v>0</v>
      </c>
      <c r="I76" s="15">
        <f ca="1">IFERROR(GETPIVOTDATA("Cuenta de CANT",Tabla9,"PROV",[2]Tablas!$A$89,"SEFIS",I$52,"CANT",[2]Tablas!$A46),0)</f>
        <v>0</v>
      </c>
      <c r="J76" s="15">
        <f ca="1">IFERROR(GETPIVOTDATA("Cuenta de CANT",Tabla9,"PROV",[2]Tablas!$A$89,"SEFIS",J$52,"CANT",[2]Tablas!$A46),0)</f>
        <v>0</v>
      </c>
      <c r="K76" s="15">
        <f ca="1">IFERROR(GETPIVOTDATA("Cuenta de CANT",Tabla9,"PROV",[2]Tablas!$A$89,"SEFIS",K$52,"CANT",[2]Tablas!$A46),0)</f>
        <v>0</v>
      </c>
      <c r="L76" s="15">
        <f ca="1">IFERROR(GETPIVOTDATA("Cuenta de CANT",Tabla9,"PROV",[2]Tablas!$A$89,"SEFIS",L$52,"CANT",[2]Tablas!$A46),0)</f>
        <v>0</v>
      </c>
      <c r="M76" s="15">
        <f ca="1">IFERROR(GETPIVOTDATA("Cuenta de CANT",Tabla9,"PROV",[2]Tablas!$A$89,"SEFIS",M$52,"CANT",[2]Tablas!$A46),0)</f>
        <v>0</v>
      </c>
      <c r="N76" s="15">
        <f ca="1">IFERROR(GETPIVOTDATA("Cuenta de CANT",Tabla9,"PROV",[2]Tablas!$A$89,"SEFIS",N$52,"CANT",[2]Tablas!$A46),0)</f>
        <v>0</v>
      </c>
      <c r="O76" s="15">
        <f ca="1">IFERROR(GETPIVOTDATA("Cuenta de CANT",Tabla9,"PROV",[2]Tablas!$A$89,"SEFIS",O$52,"CANT",[2]Tablas!$A46),0)</f>
        <v>2</v>
      </c>
      <c r="P76" s="15">
        <f ca="1">IFERROR(GETPIVOTDATA("Cuenta de CANT",Tabla9,"PROV",[2]Tablas!$A$89,"SEFIS",P$52,"CANT",[2]Tablas!$A46),0)</f>
        <v>1</v>
      </c>
      <c r="Q76" s="15">
        <f ca="1">IFERROR(GETPIVOTDATA("Cuenta de CANT",Tabla9,"PROV",[2]Tablas!$A$89,"SEFIS",Q$52,"CANT",[2]Tablas!$A46),0)</f>
        <v>1</v>
      </c>
      <c r="R76" s="15">
        <f ca="1">IFERROR(GETPIVOTDATA("Cuenta de CANT",Tabla9,"PROV",[2]Tablas!$A$89,"SEFIS",R$52,"CANT",[2]Tablas!$A46),0)</f>
        <v>0</v>
      </c>
      <c r="S76" s="15">
        <f ca="1">IFERROR(GETPIVOTDATA("Cuenta de CANT",Tabla9,"PROV",[2]Tablas!$A$89,"SEFIS",S$52,"CANT",[2]Tablas!$A46),0)</f>
        <v>0</v>
      </c>
      <c r="T76" s="15">
        <f ca="1">IFERROR(GETPIVOTDATA("Cuenta de CANT",Tabla9,"PROV",[2]Tablas!$A$89,"SEFIS",T$52,"CANT",[2]Tablas!$A46),0)</f>
        <v>0</v>
      </c>
      <c r="U76" s="15">
        <f ca="1">IFERROR(GETPIVOTDATA("Cuenta de CANT",Tabla9,"PROV",[2]Tablas!$A$89,"SEFIS",U$52,"CANT",[2]Tablas!$A46),0)</f>
        <v>0</v>
      </c>
      <c r="V76" s="15">
        <f ca="1">IFERROR(GETPIVOTDATA("Cuenta de CANT",Tabla9,"PROV",[2]Tablas!$A$89,"SEFIS",V$52,"CANT",[2]Tablas!$A46),0)</f>
        <v>1</v>
      </c>
      <c r="W76" s="15">
        <f ca="1">IFERROR(GETPIVOTDATA("Cuenta de CANT",Tabla9,"PROV",[2]Tablas!$A$89,"SEFIS",W$52,"CANT",[2]Tablas!$A46),0)</f>
        <v>1</v>
      </c>
      <c r="X76" s="15">
        <f ca="1">IFERROR(GETPIVOTDATA("Cuenta de CANT",Tabla9,"PROV",[2]Tablas!$A$89,"SEFIS",X$52,"CANT",[2]Tablas!$A46),0)</f>
        <v>0</v>
      </c>
      <c r="Y76" s="15">
        <f ca="1">IFERROR(GETPIVOTDATA("Cuenta de CANT",Tabla9,"PROV",[2]Tablas!$A$89,"SEFIS",Y$52,"CANT",[2]Tablas!$A46),0)</f>
        <v>0</v>
      </c>
      <c r="Z76" s="15">
        <f ca="1">IFERROR(GETPIVOTDATA("Cuenta de CANT",Tabla9,"PROV",[2]Tablas!$A$89,"SEFIS",Z$52,"CANT",[2]Tablas!$A46),0)</f>
        <v>0</v>
      </c>
      <c r="AA76" s="15">
        <f ca="1">IFERROR(GETPIVOTDATA("Cuenta de CANT",Tabla9,"PROV",[2]Tablas!$A$89,"SEFIS",AA$52,"CANT",[2]Tablas!$A46),0)</f>
        <v>0</v>
      </c>
      <c r="AB76" s="15">
        <f ca="1">IFERROR(GETPIVOTDATA("Cuenta de CANT",Tabla9,"PROV",[2]Tablas!$A$89,"SEFIS",AB$52,"CANT",[2]Tablas!$A46),0)</f>
        <v>0</v>
      </c>
      <c r="AC76" s="15">
        <f ca="1">IFERROR(GETPIVOTDATA("Cuenta de CANT",Tabla9,"PROV",[2]Tablas!$A$89,"SEFIS",AC$52,"CANT",[2]Tablas!$A46),0)</f>
        <v>0</v>
      </c>
      <c r="AD76" s="15">
        <f ca="1">IFERROR(GETPIVOTDATA("Cuenta de CANT",Tabla9,"PROV",[2]Tablas!$A$89,"SEFIS",AD$52,"CANT",[2]Tablas!$A46),0)</f>
        <v>0</v>
      </c>
      <c r="AE76" s="15">
        <f ca="1">IFERROR(GETPIVOTDATA("Cuenta de CANT",Tabla9,"PROV",[2]Tablas!$A$89,"SEFIS",AE$52,"CANT",[2]Tablas!$A46),0)</f>
        <v>1</v>
      </c>
      <c r="AF76" s="15">
        <f ca="1">IFERROR(GETPIVOTDATA("Cuenta de CANT",Tabla9,"PROV",[2]Tablas!$A$89,"SEFIS",AF$52,"CANT",[2]Tablas!$A46),0)</f>
        <v>0</v>
      </c>
      <c r="AG76" s="15">
        <f ca="1">IFERROR(GETPIVOTDATA("Cuenta de CANT",Tabla9,"PROV",[2]Tablas!$A$89,"SEFIS",AG$52,"CANT",[2]Tablas!$A46),0)</f>
        <v>0</v>
      </c>
      <c r="AH76" s="15">
        <f ca="1">IFERROR(GETPIVOTDATA("Cuenta de CANT",Tabla9,"PROV",[2]Tablas!$A$89,"SEFIS",AH$52,"CANT",[2]Tablas!$A46),0)</f>
        <v>0</v>
      </c>
      <c r="AI76" s="15">
        <f ca="1">IFERROR(GETPIVOTDATA("Cuenta de CANT",Tabla9,"PROV",[2]Tablas!$A$89,"SEFIS",AI$52,"CANT",[2]Tablas!$A46),0)</f>
        <v>0</v>
      </c>
      <c r="AJ76" s="15">
        <f ca="1">IFERROR(GETPIVOTDATA("Cuenta de CANT",Tabla9,"PROV",[2]Tablas!$A$89,"SEFIS",AJ$52,"CANT",[2]Tablas!$A46),0)</f>
        <v>0</v>
      </c>
      <c r="AK76" s="15">
        <f ca="1">IFERROR(GETPIVOTDATA("Cuenta de CANT",Tabla9,"PROV",[2]Tablas!$A$89,"SEFIS",AK$52,"CANT",[2]Tablas!$A46),0)</f>
        <v>1</v>
      </c>
      <c r="AL76" s="15">
        <f ca="1">IFERROR(GETPIVOTDATA("Cuenta de CANT",Tabla9,"PROV",[2]Tablas!$A$89,"SEFIS",AL$52,"CANT",[2]Tablas!$A46),0)</f>
        <v>0</v>
      </c>
      <c r="AM76" s="15">
        <f ca="1">IFERROR(GETPIVOTDATA("Cuenta de CANT",Tabla9,"PROV",[2]Tablas!$A$89,"SEFIS",AM$52,"CANT",[2]Tablas!$A46),0)</f>
        <v>1</v>
      </c>
      <c r="AN76" s="15">
        <f ca="1">IFERROR(GETPIVOTDATA("Cuenta de CANT",Tabla9,"PROV",[2]Tablas!$A$89,"SEFIS",AN$52,"CANT",[2]Tablas!$A46),0)</f>
        <v>0</v>
      </c>
      <c r="AO76" s="15">
        <f ca="1">IFERROR(GETPIVOTDATA("Cuenta de CANT",Tabla9,"PROV",[2]Tablas!$A$89,"SEFIS",AO$52,"CANT",[2]Tablas!$A46),0)</f>
        <v>0</v>
      </c>
      <c r="AP76" s="15">
        <f ca="1">IFERROR(GETPIVOTDATA("Cuenta de CANT",Tabla9,"PROV",[2]Tablas!$A$89,"SEFIS",AP$52,"CANT",[2]Tablas!$A46),0)</f>
        <v>2</v>
      </c>
      <c r="AQ76" s="15">
        <f ca="1">IFERROR(GETPIVOTDATA("Cuenta de CANT",Tabla9,"PROV",[2]Tablas!$A$89,"SEFIS",AQ$52,"CANT",[2]Tablas!$A46),0)</f>
        <v>0</v>
      </c>
      <c r="AR76" s="15">
        <f ca="1">IFERROR(GETPIVOTDATA("Cuenta de CANT",Tabla9,"PROV",[2]Tablas!$A$89,"SEFIS",AR$52,"CANT",[2]Tablas!$A46),0)</f>
        <v>1</v>
      </c>
      <c r="AS76" s="15">
        <f ca="1">IFERROR(GETPIVOTDATA("Cuenta de CANT",Tabla9,"PROV",[2]Tablas!$A$89,"SEFIS",AS$52,"CANT",[2]Tablas!$A46),0)</f>
        <v>0</v>
      </c>
      <c r="AT76" s="15">
        <f ca="1">IFERROR(GETPIVOTDATA("Cuenta de CANT",Tabla9,"PROV",[2]Tablas!$A$89,"SEFIS",AT$52,"CANT",[2]Tablas!$A46),0)</f>
        <v>2</v>
      </c>
      <c r="AU76" s="15">
        <f ca="1">IFERROR(GETPIVOTDATA("Cuenta de CANT",Tabla9,"PROV",[2]Tablas!$A$89,"SEFIS",AU$52,"CANT",[2]Tablas!$A46),0)</f>
        <v>2</v>
      </c>
      <c r="AV76" s="15">
        <f ca="1">IFERROR(GETPIVOTDATA("Cuenta de CANT",Tabla9,"PROV",[2]Tablas!$A$89,"SEFIS",AV$52,"CANT",[2]Tablas!$A46),0)</f>
        <v>0</v>
      </c>
      <c r="AW76" s="15">
        <f ca="1">IFERROR(GETPIVOTDATA("Cuenta de CANT",Tabla9,"PROV",[2]Tablas!$A$89,"SEFIS",AW$52,"CANT",[2]Tablas!$A46),0)</f>
        <v>3</v>
      </c>
      <c r="AX76" s="15">
        <f ca="1">IFERROR(GETPIVOTDATA("Cuenta de CANT",Tabla9,"PROV",[2]Tablas!$A$89,"SEFIS",AX$52,"CANT",[2]Tablas!$A46),0)</f>
        <v>1</v>
      </c>
      <c r="AY76" s="15">
        <f ca="1">IFERROR(GETPIVOTDATA("Cuenta de CANT",Tabla9,"PROV",[2]Tablas!$A$89,"SEFIS",AY$52,"CANT",[2]Tablas!$A46),0)</f>
        <v>1</v>
      </c>
      <c r="AZ76" s="15">
        <f ca="1">IFERROR(GETPIVOTDATA("Cuenta de CANT",Tabla9,"PROV",[2]Tablas!$A$89,"SEFIS",AZ$52,"CANT",[2]Tablas!$A46),0)</f>
        <v>1</v>
      </c>
      <c r="BA76" s="15">
        <f ca="1">IFERROR(GETPIVOTDATA("Cuenta de CANT",Tabla9,"PROV",[2]Tablas!$A$89,"SEFIS",BA$52,"CANT",[2]Tablas!$A46),0)</f>
        <v>2</v>
      </c>
      <c r="BB76" s="15">
        <f ca="1">IFERROR(GETPIVOTDATA("Cuenta de CANT",Tabla9,"PROV",[2]Tablas!$A$89,"SEFIS",BB$52,"CANT",[2]Tablas!$A46),0)</f>
        <v>0</v>
      </c>
      <c r="BC76" s="15">
        <f ca="1">IFERROR(GETPIVOTDATA("Cuenta de CANT",Tabla9,"PROV",[2]Tablas!$A$89,"SEFIS",BC$52,"CANT",[2]Tablas!$A46),0)</f>
        <v>0</v>
      </c>
      <c r="BD76" s="15">
        <f ca="1">IFERROR(GETPIVOTDATA("Cuenta de CANT",Tabla9,"PROV",[2]Tablas!$A$89,"SEFIS",BD$52,"CANT",[2]Tablas!$A46),0)</f>
        <v>0</v>
      </c>
    </row>
    <row r="77" spans="1:56" x14ac:dyDescent="0.35">
      <c r="A77" s="14" t="s">
        <v>171</v>
      </c>
      <c r="B77" s="15">
        <f t="shared" ca="1" si="10"/>
        <v>235</v>
      </c>
      <c r="C77" s="16">
        <f ca="1">IFERROR(B77/[2]Tablas!$B47*100000,"N/D")</f>
        <v>320.77969942259654</v>
      </c>
      <c r="D77" s="15">
        <f ca="1">IFERROR(GETPIVOTDATA("Cuenta de CANT",Tabla9,"PROV",[2]Tablas!$A$89,"SEFIS",D$52,"CANT",[2]Tablas!$A47),0)</f>
        <v>1</v>
      </c>
      <c r="E77" s="15">
        <f ca="1">IFERROR(GETPIVOTDATA("Cuenta de CANT",Tabla9,"PROV",[2]Tablas!$A$89,"SEFIS",E$52,"CANT",[2]Tablas!$A47),0)</f>
        <v>2</v>
      </c>
      <c r="F77" s="15">
        <f ca="1">IFERROR(GETPIVOTDATA("Cuenta de CANT",Tabla9,"PROV",[2]Tablas!$A$89,"SEFIS",F$52,"CANT",[2]Tablas!$A47),0)</f>
        <v>0</v>
      </c>
      <c r="G77" s="15">
        <f ca="1">IFERROR(GETPIVOTDATA("Cuenta de CANT",Tabla9,"PROV",[2]Tablas!$A$89,"SEFIS",G$52,"CANT",[2]Tablas!$A47),0)</f>
        <v>0</v>
      </c>
      <c r="H77" s="15">
        <f ca="1">IFERROR(GETPIVOTDATA("Cuenta de CANT",Tabla9,"PROV",[2]Tablas!$A$89,"SEFIS",H$52,"CANT",[2]Tablas!$A47),0)</f>
        <v>2</v>
      </c>
      <c r="I77" s="15">
        <f ca="1">IFERROR(GETPIVOTDATA("Cuenta de CANT",Tabla9,"PROV",[2]Tablas!$A$89,"SEFIS",I$52,"CANT",[2]Tablas!$A47),0)</f>
        <v>0</v>
      </c>
      <c r="J77" s="15">
        <f ca="1">IFERROR(GETPIVOTDATA("Cuenta de CANT",Tabla9,"PROV",[2]Tablas!$A$89,"SEFIS",J$52,"CANT",[2]Tablas!$A47),0)</f>
        <v>2</v>
      </c>
      <c r="K77" s="15">
        <f ca="1">IFERROR(GETPIVOTDATA("Cuenta de CANT",Tabla9,"PROV",[2]Tablas!$A$89,"SEFIS",K$52,"CANT",[2]Tablas!$A47),0)</f>
        <v>0</v>
      </c>
      <c r="L77" s="15">
        <f ca="1">IFERROR(GETPIVOTDATA("Cuenta de CANT",Tabla9,"PROV",[2]Tablas!$A$89,"SEFIS",L$52,"CANT",[2]Tablas!$A47),0)</f>
        <v>0</v>
      </c>
      <c r="M77" s="15">
        <f ca="1">IFERROR(GETPIVOTDATA("Cuenta de CANT",Tabla9,"PROV",[2]Tablas!$A$89,"SEFIS",M$52,"CANT",[2]Tablas!$A47),0)</f>
        <v>0</v>
      </c>
      <c r="N77" s="15">
        <f ca="1">IFERROR(GETPIVOTDATA("Cuenta de CANT",Tabla9,"PROV",[2]Tablas!$A$89,"SEFIS",N$52,"CANT",[2]Tablas!$A47),0)</f>
        <v>1</v>
      </c>
      <c r="O77" s="15">
        <f ca="1">IFERROR(GETPIVOTDATA("Cuenta de CANT",Tabla9,"PROV",[2]Tablas!$A$89,"SEFIS",O$52,"CANT",[2]Tablas!$A47),0)</f>
        <v>0</v>
      </c>
      <c r="P77" s="15">
        <f ca="1">IFERROR(GETPIVOTDATA("Cuenta de CANT",Tabla9,"PROV",[2]Tablas!$A$89,"SEFIS",P$52,"CANT",[2]Tablas!$A47),0)</f>
        <v>0</v>
      </c>
      <c r="Q77" s="15">
        <f ca="1">IFERROR(GETPIVOTDATA("Cuenta de CANT",Tabla9,"PROV",[2]Tablas!$A$89,"SEFIS",Q$52,"CANT",[2]Tablas!$A47),0)</f>
        <v>0</v>
      </c>
      <c r="R77" s="15">
        <f ca="1">IFERROR(GETPIVOTDATA("Cuenta de CANT",Tabla9,"PROV",[2]Tablas!$A$89,"SEFIS",R$52,"CANT",[2]Tablas!$A47),0)</f>
        <v>0</v>
      </c>
      <c r="S77" s="15">
        <f ca="1">IFERROR(GETPIVOTDATA("Cuenta de CANT",Tabla9,"PROV",[2]Tablas!$A$89,"SEFIS",S$52,"CANT",[2]Tablas!$A47),0)</f>
        <v>0</v>
      </c>
      <c r="T77" s="15">
        <f ca="1">IFERROR(GETPIVOTDATA("Cuenta de CANT",Tabla9,"PROV",[2]Tablas!$A$89,"SEFIS",T$52,"CANT",[2]Tablas!$A47),0)</f>
        <v>0</v>
      </c>
      <c r="U77" s="15">
        <f ca="1">IFERROR(GETPIVOTDATA("Cuenta de CANT",Tabla9,"PROV",[2]Tablas!$A$89,"SEFIS",U$52,"CANT",[2]Tablas!$A47),0)</f>
        <v>0</v>
      </c>
      <c r="V77" s="15">
        <f ca="1">IFERROR(GETPIVOTDATA("Cuenta de CANT",Tabla9,"PROV",[2]Tablas!$A$89,"SEFIS",V$52,"CANT",[2]Tablas!$A47),0)</f>
        <v>0</v>
      </c>
      <c r="W77" s="15">
        <f ca="1">IFERROR(GETPIVOTDATA("Cuenta de CANT",Tabla9,"PROV",[2]Tablas!$A$89,"SEFIS",W$52,"CANT",[2]Tablas!$A47),0)</f>
        <v>0</v>
      </c>
      <c r="X77" s="15">
        <f ca="1">IFERROR(GETPIVOTDATA("Cuenta de CANT",Tabla9,"PROV",[2]Tablas!$A$89,"SEFIS",X$52,"CANT",[2]Tablas!$A47),0)</f>
        <v>0</v>
      </c>
      <c r="Y77" s="15">
        <f ca="1">IFERROR(GETPIVOTDATA("Cuenta de CANT",Tabla9,"PROV",[2]Tablas!$A$89,"SEFIS",Y$52,"CANT",[2]Tablas!$A47),0)</f>
        <v>2</v>
      </c>
      <c r="Z77" s="15">
        <f ca="1">IFERROR(GETPIVOTDATA("Cuenta de CANT",Tabla9,"PROV",[2]Tablas!$A$89,"SEFIS",Z$52,"CANT",[2]Tablas!$A47),0)</f>
        <v>0</v>
      </c>
      <c r="AA77" s="15">
        <f ca="1">IFERROR(GETPIVOTDATA("Cuenta de CANT",Tabla9,"PROV",[2]Tablas!$A$89,"SEFIS",AA$52,"CANT",[2]Tablas!$A47),0)</f>
        <v>0</v>
      </c>
      <c r="AB77" s="15">
        <f ca="1">IFERROR(GETPIVOTDATA("Cuenta de CANT",Tabla9,"PROV",[2]Tablas!$A$89,"SEFIS",AB$52,"CANT",[2]Tablas!$A47),0)</f>
        <v>0</v>
      </c>
      <c r="AC77" s="15">
        <f ca="1">IFERROR(GETPIVOTDATA("Cuenta de CANT",Tabla9,"PROV",[2]Tablas!$A$89,"SEFIS",AC$52,"CANT",[2]Tablas!$A47),0)</f>
        <v>0</v>
      </c>
      <c r="AD77" s="15">
        <f ca="1">IFERROR(GETPIVOTDATA("Cuenta de CANT",Tabla9,"PROV",[2]Tablas!$A$89,"SEFIS",AD$52,"CANT",[2]Tablas!$A47),0)</f>
        <v>1</v>
      </c>
      <c r="AE77" s="15">
        <f ca="1">IFERROR(GETPIVOTDATA("Cuenta de CANT",Tabla9,"PROV",[2]Tablas!$A$89,"SEFIS",AE$52,"CANT",[2]Tablas!$A47),0)</f>
        <v>1</v>
      </c>
      <c r="AF77" s="15">
        <f ca="1">IFERROR(GETPIVOTDATA("Cuenta de CANT",Tabla9,"PROV",[2]Tablas!$A$89,"SEFIS",AF$52,"CANT",[2]Tablas!$A47),0)</f>
        <v>1</v>
      </c>
      <c r="AG77" s="15">
        <f ca="1">IFERROR(GETPIVOTDATA("Cuenta de CANT",Tabla9,"PROV",[2]Tablas!$A$89,"SEFIS",AG$52,"CANT",[2]Tablas!$A47),0)</f>
        <v>4</v>
      </c>
      <c r="AH77" s="15">
        <f ca="1">IFERROR(GETPIVOTDATA("Cuenta de CANT",Tabla9,"PROV",[2]Tablas!$A$89,"SEFIS",AH$52,"CANT",[2]Tablas!$A47),0)</f>
        <v>5</v>
      </c>
      <c r="AI77" s="15">
        <f ca="1">IFERROR(GETPIVOTDATA("Cuenta de CANT",Tabla9,"PROV",[2]Tablas!$A$89,"SEFIS",AI$52,"CANT",[2]Tablas!$A47),0)</f>
        <v>4</v>
      </c>
      <c r="AJ77" s="15">
        <f ca="1">IFERROR(GETPIVOTDATA("Cuenta de CANT",Tabla9,"PROV",[2]Tablas!$A$89,"SEFIS",AJ$52,"CANT",[2]Tablas!$A47),0)</f>
        <v>4</v>
      </c>
      <c r="AK77" s="15">
        <f ca="1">IFERROR(GETPIVOTDATA("Cuenta de CANT",Tabla9,"PROV",[2]Tablas!$A$89,"SEFIS",AK$52,"CANT",[2]Tablas!$A47),0)</f>
        <v>6</v>
      </c>
      <c r="AL77" s="15">
        <f ca="1">IFERROR(GETPIVOTDATA("Cuenta de CANT",Tabla9,"PROV",[2]Tablas!$A$89,"SEFIS",AL$52,"CANT",[2]Tablas!$A47),0)</f>
        <v>6</v>
      </c>
      <c r="AM77" s="15">
        <f ca="1">IFERROR(GETPIVOTDATA("Cuenta de CANT",Tabla9,"PROV",[2]Tablas!$A$89,"SEFIS",AM$52,"CANT",[2]Tablas!$A47),0)</f>
        <v>4</v>
      </c>
      <c r="AN77" s="15">
        <f ca="1">IFERROR(GETPIVOTDATA("Cuenta de CANT",Tabla9,"PROV",[2]Tablas!$A$89,"SEFIS",AN$52,"CANT",[2]Tablas!$A47),0)</f>
        <v>5</v>
      </c>
      <c r="AO77" s="15">
        <f ca="1">IFERROR(GETPIVOTDATA("Cuenta de CANT",Tabla9,"PROV",[2]Tablas!$A$89,"SEFIS",AO$52,"CANT",[2]Tablas!$A47),0)</f>
        <v>1</v>
      </c>
      <c r="AP77" s="15">
        <f ca="1">IFERROR(GETPIVOTDATA("Cuenta de CANT",Tabla9,"PROV",[2]Tablas!$A$89,"SEFIS",AP$52,"CANT",[2]Tablas!$A47),0)</f>
        <v>4</v>
      </c>
      <c r="AQ77" s="15">
        <f ca="1">IFERROR(GETPIVOTDATA("Cuenta de CANT",Tabla9,"PROV",[2]Tablas!$A$89,"SEFIS",AQ$52,"CANT",[2]Tablas!$A47),0)</f>
        <v>8</v>
      </c>
      <c r="AR77" s="15">
        <f ca="1">IFERROR(GETPIVOTDATA("Cuenta de CANT",Tabla9,"PROV",[2]Tablas!$A$89,"SEFIS",AR$52,"CANT",[2]Tablas!$A47),0)</f>
        <v>12</v>
      </c>
      <c r="AS77" s="15">
        <f ca="1">IFERROR(GETPIVOTDATA("Cuenta de CANT",Tabla9,"PROV",[2]Tablas!$A$89,"SEFIS",AS$52,"CANT",[2]Tablas!$A47),0)</f>
        <v>17</v>
      </c>
      <c r="AT77" s="15">
        <f ca="1">IFERROR(GETPIVOTDATA("Cuenta de CANT",Tabla9,"PROV",[2]Tablas!$A$89,"SEFIS",AT$52,"CANT",[2]Tablas!$A47),0)</f>
        <v>11</v>
      </c>
      <c r="AU77" s="15">
        <f ca="1">IFERROR(GETPIVOTDATA("Cuenta de CANT",Tabla9,"PROV",[2]Tablas!$A$89,"SEFIS",AU$52,"CANT",[2]Tablas!$A47),0)</f>
        <v>13</v>
      </c>
      <c r="AV77" s="15">
        <f ca="1">IFERROR(GETPIVOTDATA("Cuenta de CANT",Tabla9,"PROV",[2]Tablas!$A$89,"SEFIS",AV$52,"CANT",[2]Tablas!$A47),0)</f>
        <v>15</v>
      </c>
      <c r="AW77" s="15">
        <f ca="1">IFERROR(GETPIVOTDATA("Cuenta de CANT",Tabla9,"PROV",[2]Tablas!$A$89,"SEFIS",AW$52,"CANT",[2]Tablas!$A47),0)</f>
        <v>23</v>
      </c>
      <c r="AX77" s="15">
        <f ca="1">IFERROR(GETPIVOTDATA("Cuenta de CANT",Tabla9,"PROV",[2]Tablas!$A$89,"SEFIS",AX$52,"CANT",[2]Tablas!$A47),0)</f>
        <v>17</v>
      </c>
      <c r="AY77" s="15">
        <f ca="1">IFERROR(GETPIVOTDATA("Cuenta de CANT",Tabla9,"PROV",[2]Tablas!$A$89,"SEFIS",AY$52,"CANT",[2]Tablas!$A47),0)</f>
        <v>10</v>
      </c>
      <c r="AZ77" s="15">
        <f ca="1">IFERROR(GETPIVOTDATA("Cuenta de CANT",Tabla9,"PROV",[2]Tablas!$A$89,"SEFIS",AZ$52,"CANT",[2]Tablas!$A47),0)</f>
        <v>17</v>
      </c>
      <c r="BA77" s="15">
        <f ca="1">IFERROR(GETPIVOTDATA("Cuenta de CANT",Tabla9,"PROV",[2]Tablas!$A$89,"SEFIS",BA$52,"CANT",[2]Tablas!$A47),0)</f>
        <v>20</v>
      </c>
      <c r="BB77" s="15">
        <f ca="1">IFERROR(GETPIVOTDATA("Cuenta de CANT",Tabla9,"PROV",[2]Tablas!$A$89,"SEFIS",BB$52,"CANT",[2]Tablas!$A47),0)</f>
        <v>11</v>
      </c>
      <c r="BC77" s="15">
        <f ca="1">IFERROR(GETPIVOTDATA("Cuenta de CANT",Tabla9,"PROV",[2]Tablas!$A$89,"SEFIS",BC$52,"CANT",[2]Tablas!$A47),0)</f>
        <v>5</v>
      </c>
      <c r="BD77" s="15">
        <f ca="1">IFERROR(GETPIVOTDATA("Cuenta de CANT",Tabla9,"PROV",[2]Tablas!$A$89,"SEFIS",BD$52,"CANT",[2]Tablas!$A47),0)</f>
        <v>0</v>
      </c>
    </row>
    <row r="78" spans="1:56" x14ac:dyDescent="0.35">
      <c r="A78" s="14" t="s">
        <v>172</v>
      </c>
      <c r="B78" s="15">
        <f t="shared" ca="1" si="10"/>
        <v>58</v>
      </c>
      <c r="C78" s="16">
        <f ca="1">IFERROR(B78/[2]Tablas!$B48*100000,"N/D")</f>
        <v>226.38563622170179</v>
      </c>
      <c r="D78" s="15">
        <f ca="1">IFERROR(GETPIVOTDATA("Cuenta de CANT",Tabla9,"PROV",[2]Tablas!$A$89,"SEFIS",D$52,"CANT",[2]Tablas!$A48),0)</f>
        <v>1</v>
      </c>
      <c r="E78" s="15">
        <f ca="1">IFERROR(GETPIVOTDATA("Cuenta de CANT",Tabla9,"PROV",[2]Tablas!$A$89,"SEFIS",E$52,"CANT",[2]Tablas!$A48),0)</f>
        <v>0</v>
      </c>
      <c r="F78" s="15">
        <f ca="1">IFERROR(GETPIVOTDATA("Cuenta de CANT",Tabla9,"PROV",[2]Tablas!$A$89,"SEFIS",F$52,"CANT",[2]Tablas!$A48),0)</f>
        <v>1</v>
      </c>
      <c r="G78" s="15">
        <f ca="1">IFERROR(GETPIVOTDATA("Cuenta de CANT",Tabla9,"PROV",[2]Tablas!$A$89,"SEFIS",G$52,"CANT",[2]Tablas!$A48),0)</f>
        <v>0</v>
      </c>
      <c r="H78" s="15">
        <f ca="1">IFERROR(GETPIVOTDATA("Cuenta de CANT",Tabla9,"PROV",[2]Tablas!$A$89,"SEFIS",H$52,"CANT",[2]Tablas!$A48),0)</f>
        <v>0</v>
      </c>
      <c r="I78" s="15">
        <f ca="1">IFERROR(GETPIVOTDATA("Cuenta de CANT",Tabla9,"PROV",[2]Tablas!$A$89,"SEFIS",I$52,"CANT",[2]Tablas!$A48),0)</f>
        <v>0</v>
      </c>
      <c r="J78" s="15">
        <f ca="1">IFERROR(GETPIVOTDATA("Cuenta de CANT",Tabla9,"PROV",[2]Tablas!$A$89,"SEFIS",J$52,"CANT",[2]Tablas!$A48),0)</f>
        <v>0</v>
      </c>
      <c r="K78" s="15">
        <f ca="1">IFERROR(GETPIVOTDATA("Cuenta de CANT",Tabla9,"PROV",[2]Tablas!$A$89,"SEFIS",K$52,"CANT",[2]Tablas!$A48),0)</f>
        <v>1</v>
      </c>
      <c r="L78" s="15">
        <f ca="1">IFERROR(GETPIVOTDATA("Cuenta de CANT",Tabla9,"PROV",[2]Tablas!$A$89,"SEFIS",L$52,"CANT",[2]Tablas!$A48),0)</f>
        <v>0</v>
      </c>
      <c r="M78" s="15">
        <f ca="1">IFERROR(GETPIVOTDATA("Cuenta de CANT",Tabla9,"PROV",[2]Tablas!$A$89,"SEFIS",M$52,"CANT",[2]Tablas!$A48),0)</f>
        <v>0</v>
      </c>
      <c r="N78" s="15">
        <f ca="1">IFERROR(GETPIVOTDATA("Cuenta de CANT",Tabla9,"PROV",[2]Tablas!$A$89,"SEFIS",N$52,"CANT",[2]Tablas!$A48),0)</f>
        <v>0</v>
      </c>
      <c r="O78" s="15">
        <f ca="1">IFERROR(GETPIVOTDATA("Cuenta de CANT",Tabla9,"PROV",[2]Tablas!$A$89,"SEFIS",O$52,"CANT",[2]Tablas!$A48),0)</f>
        <v>0</v>
      </c>
      <c r="P78" s="15">
        <f ca="1">IFERROR(GETPIVOTDATA("Cuenta de CANT",Tabla9,"PROV",[2]Tablas!$A$89,"SEFIS",P$52,"CANT",[2]Tablas!$A48),0)</f>
        <v>0</v>
      </c>
      <c r="Q78" s="15">
        <f ca="1">IFERROR(GETPIVOTDATA("Cuenta de CANT",Tabla9,"PROV",[2]Tablas!$A$89,"SEFIS",Q$52,"CANT",[2]Tablas!$A48),0)</f>
        <v>1</v>
      </c>
      <c r="R78" s="15">
        <f ca="1">IFERROR(GETPIVOTDATA("Cuenta de CANT",Tabla9,"PROV",[2]Tablas!$A$89,"SEFIS",R$52,"CANT",[2]Tablas!$A48),0)</f>
        <v>0</v>
      </c>
      <c r="S78" s="15">
        <f ca="1">IFERROR(GETPIVOTDATA("Cuenta de CANT",Tabla9,"PROV",[2]Tablas!$A$89,"SEFIS",S$52,"CANT",[2]Tablas!$A48),0)</f>
        <v>0</v>
      </c>
      <c r="T78" s="15">
        <f ca="1">IFERROR(GETPIVOTDATA("Cuenta de CANT",Tabla9,"PROV",[2]Tablas!$A$89,"SEFIS",T$52,"CANT",[2]Tablas!$A48),0)</f>
        <v>0</v>
      </c>
      <c r="U78" s="15">
        <f ca="1">IFERROR(GETPIVOTDATA("Cuenta de CANT",Tabla9,"PROV",[2]Tablas!$A$89,"SEFIS",U$52,"CANT",[2]Tablas!$A48),0)</f>
        <v>0</v>
      </c>
      <c r="V78" s="15">
        <f ca="1">IFERROR(GETPIVOTDATA("Cuenta de CANT",Tabla9,"PROV",[2]Tablas!$A$89,"SEFIS",V$52,"CANT",[2]Tablas!$A48),0)</f>
        <v>1</v>
      </c>
      <c r="W78" s="15">
        <f ca="1">IFERROR(GETPIVOTDATA("Cuenta de CANT",Tabla9,"PROV",[2]Tablas!$A$89,"SEFIS",W$52,"CANT",[2]Tablas!$A48),0)</f>
        <v>1</v>
      </c>
      <c r="X78" s="15">
        <f ca="1">IFERROR(GETPIVOTDATA("Cuenta de CANT",Tabla9,"PROV",[2]Tablas!$A$89,"SEFIS",X$52,"CANT",[2]Tablas!$A48),0)</f>
        <v>0</v>
      </c>
      <c r="Y78" s="15">
        <f ca="1">IFERROR(GETPIVOTDATA("Cuenta de CANT",Tabla9,"PROV",[2]Tablas!$A$89,"SEFIS",Y$52,"CANT",[2]Tablas!$A48),0)</f>
        <v>0</v>
      </c>
      <c r="Z78" s="15">
        <f ca="1">IFERROR(GETPIVOTDATA("Cuenta de CANT",Tabla9,"PROV",[2]Tablas!$A$89,"SEFIS",Z$52,"CANT",[2]Tablas!$A48),0)</f>
        <v>0</v>
      </c>
      <c r="AA78" s="15">
        <f ca="1">IFERROR(GETPIVOTDATA("Cuenta de CANT",Tabla9,"PROV",[2]Tablas!$A$89,"SEFIS",AA$52,"CANT",[2]Tablas!$A48),0)</f>
        <v>0</v>
      </c>
      <c r="AB78" s="15">
        <f ca="1">IFERROR(GETPIVOTDATA("Cuenta de CANT",Tabla9,"PROV",[2]Tablas!$A$89,"SEFIS",AB$52,"CANT",[2]Tablas!$A48),0)</f>
        <v>0</v>
      </c>
      <c r="AC78" s="15">
        <f ca="1">IFERROR(GETPIVOTDATA("Cuenta de CANT",Tabla9,"PROV",[2]Tablas!$A$89,"SEFIS",AC$52,"CANT",[2]Tablas!$A48),0)</f>
        <v>0</v>
      </c>
      <c r="AD78" s="15">
        <f ca="1">IFERROR(GETPIVOTDATA("Cuenta de CANT",Tabla9,"PROV",[2]Tablas!$A$89,"SEFIS",AD$52,"CANT",[2]Tablas!$A48),0)</f>
        <v>0</v>
      </c>
      <c r="AE78" s="15">
        <f ca="1">IFERROR(GETPIVOTDATA("Cuenta de CANT",Tabla9,"PROV",[2]Tablas!$A$89,"SEFIS",AE$52,"CANT",[2]Tablas!$A48),0)</f>
        <v>0</v>
      </c>
      <c r="AF78" s="15">
        <f ca="1">IFERROR(GETPIVOTDATA("Cuenta de CANT",Tabla9,"PROV",[2]Tablas!$A$89,"SEFIS",AF$52,"CANT",[2]Tablas!$A48),0)</f>
        <v>0</v>
      </c>
      <c r="AG78" s="15">
        <f ca="1">IFERROR(GETPIVOTDATA("Cuenta de CANT",Tabla9,"PROV",[2]Tablas!$A$89,"SEFIS",AG$52,"CANT",[2]Tablas!$A48),0)</f>
        <v>0</v>
      </c>
      <c r="AH78" s="15">
        <f ca="1">IFERROR(GETPIVOTDATA("Cuenta de CANT",Tabla9,"PROV",[2]Tablas!$A$89,"SEFIS",AH$52,"CANT",[2]Tablas!$A48),0)</f>
        <v>0</v>
      </c>
      <c r="AI78" s="15">
        <f ca="1">IFERROR(GETPIVOTDATA("Cuenta de CANT",Tabla9,"PROV",[2]Tablas!$A$89,"SEFIS",AI$52,"CANT",[2]Tablas!$A48),0)</f>
        <v>0</v>
      </c>
      <c r="AJ78" s="15">
        <f ca="1">IFERROR(GETPIVOTDATA("Cuenta de CANT",Tabla9,"PROV",[2]Tablas!$A$89,"SEFIS",AJ$52,"CANT",[2]Tablas!$A48),0)</f>
        <v>0</v>
      </c>
      <c r="AK78" s="15">
        <f ca="1">IFERROR(GETPIVOTDATA("Cuenta de CANT",Tabla9,"PROV",[2]Tablas!$A$89,"SEFIS",AK$52,"CANT",[2]Tablas!$A48),0)</f>
        <v>1</v>
      </c>
      <c r="AL78" s="15">
        <f ca="1">IFERROR(GETPIVOTDATA("Cuenta de CANT",Tabla9,"PROV",[2]Tablas!$A$89,"SEFIS",AL$52,"CANT",[2]Tablas!$A48),0)</f>
        <v>1</v>
      </c>
      <c r="AM78" s="15">
        <f ca="1">IFERROR(GETPIVOTDATA("Cuenta de CANT",Tabla9,"PROV",[2]Tablas!$A$89,"SEFIS",AM$52,"CANT",[2]Tablas!$A48),0)</f>
        <v>0</v>
      </c>
      <c r="AN78" s="15">
        <f ca="1">IFERROR(GETPIVOTDATA("Cuenta de CANT",Tabla9,"PROV",[2]Tablas!$A$89,"SEFIS",AN$52,"CANT",[2]Tablas!$A48),0)</f>
        <v>1</v>
      </c>
      <c r="AO78" s="15">
        <f ca="1">IFERROR(GETPIVOTDATA("Cuenta de CANT",Tabla9,"PROV",[2]Tablas!$A$89,"SEFIS",AO$52,"CANT",[2]Tablas!$A48),0)</f>
        <v>5</v>
      </c>
      <c r="AP78" s="15">
        <f ca="1">IFERROR(GETPIVOTDATA("Cuenta de CANT",Tabla9,"PROV",[2]Tablas!$A$89,"SEFIS",AP$52,"CANT",[2]Tablas!$A48),0)</f>
        <v>0</v>
      </c>
      <c r="AQ78" s="15">
        <f ca="1">IFERROR(GETPIVOTDATA("Cuenta de CANT",Tabla9,"PROV",[2]Tablas!$A$89,"SEFIS",AQ$52,"CANT",[2]Tablas!$A48),0)</f>
        <v>1</v>
      </c>
      <c r="AR78" s="15">
        <f ca="1">IFERROR(GETPIVOTDATA("Cuenta de CANT",Tabla9,"PROV",[2]Tablas!$A$89,"SEFIS",AR$52,"CANT",[2]Tablas!$A48),0)</f>
        <v>1</v>
      </c>
      <c r="AS78" s="15">
        <f ca="1">IFERROR(GETPIVOTDATA("Cuenta de CANT",Tabla9,"PROV",[2]Tablas!$A$89,"SEFIS",AS$52,"CANT",[2]Tablas!$A48),0)</f>
        <v>5</v>
      </c>
      <c r="AT78" s="15">
        <f ca="1">IFERROR(GETPIVOTDATA("Cuenta de CANT",Tabla9,"PROV",[2]Tablas!$A$89,"SEFIS",AT$52,"CANT",[2]Tablas!$A48),0)</f>
        <v>7</v>
      </c>
      <c r="AU78" s="15">
        <f ca="1">IFERROR(GETPIVOTDATA("Cuenta de CANT",Tabla9,"PROV",[2]Tablas!$A$89,"SEFIS",AU$52,"CANT",[2]Tablas!$A48),0)</f>
        <v>3</v>
      </c>
      <c r="AV78" s="15">
        <f ca="1">IFERROR(GETPIVOTDATA("Cuenta de CANT",Tabla9,"PROV",[2]Tablas!$A$89,"SEFIS",AV$52,"CANT",[2]Tablas!$A48),0)</f>
        <v>3</v>
      </c>
      <c r="AW78" s="15">
        <f ca="1">IFERROR(GETPIVOTDATA("Cuenta de CANT",Tabla9,"PROV",[2]Tablas!$A$89,"SEFIS",AW$52,"CANT",[2]Tablas!$A48),0)</f>
        <v>6</v>
      </c>
      <c r="AX78" s="15">
        <f ca="1">IFERROR(GETPIVOTDATA("Cuenta de CANT",Tabla9,"PROV",[2]Tablas!$A$89,"SEFIS",AX$52,"CANT",[2]Tablas!$A48),0)</f>
        <v>5</v>
      </c>
      <c r="AY78" s="15">
        <f ca="1">IFERROR(GETPIVOTDATA("Cuenta de CANT",Tabla9,"PROV",[2]Tablas!$A$89,"SEFIS",AY$52,"CANT",[2]Tablas!$A48),0)</f>
        <v>2</v>
      </c>
      <c r="AZ78" s="15">
        <f ca="1">IFERROR(GETPIVOTDATA("Cuenta de CANT",Tabla9,"PROV",[2]Tablas!$A$89,"SEFIS",AZ$52,"CANT",[2]Tablas!$A48),0)</f>
        <v>8</v>
      </c>
      <c r="BA78" s="15">
        <f ca="1">IFERROR(GETPIVOTDATA("Cuenta de CANT",Tabla9,"PROV",[2]Tablas!$A$89,"SEFIS",BA$52,"CANT",[2]Tablas!$A48),0)</f>
        <v>1</v>
      </c>
      <c r="BB78" s="15">
        <f ca="1">IFERROR(GETPIVOTDATA("Cuenta de CANT",Tabla9,"PROV",[2]Tablas!$A$89,"SEFIS",BB$52,"CANT",[2]Tablas!$A48),0)</f>
        <v>1</v>
      </c>
      <c r="BC78" s="15">
        <f ca="1">IFERROR(GETPIVOTDATA("Cuenta de CANT",Tabla9,"PROV",[2]Tablas!$A$89,"SEFIS",BC$52,"CANT",[2]Tablas!$A48),0)</f>
        <v>1</v>
      </c>
      <c r="BD78" s="15">
        <f ca="1">IFERROR(GETPIVOTDATA("Cuenta de CANT",Tabla9,"PROV",[2]Tablas!$A$89,"SEFIS",BD$52,"CANT",[2]Tablas!$A48),0)</f>
        <v>0</v>
      </c>
    </row>
    <row r="79" spans="1:56" x14ac:dyDescent="0.35">
      <c r="A79" s="14" t="s">
        <v>173</v>
      </c>
      <c r="B79" s="15">
        <f t="shared" ca="1" si="10"/>
        <v>406</v>
      </c>
      <c r="C79" s="16">
        <f ca="1">IFERROR(B79/[2]Tablas!$B49*100000,"N/D")</f>
        <v>814.14935429533966</v>
      </c>
      <c r="D79" s="15">
        <f ca="1">IFERROR(GETPIVOTDATA("Cuenta de CANT",Tabla9,"PROV",[2]Tablas!$A$89,"SEFIS",D$52,"CANT",[2]Tablas!$A49),0)</f>
        <v>0</v>
      </c>
      <c r="E79" s="15">
        <f ca="1">IFERROR(GETPIVOTDATA("Cuenta de CANT",Tabla9,"PROV",[2]Tablas!$A$89,"SEFIS",E$52,"CANT",[2]Tablas!$A49),0)</f>
        <v>0</v>
      </c>
      <c r="F79" s="15">
        <f ca="1">IFERROR(GETPIVOTDATA("Cuenta de CANT",Tabla9,"PROV",[2]Tablas!$A$89,"SEFIS",F$52,"CANT",[2]Tablas!$A49),0)</f>
        <v>0</v>
      </c>
      <c r="G79" s="15">
        <f ca="1">IFERROR(GETPIVOTDATA("Cuenta de CANT",Tabla9,"PROV",[2]Tablas!$A$89,"SEFIS",G$52,"CANT",[2]Tablas!$A49),0)</f>
        <v>1</v>
      </c>
      <c r="H79" s="15">
        <f ca="1">IFERROR(GETPIVOTDATA("Cuenta de CANT",Tabla9,"PROV",[2]Tablas!$A$89,"SEFIS",H$52,"CANT",[2]Tablas!$A49),0)</f>
        <v>0</v>
      </c>
      <c r="I79" s="15">
        <f ca="1">IFERROR(GETPIVOTDATA("Cuenta de CANT",Tabla9,"PROV",[2]Tablas!$A$89,"SEFIS",I$52,"CANT",[2]Tablas!$A49),0)</f>
        <v>0</v>
      </c>
      <c r="J79" s="15">
        <f ca="1">IFERROR(GETPIVOTDATA("Cuenta de CANT",Tabla9,"PROV",[2]Tablas!$A$89,"SEFIS",J$52,"CANT",[2]Tablas!$A49),0)</f>
        <v>1</v>
      </c>
      <c r="K79" s="15">
        <f ca="1">IFERROR(GETPIVOTDATA("Cuenta de CANT",Tabla9,"PROV",[2]Tablas!$A$89,"SEFIS",K$52,"CANT",[2]Tablas!$A49),0)</f>
        <v>0</v>
      </c>
      <c r="L79" s="15">
        <f ca="1">IFERROR(GETPIVOTDATA("Cuenta de CANT",Tabla9,"PROV",[2]Tablas!$A$89,"SEFIS",L$52,"CANT",[2]Tablas!$A49),0)</f>
        <v>0</v>
      </c>
      <c r="M79" s="15">
        <f ca="1">IFERROR(GETPIVOTDATA("Cuenta de CANT",Tabla9,"PROV",[2]Tablas!$A$89,"SEFIS",M$52,"CANT",[2]Tablas!$A49),0)</f>
        <v>0</v>
      </c>
      <c r="N79" s="15">
        <f ca="1">IFERROR(GETPIVOTDATA("Cuenta de CANT",Tabla9,"PROV",[2]Tablas!$A$89,"SEFIS",N$52,"CANT",[2]Tablas!$A49),0)</f>
        <v>0</v>
      </c>
      <c r="O79" s="15">
        <f ca="1">IFERROR(GETPIVOTDATA("Cuenta de CANT",Tabla9,"PROV",[2]Tablas!$A$89,"SEFIS",O$52,"CANT",[2]Tablas!$A49),0)</f>
        <v>0</v>
      </c>
      <c r="P79" s="15">
        <f ca="1">IFERROR(GETPIVOTDATA("Cuenta de CANT",Tabla9,"PROV",[2]Tablas!$A$89,"SEFIS",P$52,"CANT",[2]Tablas!$A49),0)</f>
        <v>0</v>
      </c>
      <c r="Q79" s="15">
        <f ca="1">IFERROR(GETPIVOTDATA("Cuenta de CANT",Tabla9,"PROV",[2]Tablas!$A$89,"SEFIS",Q$52,"CANT",[2]Tablas!$A49),0)</f>
        <v>0</v>
      </c>
      <c r="R79" s="15">
        <f ca="1">IFERROR(GETPIVOTDATA("Cuenta de CANT",Tabla9,"PROV",[2]Tablas!$A$89,"SEFIS",R$52,"CANT",[2]Tablas!$A49),0)</f>
        <v>0</v>
      </c>
      <c r="S79" s="15">
        <f ca="1">IFERROR(GETPIVOTDATA("Cuenta de CANT",Tabla9,"PROV",[2]Tablas!$A$89,"SEFIS",S$52,"CANT",[2]Tablas!$A49),0)</f>
        <v>0</v>
      </c>
      <c r="T79" s="15">
        <f ca="1">IFERROR(GETPIVOTDATA("Cuenta de CANT",Tabla9,"PROV",[2]Tablas!$A$89,"SEFIS",T$52,"CANT",[2]Tablas!$A49),0)</f>
        <v>1</v>
      </c>
      <c r="U79" s="15">
        <f ca="1">IFERROR(GETPIVOTDATA("Cuenta de CANT",Tabla9,"PROV",[2]Tablas!$A$89,"SEFIS",U$52,"CANT",[2]Tablas!$A49),0)</f>
        <v>0</v>
      </c>
      <c r="V79" s="15">
        <f ca="1">IFERROR(GETPIVOTDATA("Cuenta de CANT",Tabla9,"PROV",[2]Tablas!$A$89,"SEFIS",V$52,"CANT",[2]Tablas!$A49),0)</f>
        <v>0</v>
      </c>
      <c r="W79" s="15">
        <f ca="1">IFERROR(GETPIVOTDATA("Cuenta de CANT",Tabla9,"PROV",[2]Tablas!$A$89,"SEFIS",W$52,"CANT",[2]Tablas!$A49),0)</f>
        <v>2</v>
      </c>
      <c r="X79" s="15">
        <f ca="1">IFERROR(GETPIVOTDATA("Cuenta de CANT",Tabla9,"PROV",[2]Tablas!$A$89,"SEFIS",X$52,"CANT",[2]Tablas!$A49),0)</f>
        <v>1</v>
      </c>
      <c r="Y79" s="15">
        <f ca="1">IFERROR(GETPIVOTDATA("Cuenta de CANT",Tabla9,"PROV",[2]Tablas!$A$89,"SEFIS",Y$52,"CANT",[2]Tablas!$A49),0)</f>
        <v>0</v>
      </c>
      <c r="Z79" s="15">
        <f ca="1">IFERROR(GETPIVOTDATA("Cuenta de CANT",Tabla9,"PROV",[2]Tablas!$A$89,"SEFIS",Z$52,"CANT",[2]Tablas!$A49),0)</f>
        <v>0</v>
      </c>
      <c r="AA79" s="15">
        <f ca="1">IFERROR(GETPIVOTDATA("Cuenta de CANT",Tabla9,"PROV",[2]Tablas!$A$89,"SEFIS",AA$52,"CANT",[2]Tablas!$A49),0)</f>
        <v>0</v>
      </c>
      <c r="AB79" s="15">
        <f ca="1">IFERROR(GETPIVOTDATA("Cuenta de CANT",Tabla9,"PROV",[2]Tablas!$A$89,"SEFIS",AB$52,"CANT",[2]Tablas!$A49),0)</f>
        <v>1</v>
      </c>
      <c r="AC79" s="15">
        <f ca="1">IFERROR(GETPIVOTDATA("Cuenta de CANT",Tabla9,"PROV",[2]Tablas!$A$89,"SEFIS",AC$52,"CANT",[2]Tablas!$A49),0)</f>
        <v>0</v>
      </c>
      <c r="AD79" s="15">
        <f ca="1">IFERROR(GETPIVOTDATA("Cuenta de CANT",Tabla9,"PROV",[2]Tablas!$A$89,"SEFIS",AD$52,"CANT",[2]Tablas!$A49),0)</f>
        <v>2</v>
      </c>
      <c r="AE79" s="15">
        <f ca="1">IFERROR(GETPIVOTDATA("Cuenta de CANT",Tabla9,"PROV",[2]Tablas!$A$89,"SEFIS",AE$52,"CANT",[2]Tablas!$A49),0)</f>
        <v>4</v>
      </c>
      <c r="AF79" s="15">
        <f ca="1">IFERROR(GETPIVOTDATA("Cuenta de CANT",Tabla9,"PROV",[2]Tablas!$A$89,"SEFIS",AF$52,"CANT",[2]Tablas!$A49),0)</f>
        <v>7</v>
      </c>
      <c r="AG79" s="15">
        <f ca="1">IFERROR(GETPIVOTDATA("Cuenta de CANT",Tabla9,"PROV",[2]Tablas!$A$89,"SEFIS",AG$52,"CANT",[2]Tablas!$A49),0)</f>
        <v>8</v>
      </c>
      <c r="AH79" s="15">
        <f ca="1">IFERROR(GETPIVOTDATA("Cuenta de CANT",Tabla9,"PROV",[2]Tablas!$A$89,"SEFIS",AH$52,"CANT",[2]Tablas!$A49),0)</f>
        <v>15</v>
      </c>
      <c r="AI79" s="15">
        <f ca="1">IFERROR(GETPIVOTDATA("Cuenta de CANT",Tabla9,"PROV",[2]Tablas!$A$89,"SEFIS",AI$52,"CANT",[2]Tablas!$A49),0)</f>
        <v>9</v>
      </c>
      <c r="AJ79" s="15">
        <f ca="1">IFERROR(GETPIVOTDATA("Cuenta de CANT",Tabla9,"PROV",[2]Tablas!$A$89,"SEFIS",AJ$52,"CANT",[2]Tablas!$A49),0)</f>
        <v>8</v>
      </c>
      <c r="AK79" s="15">
        <f ca="1">IFERROR(GETPIVOTDATA("Cuenta de CANT",Tabla9,"PROV",[2]Tablas!$A$89,"SEFIS",AK$52,"CANT",[2]Tablas!$A49),0)</f>
        <v>12</v>
      </c>
      <c r="AL79" s="15">
        <f ca="1">IFERROR(GETPIVOTDATA("Cuenta de CANT",Tabla9,"PROV",[2]Tablas!$A$89,"SEFIS",AL$52,"CANT",[2]Tablas!$A49),0)</f>
        <v>11</v>
      </c>
      <c r="AM79" s="15">
        <f ca="1">IFERROR(GETPIVOTDATA("Cuenta de CANT",Tabla9,"PROV",[2]Tablas!$A$89,"SEFIS",AM$52,"CANT",[2]Tablas!$A49),0)</f>
        <v>17</v>
      </c>
      <c r="AN79" s="15">
        <f ca="1">IFERROR(GETPIVOTDATA("Cuenta de CANT",Tabla9,"PROV",[2]Tablas!$A$89,"SEFIS",AN$52,"CANT",[2]Tablas!$A49),0)</f>
        <v>12</v>
      </c>
      <c r="AO79" s="15">
        <f ca="1">IFERROR(GETPIVOTDATA("Cuenta de CANT",Tabla9,"PROV",[2]Tablas!$A$89,"SEFIS",AO$52,"CANT",[2]Tablas!$A49),0)</f>
        <v>18</v>
      </c>
      <c r="AP79" s="15">
        <f ca="1">IFERROR(GETPIVOTDATA("Cuenta de CANT",Tabla9,"PROV",[2]Tablas!$A$89,"SEFIS",AP$52,"CANT",[2]Tablas!$A49),0)</f>
        <v>13</v>
      </c>
      <c r="AQ79" s="15">
        <f ca="1">IFERROR(GETPIVOTDATA("Cuenta de CANT",Tabla9,"PROV",[2]Tablas!$A$89,"SEFIS",AQ$52,"CANT",[2]Tablas!$A49),0)</f>
        <v>11</v>
      </c>
      <c r="AR79" s="15">
        <f ca="1">IFERROR(GETPIVOTDATA("Cuenta de CANT",Tabla9,"PROV",[2]Tablas!$A$89,"SEFIS",AR$52,"CANT",[2]Tablas!$A49),0)</f>
        <v>27</v>
      </c>
      <c r="AS79" s="15">
        <f ca="1">IFERROR(GETPIVOTDATA("Cuenta de CANT",Tabla9,"PROV",[2]Tablas!$A$89,"SEFIS",AS$52,"CANT",[2]Tablas!$A49),0)</f>
        <v>10</v>
      </c>
      <c r="AT79" s="15">
        <f ca="1">IFERROR(GETPIVOTDATA("Cuenta de CANT",Tabla9,"PROV",[2]Tablas!$A$89,"SEFIS",AT$52,"CANT",[2]Tablas!$A49),0)</f>
        <v>19</v>
      </c>
      <c r="AU79" s="15">
        <f ca="1">IFERROR(GETPIVOTDATA("Cuenta de CANT",Tabla9,"PROV",[2]Tablas!$A$89,"SEFIS",AU$52,"CANT",[2]Tablas!$A49),0)</f>
        <v>36</v>
      </c>
      <c r="AV79" s="15">
        <f ca="1">IFERROR(GETPIVOTDATA("Cuenta de CANT",Tabla9,"PROV",[2]Tablas!$A$89,"SEFIS",AV$52,"CANT",[2]Tablas!$A49),0)</f>
        <v>29</v>
      </c>
      <c r="AW79" s="15">
        <f ca="1">IFERROR(GETPIVOTDATA("Cuenta de CANT",Tabla9,"PROV",[2]Tablas!$A$89,"SEFIS",AW$52,"CANT",[2]Tablas!$A49),0)</f>
        <v>26</v>
      </c>
      <c r="AX79" s="15">
        <f ca="1">IFERROR(GETPIVOTDATA("Cuenta de CANT",Tabla9,"PROV",[2]Tablas!$A$89,"SEFIS",AX$52,"CANT",[2]Tablas!$A49),0)</f>
        <v>17</v>
      </c>
      <c r="AY79" s="15">
        <f ca="1">IFERROR(GETPIVOTDATA("Cuenta de CANT",Tabla9,"PROV",[2]Tablas!$A$89,"SEFIS",AY$52,"CANT",[2]Tablas!$A49),0)</f>
        <v>30</v>
      </c>
      <c r="AZ79" s="15">
        <f ca="1">IFERROR(GETPIVOTDATA("Cuenta de CANT",Tabla9,"PROV",[2]Tablas!$A$89,"SEFIS",AZ$52,"CANT",[2]Tablas!$A49),0)</f>
        <v>19</v>
      </c>
      <c r="BA79" s="15">
        <f ca="1">IFERROR(GETPIVOTDATA("Cuenta de CANT",Tabla9,"PROV",[2]Tablas!$A$89,"SEFIS",BA$52,"CANT",[2]Tablas!$A49),0)</f>
        <v>18</v>
      </c>
      <c r="BB79" s="15">
        <f ca="1">IFERROR(GETPIVOTDATA("Cuenta de CANT",Tabla9,"PROV",[2]Tablas!$A$89,"SEFIS",BB$52,"CANT",[2]Tablas!$A49),0)</f>
        <v>12</v>
      </c>
      <c r="BC79" s="15">
        <f ca="1">IFERROR(GETPIVOTDATA("Cuenta de CANT",Tabla9,"PROV",[2]Tablas!$A$89,"SEFIS",BC$52,"CANT",[2]Tablas!$A49),0)</f>
        <v>9</v>
      </c>
      <c r="BD79" s="15">
        <f ca="1">IFERROR(GETPIVOTDATA("Cuenta de CANT",Tabla9,"PROV",[2]Tablas!$A$89,"SEFIS",BD$52,"CANT",[2]Tablas!$A49),0)</f>
        <v>0</v>
      </c>
    </row>
    <row r="80" spans="1:56" x14ac:dyDescent="0.35">
      <c r="A80" s="14" t="s">
        <v>174</v>
      </c>
      <c r="B80" s="15">
        <f t="shared" ca="1" si="10"/>
        <v>89</v>
      </c>
      <c r="C80" s="16">
        <f ca="1">IFERROR(B80/[2]Tablas!$B50*100000,"N/D")</f>
        <v>271.92178429575313</v>
      </c>
      <c r="D80" s="15">
        <f ca="1">IFERROR(GETPIVOTDATA("Cuenta de CANT",Tabla9,"PROV",[2]Tablas!$A$89,"SEFIS",D$52,"CANT",[2]Tablas!$A50),0)</f>
        <v>2</v>
      </c>
      <c r="E80" s="15">
        <f ca="1">IFERROR(GETPIVOTDATA("Cuenta de CANT",Tabla9,"PROV",[2]Tablas!$A$89,"SEFIS",E$52,"CANT",[2]Tablas!$A50),0)</f>
        <v>5</v>
      </c>
      <c r="F80" s="15">
        <f ca="1">IFERROR(GETPIVOTDATA("Cuenta de CANT",Tabla9,"PROV",[2]Tablas!$A$89,"SEFIS",F$52,"CANT",[2]Tablas!$A50),0)</f>
        <v>3</v>
      </c>
      <c r="G80" s="15">
        <f ca="1">IFERROR(GETPIVOTDATA("Cuenta de CANT",Tabla9,"PROV",[2]Tablas!$A$89,"SEFIS",G$52,"CANT",[2]Tablas!$A50),0)</f>
        <v>3</v>
      </c>
      <c r="H80" s="15">
        <f ca="1">IFERROR(GETPIVOTDATA("Cuenta de CANT",Tabla9,"PROV",[2]Tablas!$A$89,"SEFIS",H$52,"CANT",[2]Tablas!$A50),0)</f>
        <v>3</v>
      </c>
      <c r="I80" s="15">
        <f ca="1">IFERROR(GETPIVOTDATA("Cuenta de CANT",Tabla9,"PROV",[2]Tablas!$A$89,"SEFIS",I$52,"CANT",[2]Tablas!$A50),0)</f>
        <v>0</v>
      </c>
      <c r="J80" s="15">
        <f ca="1">IFERROR(GETPIVOTDATA("Cuenta de CANT",Tabla9,"PROV",[2]Tablas!$A$89,"SEFIS",J$52,"CANT",[2]Tablas!$A50),0)</f>
        <v>0</v>
      </c>
      <c r="K80" s="15">
        <f ca="1">IFERROR(GETPIVOTDATA("Cuenta de CANT",Tabla9,"PROV",[2]Tablas!$A$89,"SEFIS",K$52,"CANT",[2]Tablas!$A50),0)</f>
        <v>0</v>
      </c>
      <c r="L80" s="15">
        <f ca="1">IFERROR(GETPIVOTDATA("Cuenta de CANT",Tabla9,"PROV",[2]Tablas!$A$89,"SEFIS",L$52,"CANT",[2]Tablas!$A50),0)</f>
        <v>2</v>
      </c>
      <c r="M80" s="15">
        <f ca="1">IFERROR(GETPIVOTDATA("Cuenta de CANT",Tabla9,"PROV",[2]Tablas!$A$89,"SEFIS",M$52,"CANT",[2]Tablas!$A50),0)</f>
        <v>0</v>
      </c>
      <c r="N80" s="15">
        <f ca="1">IFERROR(GETPIVOTDATA("Cuenta de CANT",Tabla9,"PROV",[2]Tablas!$A$89,"SEFIS",N$52,"CANT",[2]Tablas!$A50),0)</f>
        <v>0</v>
      </c>
      <c r="O80" s="15">
        <f ca="1">IFERROR(GETPIVOTDATA("Cuenta de CANT",Tabla9,"PROV",[2]Tablas!$A$89,"SEFIS",O$52,"CANT",[2]Tablas!$A50),0)</f>
        <v>0</v>
      </c>
      <c r="P80" s="15">
        <f ca="1">IFERROR(GETPIVOTDATA("Cuenta de CANT",Tabla9,"PROV",[2]Tablas!$A$89,"SEFIS",P$52,"CANT",[2]Tablas!$A50),0)</f>
        <v>0</v>
      </c>
      <c r="Q80" s="15">
        <f ca="1">IFERROR(GETPIVOTDATA("Cuenta de CANT",Tabla9,"PROV",[2]Tablas!$A$89,"SEFIS",Q$52,"CANT",[2]Tablas!$A50),0)</f>
        <v>0</v>
      </c>
      <c r="R80" s="15">
        <f ca="1">IFERROR(GETPIVOTDATA("Cuenta de CANT",Tabla9,"PROV",[2]Tablas!$A$89,"SEFIS",R$52,"CANT",[2]Tablas!$A50),0)</f>
        <v>0</v>
      </c>
      <c r="S80" s="15">
        <f ca="1">IFERROR(GETPIVOTDATA("Cuenta de CANT",Tabla9,"PROV",[2]Tablas!$A$89,"SEFIS",S$52,"CANT",[2]Tablas!$A50),0)</f>
        <v>0</v>
      </c>
      <c r="T80" s="15">
        <f ca="1">IFERROR(GETPIVOTDATA("Cuenta de CANT",Tabla9,"PROV",[2]Tablas!$A$89,"SEFIS",T$52,"CANT",[2]Tablas!$A50),0)</f>
        <v>0</v>
      </c>
      <c r="U80" s="15">
        <f ca="1">IFERROR(GETPIVOTDATA("Cuenta de CANT",Tabla9,"PROV",[2]Tablas!$A$89,"SEFIS",U$52,"CANT",[2]Tablas!$A50),0)</f>
        <v>2</v>
      </c>
      <c r="V80" s="15">
        <f ca="1">IFERROR(GETPIVOTDATA("Cuenta de CANT",Tabla9,"PROV",[2]Tablas!$A$89,"SEFIS",V$52,"CANT",[2]Tablas!$A50),0)</f>
        <v>0</v>
      </c>
      <c r="W80" s="15">
        <f ca="1">IFERROR(GETPIVOTDATA("Cuenta de CANT",Tabla9,"PROV",[2]Tablas!$A$89,"SEFIS",W$52,"CANT",[2]Tablas!$A50),0)</f>
        <v>1</v>
      </c>
      <c r="X80" s="15">
        <f ca="1">IFERROR(GETPIVOTDATA("Cuenta de CANT",Tabla9,"PROV",[2]Tablas!$A$89,"SEFIS",X$52,"CANT",[2]Tablas!$A50),0)</f>
        <v>0</v>
      </c>
      <c r="Y80" s="15">
        <f ca="1">IFERROR(GETPIVOTDATA("Cuenta de CANT",Tabla9,"PROV",[2]Tablas!$A$89,"SEFIS",Y$52,"CANT",[2]Tablas!$A50),0)</f>
        <v>0</v>
      </c>
      <c r="Z80" s="15">
        <f ca="1">IFERROR(GETPIVOTDATA("Cuenta de CANT",Tabla9,"PROV",[2]Tablas!$A$89,"SEFIS",Z$52,"CANT",[2]Tablas!$A50),0)</f>
        <v>0</v>
      </c>
      <c r="AA80" s="15">
        <f ca="1">IFERROR(GETPIVOTDATA("Cuenta de CANT",Tabla9,"PROV",[2]Tablas!$A$89,"SEFIS",AA$52,"CANT",[2]Tablas!$A50),0)</f>
        <v>0</v>
      </c>
      <c r="AB80" s="15">
        <f ca="1">IFERROR(GETPIVOTDATA("Cuenta de CANT",Tabla9,"PROV",[2]Tablas!$A$89,"SEFIS",AB$52,"CANT",[2]Tablas!$A50),0)</f>
        <v>0</v>
      </c>
      <c r="AC80" s="15">
        <f ca="1">IFERROR(GETPIVOTDATA("Cuenta de CANT",Tabla9,"PROV",[2]Tablas!$A$89,"SEFIS",AC$52,"CANT",[2]Tablas!$A50),0)</f>
        <v>0</v>
      </c>
      <c r="AD80" s="15">
        <f ca="1">IFERROR(GETPIVOTDATA("Cuenta de CANT",Tabla9,"PROV",[2]Tablas!$A$89,"SEFIS",AD$52,"CANT",[2]Tablas!$A50),0)</f>
        <v>0</v>
      </c>
      <c r="AE80" s="15">
        <f ca="1">IFERROR(GETPIVOTDATA("Cuenta de CANT",Tabla9,"PROV",[2]Tablas!$A$89,"SEFIS",AE$52,"CANT",[2]Tablas!$A50),0)</f>
        <v>0</v>
      </c>
      <c r="AF80" s="15">
        <f ca="1">IFERROR(GETPIVOTDATA("Cuenta de CANT",Tabla9,"PROV",[2]Tablas!$A$89,"SEFIS",AF$52,"CANT",[2]Tablas!$A50),0)</f>
        <v>0</v>
      </c>
      <c r="AG80" s="15">
        <f ca="1">IFERROR(GETPIVOTDATA("Cuenta de CANT",Tabla9,"PROV",[2]Tablas!$A$89,"SEFIS",AG$52,"CANT",[2]Tablas!$A50),0)</f>
        <v>1</v>
      </c>
      <c r="AH80" s="15">
        <f ca="1">IFERROR(GETPIVOTDATA("Cuenta de CANT",Tabla9,"PROV",[2]Tablas!$A$89,"SEFIS",AH$52,"CANT",[2]Tablas!$A50),0)</f>
        <v>0</v>
      </c>
      <c r="AI80" s="15">
        <f ca="1">IFERROR(GETPIVOTDATA("Cuenta de CANT",Tabla9,"PROV",[2]Tablas!$A$89,"SEFIS",AI$52,"CANT",[2]Tablas!$A50),0)</f>
        <v>1</v>
      </c>
      <c r="AJ80" s="15">
        <f ca="1">IFERROR(GETPIVOTDATA("Cuenta de CANT",Tabla9,"PROV",[2]Tablas!$A$89,"SEFIS",AJ$52,"CANT",[2]Tablas!$A50),0)</f>
        <v>1</v>
      </c>
      <c r="AK80" s="15">
        <f ca="1">IFERROR(GETPIVOTDATA("Cuenta de CANT",Tabla9,"PROV",[2]Tablas!$A$89,"SEFIS",AK$52,"CANT",[2]Tablas!$A50),0)</f>
        <v>0</v>
      </c>
      <c r="AL80" s="15">
        <f ca="1">IFERROR(GETPIVOTDATA("Cuenta de CANT",Tabla9,"PROV",[2]Tablas!$A$89,"SEFIS",AL$52,"CANT",[2]Tablas!$A50),0)</f>
        <v>0</v>
      </c>
      <c r="AM80" s="15">
        <f ca="1">IFERROR(GETPIVOTDATA("Cuenta de CANT",Tabla9,"PROV",[2]Tablas!$A$89,"SEFIS",AM$52,"CANT",[2]Tablas!$A50),0)</f>
        <v>0</v>
      </c>
      <c r="AN80" s="15">
        <f ca="1">IFERROR(GETPIVOTDATA("Cuenta de CANT",Tabla9,"PROV",[2]Tablas!$A$89,"SEFIS",AN$52,"CANT",[2]Tablas!$A50),0)</f>
        <v>0</v>
      </c>
      <c r="AO80" s="15">
        <f ca="1">IFERROR(GETPIVOTDATA("Cuenta de CANT",Tabla9,"PROV",[2]Tablas!$A$89,"SEFIS",AO$52,"CANT",[2]Tablas!$A50),0)</f>
        <v>1</v>
      </c>
      <c r="AP80" s="15">
        <f ca="1">IFERROR(GETPIVOTDATA("Cuenta de CANT",Tabla9,"PROV",[2]Tablas!$A$89,"SEFIS",AP$52,"CANT",[2]Tablas!$A50),0)</f>
        <v>0</v>
      </c>
      <c r="AQ80" s="15">
        <f ca="1">IFERROR(GETPIVOTDATA("Cuenta de CANT",Tabla9,"PROV",[2]Tablas!$A$89,"SEFIS",AQ$52,"CANT",[2]Tablas!$A50),0)</f>
        <v>0</v>
      </c>
      <c r="AR80" s="15">
        <f ca="1">IFERROR(GETPIVOTDATA("Cuenta de CANT",Tabla9,"PROV",[2]Tablas!$A$89,"SEFIS",AR$52,"CANT",[2]Tablas!$A50),0)</f>
        <v>3</v>
      </c>
      <c r="AS80" s="15">
        <f ca="1">IFERROR(GETPIVOTDATA("Cuenta de CANT",Tabla9,"PROV",[2]Tablas!$A$89,"SEFIS",AS$52,"CANT",[2]Tablas!$A50),0)</f>
        <v>4</v>
      </c>
      <c r="AT80" s="15">
        <f ca="1">IFERROR(GETPIVOTDATA("Cuenta de CANT",Tabla9,"PROV",[2]Tablas!$A$89,"SEFIS",AT$52,"CANT",[2]Tablas!$A50),0)</f>
        <v>2</v>
      </c>
      <c r="AU80" s="15">
        <f ca="1">IFERROR(GETPIVOTDATA("Cuenta de CANT",Tabla9,"PROV",[2]Tablas!$A$89,"SEFIS",AU$52,"CANT",[2]Tablas!$A50),0)</f>
        <v>2</v>
      </c>
      <c r="AV80" s="15">
        <f ca="1">IFERROR(GETPIVOTDATA("Cuenta de CANT",Tabla9,"PROV",[2]Tablas!$A$89,"SEFIS",AV$52,"CANT",[2]Tablas!$A50),0)</f>
        <v>5</v>
      </c>
      <c r="AW80" s="15">
        <f ca="1">IFERROR(GETPIVOTDATA("Cuenta de CANT",Tabla9,"PROV",[2]Tablas!$A$89,"SEFIS",AW$52,"CANT",[2]Tablas!$A50),0)</f>
        <v>9</v>
      </c>
      <c r="AX80" s="15">
        <f ca="1">IFERROR(GETPIVOTDATA("Cuenta de CANT",Tabla9,"PROV",[2]Tablas!$A$89,"SEFIS",AX$52,"CANT",[2]Tablas!$A50),0)</f>
        <v>9</v>
      </c>
      <c r="AY80" s="15">
        <f ca="1">IFERROR(GETPIVOTDATA("Cuenta de CANT",Tabla9,"PROV",[2]Tablas!$A$89,"SEFIS",AY$52,"CANT",[2]Tablas!$A50),0)</f>
        <v>4</v>
      </c>
      <c r="AZ80" s="15">
        <f ca="1">IFERROR(GETPIVOTDATA("Cuenta de CANT",Tabla9,"PROV",[2]Tablas!$A$89,"SEFIS",AZ$52,"CANT",[2]Tablas!$A50),0)</f>
        <v>7</v>
      </c>
      <c r="BA80" s="15">
        <f ca="1">IFERROR(GETPIVOTDATA("Cuenta de CANT",Tabla9,"PROV",[2]Tablas!$A$89,"SEFIS",BA$52,"CANT",[2]Tablas!$A50),0)</f>
        <v>13</v>
      </c>
      <c r="BB80" s="15">
        <f ca="1">IFERROR(GETPIVOTDATA("Cuenta de CANT",Tabla9,"PROV",[2]Tablas!$A$89,"SEFIS",BB$52,"CANT",[2]Tablas!$A50),0)</f>
        <v>6</v>
      </c>
      <c r="BC80" s="15">
        <f ca="1">IFERROR(GETPIVOTDATA("Cuenta de CANT",Tabla9,"PROV",[2]Tablas!$A$89,"SEFIS",BC$52,"CANT",[2]Tablas!$A50),0)</f>
        <v>0</v>
      </c>
      <c r="BD80" s="15">
        <f ca="1">IFERROR(GETPIVOTDATA("Cuenta de CANT",Tabla9,"PROV",[2]Tablas!$A$89,"SEFIS",BD$52,"CANT",[2]Tablas!$A50),0)</f>
        <v>0</v>
      </c>
    </row>
    <row r="81" spans="1:56" x14ac:dyDescent="0.35">
      <c r="A81" s="14" t="s">
        <v>175</v>
      </c>
      <c r="B81" s="15">
        <f t="shared" ca="1" si="10"/>
        <v>23</v>
      </c>
      <c r="C81" s="16">
        <f ca="1">IFERROR(B81/[2]Tablas!$B51*100000,"N/D")</f>
        <v>114.45063694267516</v>
      </c>
      <c r="D81" s="15">
        <f ca="1">IFERROR(GETPIVOTDATA("Cuenta de CANT",Tabla9,"PROV",[2]Tablas!$A$89,"SEFIS",D$52,"CANT",[2]Tablas!$A51),0)</f>
        <v>0</v>
      </c>
      <c r="E81" s="15">
        <f ca="1">IFERROR(GETPIVOTDATA("Cuenta de CANT",Tabla9,"PROV",[2]Tablas!$A$89,"SEFIS",E$52,"CANT",[2]Tablas!$A51),0)</f>
        <v>0</v>
      </c>
      <c r="F81" s="15">
        <f ca="1">IFERROR(GETPIVOTDATA("Cuenta de CANT",Tabla9,"PROV",[2]Tablas!$A$89,"SEFIS",F$52,"CANT",[2]Tablas!$A51),0)</f>
        <v>1</v>
      </c>
      <c r="G81" s="15">
        <f ca="1">IFERROR(GETPIVOTDATA("Cuenta de CANT",Tabla9,"PROV",[2]Tablas!$A$89,"SEFIS",G$52,"CANT",[2]Tablas!$A51),0)</f>
        <v>0</v>
      </c>
      <c r="H81" s="15">
        <f ca="1">IFERROR(GETPIVOTDATA("Cuenta de CANT",Tabla9,"PROV",[2]Tablas!$A$89,"SEFIS",H$52,"CANT",[2]Tablas!$A51),0)</f>
        <v>0</v>
      </c>
      <c r="I81" s="15">
        <f ca="1">IFERROR(GETPIVOTDATA("Cuenta de CANT",Tabla9,"PROV",[2]Tablas!$A$89,"SEFIS",I$52,"CANT",[2]Tablas!$A51),0)</f>
        <v>0</v>
      </c>
      <c r="J81" s="15">
        <f ca="1">IFERROR(GETPIVOTDATA("Cuenta de CANT",Tabla9,"PROV",[2]Tablas!$A$89,"SEFIS",J$52,"CANT",[2]Tablas!$A51),0)</f>
        <v>0</v>
      </c>
      <c r="K81" s="15">
        <f ca="1">IFERROR(GETPIVOTDATA("Cuenta de CANT",Tabla9,"PROV",[2]Tablas!$A$89,"SEFIS",K$52,"CANT",[2]Tablas!$A51),0)</f>
        <v>0</v>
      </c>
      <c r="L81" s="15">
        <f ca="1">IFERROR(GETPIVOTDATA("Cuenta de CANT",Tabla9,"PROV",[2]Tablas!$A$89,"SEFIS",L$52,"CANT",[2]Tablas!$A51),0)</f>
        <v>1</v>
      </c>
      <c r="M81" s="15">
        <f ca="1">IFERROR(GETPIVOTDATA("Cuenta de CANT",Tabla9,"PROV",[2]Tablas!$A$89,"SEFIS",M$52,"CANT",[2]Tablas!$A51),0)</f>
        <v>0</v>
      </c>
      <c r="N81" s="15">
        <f ca="1">IFERROR(GETPIVOTDATA("Cuenta de CANT",Tabla9,"PROV",[2]Tablas!$A$89,"SEFIS",N$52,"CANT",[2]Tablas!$A51),0)</f>
        <v>1</v>
      </c>
      <c r="O81" s="15">
        <f ca="1">IFERROR(GETPIVOTDATA("Cuenta de CANT",Tabla9,"PROV",[2]Tablas!$A$89,"SEFIS",O$52,"CANT",[2]Tablas!$A51),0)</f>
        <v>0</v>
      </c>
      <c r="P81" s="15">
        <f ca="1">IFERROR(GETPIVOTDATA("Cuenta de CANT",Tabla9,"PROV",[2]Tablas!$A$89,"SEFIS",P$52,"CANT",[2]Tablas!$A51),0)</f>
        <v>1</v>
      </c>
      <c r="Q81" s="15">
        <f ca="1">IFERROR(GETPIVOTDATA("Cuenta de CANT",Tabla9,"PROV",[2]Tablas!$A$89,"SEFIS",Q$52,"CANT",[2]Tablas!$A51),0)</f>
        <v>0</v>
      </c>
      <c r="R81" s="15">
        <f ca="1">IFERROR(GETPIVOTDATA("Cuenta de CANT",Tabla9,"PROV",[2]Tablas!$A$89,"SEFIS",R$52,"CANT",[2]Tablas!$A51),0)</f>
        <v>1</v>
      </c>
      <c r="S81" s="15">
        <f ca="1">IFERROR(GETPIVOTDATA("Cuenta de CANT",Tabla9,"PROV",[2]Tablas!$A$89,"SEFIS",S$52,"CANT",[2]Tablas!$A51),0)</f>
        <v>0</v>
      </c>
      <c r="T81" s="15">
        <f ca="1">IFERROR(GETPIVOTDATA("Cuenta de CANT",Tabla9,"PROV",[2]Tablas!$A$89,"SEFIS",T$52,"CANT",[2]Tablas!$A51),0)</f>
        <v>0</v>
      </c>
      <c r="U81" s="15">
        <f ca="1">IFERROR(GETPIVOTDATA("Cuenta de CANT",Tabla9,"PROV",[2]Tablas!$A$89,"SEFIS",U$52,"CANT",[2]Tablas!$A51),0)</f>
        <v>0</v>
      </c>
      <c r="V81" s="15">
        <f ca="1">IFERROR(GETPIVOTDATA("Cuenta de CANT",Tabla9,"PROV",[2]Tablas!$A$89,"SEFIS",V$52,"CANT",[2]Tablas!$A51),0)</f>
        <v>0</v>
      </c>
      <c r="W81" s="15">
        <f ca="1">IFERROR(GETPIVOTDATA("Cuenta de CANT",Tabla9,"PROV",[2]Tablas!$A$89,"SEFIS",W$52,"CANT",[2]Tablas!$A51),0)</f>
        <v>0</v>
      </c>
      <c r="X81" s="15">
        <f ca="1">IFERROR(GETPIVOTDATA("Cuenta de CANT",Tabla9,"PROV",[2]Tablas!$A$89,"SEFIS",X$52,"CANT",[2]Tablas!$A51),0)</f>
        <v>0</v>
      </c>
      <c r="Y81" s="15">
        <f ca="1">IFERROR(GETPIVOTDATA("Cuenta de CANT",Tabla9,"PROV",[2]Tablas!$A$89,"SEFIS",Y$52,"CANT",[2]Tablas!$A51),0)</f>
        <v>0</v>
      </c>
      <c r="Z81" s="15">
        <f ca="1">IFERROR(GETPIVOTDATA("Cuenta de CANT",Tabla9,"PROV",[2]Tablas!$A$89,"SEFIS",Z$52,"CANT",[2]Tablas!$A51),0)</f>
        <v>1</v>
      </c>
      <c r="AA81" s="15">
        <f ca="1">IFERROR(GETPIVOTDATA("Cuenta de CANT",Tabla9,"PROV",[2]Tablas!$A$89,"SEFIS",AA$52,"CANT",[2]Tablas!$A51),0)</f>
        <v>1</v>
      </c>
      <c r="AB81" s="15">
        <f ca="1">IFERROR(GETPIVOTDATA("Cuenta de CANT",Tabla9,"PROV",[2]Tablas!$A$89,"SEFIS",AB$52,"CANT",[2]Tablas!$A51),0)</f>
        <v>0</v>
      </c>
      <c r="AC81" s="15">
        <f ca="1">IFERROR(GETPIVOTDATA("Cuenta de CANT",Tabla9,"PROV",[2]Tablas!$A$89,"SEFIS",AC$52,"CANT",[2]Tablas!$A51),0)</f>
        <v>1</v>
      </c>
      <c r="AD81" s="15">
        <f ca="1">IFERROR(GETPIVOTDATA("Cuenta de CANT",Tabla9,"PROV",[2]Tablas!$A$89,"SEFIS",AD$52,"CANT",[2]Tablas!$A51),0)</f>
        <v>0</v>
      </c>
      <c r="AE81" s="15">
        <f ca="1">IFERROR(GETPIVOTDATA("Cuenta de CANT",Tabla9,"PROV",[2]Tablas!$A$89,"SEFIS",AE$52,"CANT",[2]Tablas!$A51),0)</f>
        <v>0</v>
      </c>
      <c r="AF81" s="15">
        <f ca="1">IFERROR(GETPIVOTDATA("Cuenta de CANT",Tabla9,"PROV",[2]Tablas!$A$89,"SEFIS",AF$52,"CANT",[2]Tablas!$A51),0)</f>
        <v>0</v>
      </c>
      <c r="AG81" s="15">
        <f ca="1">IFERROR(GETPIVOTDATA("Cuenta de CANT",Tabla9,"PROV",[2]Tablas!$A$89,"SEFIS",AG$52,"CANT",[2]Tablas!$A51),0)</f>
        <v>0</v>
      </c>
      <c r="AH81" s="15">
        <f ca="1">IFERROR(GETPIVOTDATA("Cuenta de CANT",Tabla9,"PROV",[2]Tablas!$A$89,"SEFIS",AH$52,"CANT",[2]Tablas!$A51),0)</f>
        <v>0</v>
      </c>
      <c r="AI81" s="15">
        <f ca="1">IFERROR(GETPIVOTDATA("Cuenta de CANT",Tabla9,"PROV",[2]Tablas!$A$89,"SEFIS",AI$52,"CANT",[2]Tablas!$A51),0)</f>
        <v>0</v>
      </c>
      <c r="AJ81" s="15">
        <f ca="1">IFERROR(GETPIVOTDATA("Cuenta de CANT",Tabla9,"PROV",[2]Tablas!$A$89,"SEFIS",AJ$52,"CANT",[2]Tablas!$A51),0)</f>
        <v>1</v>
      </c>
      <c r="AK81" s="15">
        <f ca="1">IFERROR(GETPIVOTDATA("Cuenta de CANT",Tabla9,"PROV",[2]Tablas!$A$89,"SEFIS",AK$52,"CANT",[2]Tablas!$A51),0)</f>
        <v>0</v>
      </c>
      <c r="AL81" s="15">
        <f ca="1">IFERROR(GETPIVOTDATA("Cuenta de CANT",Tabla9,"PROV",[2]Tablas!$A$89,"SEFIS",AL$52,"CANT",[2]Tablas!$A51),0)</f>
        <v>2</v>
      </c>
      <c r="AM81" s="15">
        <f ca="1">IFERROR(GETPIVOTDATA("Cuenta de CANT",Tabla9,"PROV",[2]Tablas!$A$89,"SEFIS",AM$52,"CANT",[2]Tablas!$A51),0)</f>
        <v>0</v>
      </c>
      <c r="AN81" s="15">
        <f ca="1">IFERROR(GETPIVOTDATA("Cuenta de CANT",Tabla9,"PROV",[2]Tablas!$A$89,"SEFIS",AN$52,"CANT",[2]Tablas!$A51),0)</f>
        <v>0</v>
      </c>
      <c r="AO81" s="15">
        <f ca="1">IFERROR(GETPIVOTDATA("Cuenta de CANT",Tabla9,"PROV",[2]Tablas!$A$89,"SEFIS",AO$52,"CANT",[2]Tablas!$A51),0)</f>
        <v>1</v>
      </c>
      <c r="AP81" s="15">
        <f ca="1">IFERROR(GETPIVOTDATA("Cuenta de CANT",Tabla9,"PROV",[2]Tablas!$A$89,"SEFIS",AP$52,"CANT",[2]Tablas!$A51),0)</f>
        <v>1</v>
      </c>
      <c r="AQ81" s="15">
        <f ca="1">IFERROR(GETPIVOTDATA("Cuenta de CANT",Tabla9,"PROV",[2]Tablas!$A$89,"SEFIS",AQ$52,"CANT",[2]Tablas!$A51),0)</f>
        <v>0</v>
      </c>
      <c r="AR81" s="15">
        <f ca="1">IFERROR(GETPIVOTDATA("Cuenta de CANT",Tabla9,"PROV",[2]Tablas!$A$89,"SEFIS",AR$52,"CANT",[2]Tablas!$A51),0)</f>
        <v>1</v>
      </c>
      <c r="AS81" s="15">
        <f ca="1">IFERROR(GETPIVOTDATA("Cuenta de CANT",Tabla9,"PROV",[2]Tablas!$A$89,"SEFIS",AS$52,"CANT",[2]Tablas!$A51),0)</f>
        <v>0</v>
      </c>
      <c r="AT81" s="15">
        <f ca="1">IFERROR(GETPIVOTDATA("Cuenta de CANT",Tabla9,"PROV",[2]Tablas!$A$89,"SEFIS",AT$52,"CANT",[2]Tablas!$A51),0)</f>
        <v>2</v>
      </c>
      <c r="AU81" s="15">
        <f ca="1">IFERROR(GETPIVOTDATA("Cuenta de CANT",Tabla9,"PROV",[2]Tablas!$A$89,"SEFIS",AU$52,"CANT",[2]Tablas!$A51),0)</f>
        <v>1</v>
      </c>
      <c r="AV81" s="15">
        <f ca="1">IFERROR(GETPIVOTDATA("Cuenta de CANT",Tabla9,"PROV",[2]Tablas!$A$89,"SEFIS",AV$52,"CANT",[2]Tablas!$A51),0)</f>
        <v>1</v>
      </c>
      <c r="AW81" s="15">
        <f ca="1">IFERROR(GETPIVOTDATA("Cuenta de CANT",Tabla9,"PROV",[2]Tablas!$A$89,"SEFIS",AW$52,"CANT",[2]Tablas!$A51),0)</f>
        <v>1</v>
      </c>
      <c r="AX81" s="15">
        <f ca="1">IFERROR(GETPIVOTDATA("Cuenta de CANT",Tabla9,"PROV",[2]Tablas!$A$89,"SEFIS",AX$52,"CANT",[2]Tablas!$A51),0)</f>
        <v>1</v>
      </c>
      <c r="AY81" s="15">
        <f ca="1">IFERROR(GETPIVOTDATA("Cuenta de CANT",Tabla9,"PROV",[2]Tablas!$A$89,"SEFIS",AY$52,"CANT",[2]Tablas!$A51),0)</f>
        <v>1</v>
      </c>
      <c r="AZ81" s="15">
        <f ca="1">IFERROR(GETPIVOTDATA("Cuenta de CANT",Tabla9,"PROV",[2]Tablas!$A$89,"SEFIS",AZ$52,"CANT",[2]Tablas!$A51),0)</f>
        <v>0</v>
      </c>
      <c r="BA81" s="15">
        <f ca="1">IFERROR(GETPIVOTDATA("Cuenta de CANT",Tabla9,"PROV",[2]Tablas!$A$89,"SEFIS",BA$52,"CANT",[2]Tablas!$A51),0)</f>
        <v>1</v>
      </c>
      <c r="BB81" s="15">
        <f ca="1">IFERROR(GETPIVOTDATA("Cuenta de CANT",Tabla9,"PROV",[2]Tablas!$A$89,"SEFIS",BB$52,"CANT",[2]Tablas!$A51),0)</f>
        <v>1</v>
      </c>
      <c r="BC81" s="15">
        <f ca="1">IFERROR(GETPIVOTDATA("Cuenta de CANT",Tabla9,"PROV",[2]Tablas!$A$89,"SEFIS",BC$52,"CANT",[2]Tablas!$A51),0)</f>
        <v>0</v>
      </c>
      <c r="BD81" s="15">
        <f ca="1">IFERROR(GETPIVOTDATA("Cuenta de CANT",Tabla9,"PROV",[2]Tablas!$A$89,"SEFIS",BD$52,"CANT",[2]Tablas!$A51),0)</f>
        <v>0</v>
      </c>
    </row>
    <row r="82" spans="1:56" x14ac:dyDescent="0.35">
      <c r="A82" s="14" t="s">
        <v>176</v>
      </c>
      <c r="B82" s="15">
        <f t="shared" ca="1" si="10"/>
        <v>45</v>
      </c>
      <c r="C82" s="16">
        <f ca="1">IFERROR(B82/[2]Tablas!$B52*100000,"N/D")</f>
        <v>180.99911511543721</v>
      </c>
      <c r="D82" s="15">
        <f ca="1">IFERROR(GETPIVOTDATA("Cuenta de CANT",Tabla9,"PROV",[2]Tablas!$A$89,"SEFIS",D$52,"CANT",[2]Tablas!$A52),0)</f>
        <v>0</v>
      </c>
      <c r="E82" s="15">
        <f ca="1">IFERROR(GETPIVOTDATA("Cuenta de CANT",Tabla9,"PROV",[2]Tablas!$A$89,"SEFIS",E$52,"CANT",[2]Tablas!$A52),0)</f>
        <v>0</v>
      </c>
      <c r="F82" s="15">
        <f ca="1">IFERROR(GETPIVOTDATA("Cuenta de CANT",Tabla9,"PROV",[2]Tablas!$A$89,"SEFIS",F$52,"CANT",[2]Tablas!$A52),0)</f>
        <v>0</v>
      </c>
      <c r="G82" s="15">
        <f ca="1">IFERROR(GETPIVOTDATA("Cuenta de CANT",Tabla9,"PROV",[2]Tablas!$A$89,"SEFIS",G$52,"CANT",[2]Tablas!$A52),0)</f>
        <v>1</v>
      </c>
      <c r="H82" s="15">
        <f ca="1">IFERROR(GETPIVOTDATA("Cuenta de CANT",Tabla9,"PROV",[2]Tablas!$A$89,"SEFIS",H$52,"CANT",[2]Tablas!$A52),0)</f>
        <v>0</v>
      </c>
      <c r="I82" s="15">
        <f ca="1">IFERROR(GETPIVOTDATA("Cuenta de CANT",Tabla9,"PROV",[2]Tablas!$A$89,"SEFIS",I$52,"CANT",[2]Tablas!$A52),0)</f>
        <v>0</v>
      </c>
      <c r="J82" s="15">
        <f ca="1">IFERROR(GETPIVOTDATA("Cuenta de CANT",Tabla9,"PROV",[2]Tablas!$A$89,"SEFIS",J$52,"CANT",[2]Tablas!$A52),0)</f>
        <v>0</v>
      </c>
      <c r="K82" s="15">
        <f ca="1">IFERROR(GETPIVOTDATA("Cuenta de CANT",Tabla9,"PROV",[2]Tablas!$A$89,"SEFIS",K$52,"CANT",[2]Tablas!$A52),0)</f>
        <v>0</v>
      </c>
      <c r="L82" s="15">
        <f ca="1">IFERROR(GETPIVOTDATA("Cuenta de CANT",Tabla9,"PROV",[2]Tablas!$A$89,"SEFIS",L$52,"CANT",[2]Tablas!$A52),0)</f>
        <v>0</v>
      </c>
      <c r="M82" s="15">
        <f ca="1">IFERROR(GETPIVOTDATA("Cuenta de CANT",Tabla9,"PROV",[2]Tablas!$A$89,"SEFIS",M$52,"CANT",[2]Tablas!$A52),0)</f>
        <v>0</v>
      </c>
      <c r="N82" s="15">
        <f ca="1">IFERROR(GETPIVOTDATA("Cuenta de CANT",Tabla9,"PROV",[2]Tablas!$A$89,"SEFIS",N$52,"CANT",[2]Tablas!$A52),0)</f>
        <v>0</v>
      </c>
      <c r="O82" s="15">
        <f ca="1">IFERROR(GETPIVOTDATA("Cuenta de CANT",Tabla9,"PROV",[2]Tablas!$A$89,"SEFIS",O$52,"CANT",[2]Tablas!$A52),0)</f>
        <v>0</v>
      </c>
      <c r="P82" s="15">
        <f ca="1">IFERROR(GETPIVOTDATA("Cuenta de CANT",Tabla9,"PROV",[2]Tablas!$A$89,"SEFIS",P$52,"CANT",[2]Tablas!$A52),0)</f>
        <v>0</v>
      </c>
      <c r="Q82" s="15">
        <f ca="1">IFERROR(GETPIVOTDATA("Cuenta de CANT",Tabla9,"PROV",[2]Tablas!$A$89,"SEFIS",Q$52,"CANT",[2]Tablas!$A52),0)</f>
        <v>0</v>
      </c>
      <c r="R82" s="15">
        <f ca="1">IFERROR(GETPIVOTDATA("Cuenta de CANT",Tabla9,"PROV",[2]Tablas!$A$89,"SEFIS",R$52,"CANT",[2]Tablas!$A52),0)</f>
        <v>0</v>
      </c>
      <c r="S82" s="15">
        <f ca="1">IFERROR(GETPIVOTDATA("Cuenta de CANT",Tabla9,"PROV",[2]Tablas!$A$89,"SEFIS",S$52,"CANT",[2]Tablas!$A52),0)</f>
        <v>0</v>
      </c>
      <c r="T82" s="15">
        <f ca="1">IFERROR(GETPIVOTDATA("Cuenta de CANT",Tabla9,"PROV",[2]Tablas!$A$89,"SEFIS",T$52,"CANT",[2]Tablas!$A52),0)</f>
        <v>0</v>
      </c>
      <c r="U82" s="15">
        <f ca="1">IFERROR(GETPIVOTDATA("Cuenta de CANT",Tabla9,"PROV",[2]Tablas!$A$89,"SEFIS",U$52,"CANT",[2]Tablas!$A52),0)</f>
        <v>0</v>
      </c>
      <c r="V82" s="15">
        <f ca="1">IFERROR(GETPIVOTDATA("Cuenta de CANT",Tabla9,"PROV",[2]Tablas!$A$89,"SEFIS",V$52,"CANT",[2]Tablas!$A52),0)</f>
        <v>0</v>
      </c>
      <c r="W82" s="15">
        <f ca="1">IFERROR(GETPIVOTDATA("Cuenta de CANT",Tabla9,"PROV",[2]Tablas!$A$89,"SEFIS",W$52,"CANT",[2]Tablas!$A52),0)</f>
        <v>1</v>
      </c>
      <c r="X82" s="15">
        <f ca="1">IFERROR(GETPIVOTDATA("Cuenta de CANT",Tabla9,"PROV",[2]Tablas!$A$89,"SEFIS",X$52,"CANT",[2]Tablas!$A52),0)</f>
        <v>1</v>
      </c>
      <c r="Y82" s="15">
        <f ca="1">IFERROR(GETPIVOTDATA("Cuenta de CANT",Tabla9,"PROV",[2]Tablas!$A$89,"SEFIS",Y$52,"CANT",[2]Tablas!$A52),0)</f>
        <v>0</v>
      </c>
      <c r="Z82" s="15">
        <f ca="1">IFERROR(GETPIVOTDATA("Cuenta de CANT",Tabla9,"PROV",[2]Tablas!$A$89,"SEFIS",Z$52,"CANT",[2]Tablas!$A52),0)</f>
        <v>0</v>
      </c>
      <c r="AA82" s="15">
        <f ca="1">IFERROR(GETPIVOTDATA("Cuenta de CANT",Tabla9,"PROV",[2]Tablas!$A$89,"SEFIS",AA$52,"CANT",[2]Tablas!$A52),0)</f>
        <v>0</v>
      </c>
      <c r="AB82" s="15">
        <f ca="1">IFERROR(GETPIVOTDATA("Cuenta de CANT",Tabla9,"PROV",[2]Tablas!$A$89,"SEFIS",AB$52,"CANT",[2]Tablas!$A52),0)</f>
        <v>0</v>
      </c>
      <c r="AC82" s="15">
        <f ca="1">IFERROR(GETPIVOTDATA("Cuenta de CANT",Tabla9,"PROV",[2]Tablas!$A$89,"SEFIS",AC$52,"CANT",[2]Tablas!$A52),0)</f>
        <v>1</v>
      </c>
      <c r="AD82" s="15">
        <f ca="1">IFERROR(GETPIVOTDATA("Cuenta de CANT",Tabla9,"PROV",[2]Tablas!$A$89,"SEFIS",AD$52,"CANT",[2]Tablas!$A52),0)</f>
        <v>0</v>
      </c>
      <c r="AE82" s="15">
        <f ca="1">IFERROR(GETPIVOTDATA("Cuenta de CANT",Tabla9,"PROV",[2]Tablas!$A$89,"SEFIS",AE$52,"CANT",[2]Tablas!$A52),0)</f>
        <v>0</v>
      </c>
      <c r="AF82" s="15">
        <f ca="1">IFERROR(GETPIVOTDATA("Cuenta de CANT",Tabla9,"PROV",[2]Tablas!$A$89,"SEFIS",AF$52,"CANT",[2]Tablas!$A52),0)</f>
        <v>0</v>
      </c>
      <c r="AG82" s="15">
        <f ca="1">IFERROR(GETPIVOTDATA("Cuenta de CANT",Tabla9,"PROV",[2]Tablas!$A$89,"SEFIS",AG$52,"CANT",[2]Tablas!$A52),0)</f>
        <v>0</v>
      </c>
      <c r="AH82" s="15">
        <f ca="1">IFERROR(GETPIVOTDATA("Cuenta de CANT",Tabla9,"PROV",[2]Tablas!$A$89,"SEFIS",AH$52,"CANT",[2]Tablas!$A52),0)</f>
        <v>1</v>
      </c>
      <c r="AI82" s="15">
        <f ca="1">IFERROR(GETPIVOTDATA("Cuenta de CANT",Tabla9,"PROV",[2]Tablas!$A$89,"SEFIS",AI$52,"CANT",[2]Tablas!$A52),0)</f>
        <v>1</v>
      </c>
      <c r="AJ82" s="15">
        <f ca="1">IFERROR(GETPIVOTDATA("Cuenta de CANT",Tabla9,"PROV",[2]Tablas!$A$89,"SEFIS",AJ$52,"CANT",[2]Tablas!$A52),0)</f>
        <v>2</v>
      </c>
      <c r="AK82" s="15">
        <f ca="1">IFERROR(GETPIVOTDATA("Cuenta de CANT",Tabla9,"PROV",[2]Tablas!$A$89,"SEFIS",AK$52,"CANT",[2]Tablas!$A52),0)</f>
        <v>0</v>
      </c>
      <c r="AL82" s="15">
        <f ca="1">IFERROR(GETPIVOTDATA("Cuenta de CANT",Tabla9,"PROV",[2]Tablas!$A$89,"SEFIS",AL$52,"CANT",[2]Tablas!$A52),0)</f>
        <v>0</v>
      </c>
      <c r="AM82" s="15">
        <f ca="1">IFERROR(GETPIVOTDATA("Cuenta de CANT",Tabla9,"PROV",[2]Tablas!$A$89,"SEFIS",AM$52,"CANT",[2]Tablas!$A52),0)</f>
        <v>0</v>
      </c>
      <c r="AN82" s="15">
        <f ca="1">IFERROR(GETPIVOTDATA("Cuenta de CANT",Tabla9,"PROV",[2]Tablas!$A$89,"SEFIS",AN$52,"CANT",[2]Tablas!$A52),0)</f>
        <v>2</v>
      </c>
      <c r="AO82" s="15">
        <f ca="1">IFERROR(GETPIVOTDATA("Cuenta de CANT",Tabla9,"PROV",[2]Tablas!$A$89,"SEFIS",AO$52,"CANT",[2]Tablas!$A52),0)</f>
        <v>0</v>
      </c>
      <c r="AP82" s="15">
        <f ca="1">IFERROR(GETPIVOTDATA("Cuenta de CANT",Tabla9,"PROV",[2]Tablas!$A$89,"SEFIS",AP$52,"CANT",[2]Tablas!$A52),0)</f>
        <v>4</v>
      </c>
      <c r="AQ82" s="15">
        <f ca="1">IFERROR(GETPIVOTDATA("Cuenta de CANT",Tabla9,"PROV",[2]Tablas!$A$89,"SEFIS",AQ$52,"CANT",[2]Tablas!$A52),0)</f>
        <v>1</v>
      </c>
      <c r="AR82" s="15">
        <f ca="1">IFERROR(GETPIVOTDATA("Cuenta de CANT",Tabla9,"PROV",[2]Tablas!$A$89,"SEFIS",AR$52,"CANT",[2]Tablas!$A52),0)</f>
        <v>1</v>
      </c>
      <c r="AS82" s="15">
        <f ca="1">IFERROR(GETPIVOTDATA("Cuenta de CANT",Tabla9,"PROV",[2]Tablas!$A$89,"SEFIS",AS$52,"CANT",[2]Tablas!$A52),0)</f>
        <v>6</v>
      </c>
      <c r="AT82" s="15">
        <f ca="1">IFERROR(GETPIVOTDATA("Cuenta de CANT",Tabla9,"PROV",[2]Tablas!$A$89,"SEFIS",AT$52,"CANT",[2]Tablas!$A52),0)</f>
        <v>6</v>
      </c>
      <c r="AU82" s="15">
        <f ca="1">IFERROR(GETPIVOTDATA("Cuenta de CANT",Tabla9,"PROV",[2]Tablas!$A$89,"SEFIS",AU$52,"CANT",[2]Tablas!$A52),0)</f>
        <v>1</v>
      </c>
      <c r="AV82" s="15">
        <f ca="1">IFERROR(GETPIVOTDATA("Cuenta de CANT",Tabla9,"PROV",[2]Tablas!$A$89,"SEFIS",AV$52,"CANT",[2]Tablas!$A52),0)</f>
        <v>2</v>
      </c>
      <c r="AW82" s="15">
        <f ca="1">IFERROR(GETPIVOTDATA("Cuenta de CANT",Tabla9,"PROV",[2]Tablas!$A$89,"SEFIS",AW$52,"CANT",[2]Tablas!$A52),0)</f>
        <v>1</v>
      </c>
      <c r="AX82" s="15">
        <f ca="1">IFERROR(GETPIVOTDATA("Cuenta de CANT",Tabla9,"PROV",[2]Tablas!$A$89,"SEFIS",AX$52,"CANT",[2]Tablas!$A52),0)</f>
        <v>0</v>
      </c>
      <c r="AY82" s="15">
        <f ca="1">IFERROR(GETPIVOTDATA("Cuenta de CANT",Tabla9,"PROV",[2]Tablas!$A$89,"SEFIS",AY$52,"CANT",[2]Tablas!$A52),0)</f>
        <v>2</v>
      </c>
      <c r="AZ82" s="15">
        <f ca="1">IFERROR(GETPIVOTDATA("Cuenta de CANT",Tabla9,"PROV",[2]Tablas!$A$89,"SEFIS",AZ$52,"CANT",[2]Tablas!$A52),0)</f>
        <v>2</v>
      </c>
      <c r="BA82" s="15">
        <f ca="1">IFERROR(GETPIVOTDATA("Cuenta de CANT",Tabla9,"PROV",[2]Tablas!$A$89,"SEFIS",BA$52,"CANT",[2]Tablas!$A52),0)</f>
        <v>8</v>
      </c>
      <c r="BB82" s="15">
        <f ca="1">IFERROR(GETPIVOTDATA("Cuenta de CANT",Tabla9,"PROV",[2]Tablas!$A$89,"SEFIS",BB$52,"CANT",[2]Tablas!$A52),0)</f>
        <v>0</v>
      </c>
      <c r="BC82" s="15">
        <f ca="1">IFERROR(GETPIVOTDATA("Cuenta de CANT",Tabla9,"PROV",[2]Tablas!$A$89,"SEFIS",BC$52,"CANT",[2]Tablas!$A52),0)</f>
        <v>1</v>
      </c>
      <c r="BD82" s="15">
        <f ca="1">IFERROR(GETPIVOTDATA("Cuenta de CANT",Tabla9,"PROV",[2]Tablas!$A$89,"SEFIS",BD$52,"CANT",[2]Tablas!$A52),0)</f>
        <v>0</v>
      </c>
    </row>
    <row r="83" spans="1:56" x14ac:dyDescent="0.35">
      <c r="A83" s="14" t="s">
        <v>177</v>
      </c>
      <c r="B83" s="15">
        <f t="shared" ca="1" si="10"/>
        <v>18</v>
      </c>
      <c r="C83" s="16">
        <f ca="1">IFERROR(B83/[2]Tablas!$B53*100000,"N/D")</f>
        <v>157.05435825844168</v>
      </c>
      <c r="D83" s="15">
        <f ca="1">IFERROR(GETPIVOTDATA("Cuenta de CANT",Tabla9,"PROV",[2]Tablas!$A$89,"SEFIS",D$52,"CANT",[2]Tablas!$A53),0)</f>
        <v>1</v>
      </c>
      <c r="E83" s="15">
        <f ca="1">IFERROR(GETPIVOTDATA("Cuenta de CANT",Tabla9,"PROV",[2]Tablas!$A$89,"SEFIS",E$52,"CANT",[2]Tablas!$A53),0)</f>
        <v>0</v>
      </c>
      <c r="F83" s="15">
        <f ca="1">IFERROR(GETPIVOTDATA("Cuenta de CANT",Tabla9,"PROV",[2]Tablas!$A$89,"SEFIS",F$52,"CANT",[2]Tablas!$A53),0)</f>
        <v>0</v>
      </c>
      <c r="G83" s="15">
        <f ca="1">IFERROR(GETPIVOTDATA("Cuenta de CANT",Tabla9,"PROV",[2]Tablas!$A$89,"SEFIS",G$52,"CANT",[2]Tablas!$A53),0)</f>
        <v>0</v>
      </c>
      <c r="H83" s="15">
        <f ca="1">IFERROR(GETPIVOTDATA("Cuenta de CANT",Tabla9,"PROV",[2]Tablas!$A$89,"SEFIS",H$52,"CANT",[2]Tablas!$A53),0)</f>
        <v>0</v>
      </c>
      <c r="I83" s="15">
        <f ca="1">IFERROR(GETPIVOTDATA("Cuenta de CANT",Tabla9,"PROV",[2]Tablas!$A$89,"SEFIS",I$52,"CANT",[2]Tablas!$A53),0)</f>
        <v>0</v>
      </c>
      <c r="J83" s="15">
        <f ca="1">IFERROR(GETPIVOTDATA("Cuenta de CANT",Tabla9,"PROV",[2]Tablas!$A$89,"SEFIS",J$52,"CANT",[2]Tablas!$A53),0)</f>
        <v>0</v>
      </c>
      <c r="K83" s="15">
        <f ca="1">IFERROR(GETPIVOTDATA("Cuenta de CANT",Tabla9,"PROV",[2]Tablas!$A$89,"SEFIS",K$52,"CANT",[2]Tablas!$A53),0)</f>
        <v>0</v>
      </c>
      <c r="L83" s="15">
        <f ca="1">IFERROR(GETPIVOTDATA("Cuenta de CANT",Tabla9,"PROV",[2]Tablas!$A$89,"SEFIS",L$52,"CANT",[2]Tablas!$A53),0)</f>
        <v>0</v>
      </c>
      <c r="M83" s="15">
        <f ca="1">IFERROR(GETPIVOTDATA("Cuenta de CANT",Tabla9,"PROV",[2]Tablas!$A$89,"SEFIS",M$52,"CANT",[2]Tablas!$A53),0)</f>
        <v>1</v>
      </c>
      <c r="N83" s="15">
        <f ca="1">IFERROR(GETPIVOTDATA("Cuenta de CANT",Tabla9,"PROV",[2]Tablas!$A$89,"SEFIS",N$52,"CANT",[2]Tablas!$A53),0)</f>
        <v>0</v>
      </c>
      <c r="O83" s="15">
        <f ca="1">IFERROR(GETPIVOTDATA("Cuenta de CANT",Tabla9,"PROV",[2]Tablas!$A$89,"SEFIS",O$52,"CANT",[2]Tablas!$A53),0)</f>
        <v>0</v>
      </c>
      <c r="P83" s="15">
        <f ca="1">IFERROR(GETPIVOTDATA("Cuenta de CANT",Tabla9,"PROV",[2]Tablas!$A$89,"SEFIS",P$52,"CANT",[2]Tablas!$A53),0)</f>
        <v>0</v>
      </c>
      <c r="Q83" s="15">
        <f ca="1">IFERROR(GETPIVOTDATA("Cuenta de CANT",Tabla9,"PROV",[2]Tablas!$A$89,"SEFIS",Q$52,"CANT",[2]Tablas!$A53),0)</f>
        <v>2</v>
      </c>
      <c r="R83" s="15">
        <f ca="1">IFERROR(GETPIVOTDATA("Cuenta de CANT",Tabla9,"PROV",[2]Tablas!$A$89,"SEFIS",R$52,"CANT",[2]Tablas!$A53),0)</f>
        <v>0</v>
      </c>
      <c r="S83" s="15">
        <f ca="1">IFERROR(GETPIVOTDATA("Cuenta de CANT",Tabla9,"PROV",[2]Tablas!$A$89,"SEFIS",S$52,"CANT",[2]Tablas!$A53),0)</f>
        <v>0</v>
      </c>
      <c r="T83" s="15">
        <f ca="1">IFERROR(GETPIVOTDATA("Cuenta de CANT",Tabla9,"PROV",[2]Tablas!$A$89,"SEFIS",T$52,"CANT",[2]Tablas!$A53),0)</f>
        <v>0</v>
      </c>
      <c r="U83" s="15">
        <f ca="1">IFERROR(GETPIVOTDATA("Cuenta de CANT",Tabla9,"PROV",[2]Tablas!$A$89,"SEFIS",U$52,"CANT",[2]Tablas!$A53),0)</f>
        <v>0</v>
      </c>
      <c r="V83" s="15">
        <f ca="1">IFERROR(GETPIVOTDATA("Cuenta de CANT",Tabla9,"PROV",[2]Tablas!$A$89,"SEFIS",V$52,"CANT",[2]Tablas!$A53),0)</f>
        <v>0</v>
      </c>
      <c r="W83" s="15">
        <f ca="1">IFERROR(GETPIVOTDATA("Cuenta de CANT",Tabla9,"PROV",[2]Tablas!$A$89,"SEFIS",W$52,"CANT",[2]Tablas!$A53),0)</f>
        <v>0</v>
      </c>
      <c r="X83" s="15">
        <f ca="1">IFERROR(GETPIVOTDATA("Cuenta de CANT",Tabla9,"PROV",[2]Tablas!$A$89,"SEFIS",X$52,"CANT",[2]Tablas!$A53),0)</f>
        <v>0</v>
      </c>
      <c r="Y83" s="15">
        <f ca="1">IFERROR(GETPIVOTDATA("Cuenta de CANT",Tabla9,"PROV",[2]Tablas!$A$89,"SEFIS",Y$52,"CANT",[2]Tablas!$A53),0)</f>
        <v>0</v>
      </c>
      <c r="Z83" s="15">
        <f ca="1">IFERROR(GETPIVOTDATA("Cuenta de CANT",Tabla9,"PROV",[2]Tablas!$A$89,"SEFIS",Z$52,"CANT",[2]Tablas!$A53),0)</f>
        <v>0</v>
      </c>
      <c r="AA83" s="15">
        <f ca="1">IFERROR(GETPIVOTDATA("Cuenta de CANT",Tabla9,"PROV",[2]Tablas!$A$89,"SEFIS",AA$52,"CANT",[2]Tablas!$A53),0)</f>
        <v>1</v>
      </c>
      <c r="AB83" s="15">
        <f ca="1">IFERROR(GETPIVOTDATA("Cuenta de CANT",Tabla9,"PROV",[2]Tablas!$A$89,"SEFIS",AB$52,"CANT",[2]Tablas!$A53),0)</f>
        <v>0</v>
      </c>
      <c r="AC83" s="15">
        <f ca="1">IFERROR(GETPIVOTDATA("Cuenta de CANT",Tabla9,"PROV",[2]Tablas!$A$89,"SEFIS",AC$52,"CANT",[2]Tablas!$A53),0)</f>
        <v>0</v>
      </c>
      <c r="AD83" s="15">
        <f ca="1">IFERROR(GETPIVOTDATA("Cuenta de CANT",Tabla9,"PROV",[2]Tablas!$A$89,"SEFIS",AD$52,"CANT",[2]Tablas!$A53),0)</f>
        <v>0</v>
      </c>
      <c r="AE83" s="15">
        <f ca="1">IFERROR(GETPIVOTDATA("Cuenta de CANT",Tabla9,"PROV",[2]Tablas!$A$89,"SEFIS",AE$52,"CANT",[2]Tablas!$A53),0)</f>
        <v>0</v>
      </c>
      <c r="AF83" s="15">
        <f ca="1">IFERROR(GETPIVOTDATA("Cuenta de CANT",Tabla9,"PROV",[2]Tablas!$A$89,"SEFIS",AF$52,"CANT",[2]Tablas!$A53),0)</f>
        <v>0</v>
      </c>
      <c r="AG83" s="15">
        <f ca="1">IFERROR(GETPIVOTDATA("Cuenta de CANT",Tabla9,"PROV",[2]Tablas!$A$89,"SEFIS",AG$52,"CANT",[2]Tablas!$A53),0)</f>
        <v>0</v>
      </c>
      <c r="AH83" s="15">
        <f ca="1">IFERROR(GETPIVOTDATA("Cuenta de CANT",Tabla9,"PROV",[2]Tablas!$A$89,"SEFIS",AH$52,"CANT",[2]Tablas!$A53),0)</f>
        <v>0</v>
      </c>
      <c r="AI83" s="15">
        <f ca="1">IFERROR(GETPIVOTDATA("Cuenta de CANT",Tabla9,"PROV",[2]Tablas!$A$89,"SEFIS",AI$52,"CANT",[2]Tablas!$A53),0)</f>
        <v>0</v>
      </c>
      <c r="AJ83" s="15">
        <f ca="1">IFERROR(GETPIVOTDATA("Cuenta de CANT",Tabla9,"PROV",[2]Tablas!$A$89,"SEFIS",AJ$52,"CANT",[2]Tablas!$A53),0)</f>
        <v>0</v>
      </c>
      <c r="AK83" s="15">
        <f ca="1">IFERROR(GETPIVOTDATA("Cuenta de CANT",Tabla9,"PROV",[2]Tablas!$A$89,"SEFIS",AK$52,"CANT",[2]Tablas!$A53),0)</f>
        <v>0</v>
      </c>
      <c r="AL83" s="15">
        <f ca="1">IFERROR(GETPIVOTDATA("Cuenta de CANT",Tabla9,"PROV",[2]Tablas!$A$89,"SEFIS",AL$52,"CANT",[2]Tablas!$A53),0)</f>
        <v>0</v>
      </c>
      <c r="AM83" s="15">
        <f ca="1">IFERROR(GETPIVOTDATA("Cuenta de CANT",Tabla9,"PROV",[2]Tablas!$A$89,"SEFIS",AM$52,"CANT",[2]Tablas!$A53),0)</f>
        <v>0</v>
      </c>
      <c r="AN83" s="15">
        <f ca="1">IFERROR(GETPIVOTDATA("Cuenta de CANT",Tabla9,"PROV",[2]Tablas!$A$89,"SEFIS",AN$52,"CANT",[2]Tablas!$A53),0)</f>
        <v>0</v>
      </c>
      <c r="AO83" s="15">
        <f ca="1">IFERROR(GETPIVOTDATA("Cuenta de CANT",Tabla9,"PROV",[2]Tablas!$A$89,"SEFIS",AO$52,"CANT",[2]Tablas!$A53),0)</f>
        <v>1</v>
      </c>
      <c r="AP83" s="15">
        <f ca="1">IFERROR(GETPIVOTDATA("Cuenta de CANT",Tabla9,"PROV",[2]Tablas!$A$89,"SEFIS",AP$52,"CANT",[2]Tablas!$A53),0)</f>
        <v>0</v>
      </c>
      <c r="AQ83" s="15">
        <f ca="1">IFERROR(GETPIVOTDATA("Cuenta de CANT",Tabla9,"PROV",[2]Tablas!$A$89,"SEFIS",AQ$52,"CANT",[2]Tablas!$A53),0)</f>
        <v>0</v>
      </c>
      <c r="AR83" s="15">
        <f ca="1">IFERROR(GETPIVOTDATA("Cuenta de CANT",Tabla9,"PROV",[2]Tablas!$A$89,"SEFIS",AR$52,"CANT",[2]Tablas!$A53),0)</f>
        <v>0</v>
      </c>
      <c r="AS83" s="15">
        <f ca="1">IFERROR(GETPIVOTDATA("Cuenta de CANT",Tabla9,"PROV",[2]Tablas!$A$89,"SEFIS",AS$52,"CANT",[2]Tablas!$A53),0)</f>
        <v>0</v>
      </c>
      <c r="AT83" s="15">
        <f ca="1">IFERROR(GETPIVOTDATA("Cuenta de CANT",Tabla9,"PROV",[2]Tablas!$A$89,"SEFIS",AT$52,"CANT",[2]Tablas!$A53),0)</f>
        <v>3</v>
      </c>
      <c r="AU83" s="15">
        <f ca="1">IFERROR(GETPIVOTDATA("Cuenta de CANT",Tabla9,"PROV",[2]Tablas!$A$89,"SEFIS",AU$52,"CANT",[2]Tablas!$A53),0)</f>
        <v>0</v>
      </c>
      <c r="AV83" s="15">
        <f ca="1">IFERROR(GETPIVOTDATA("Cuenta de CANT",Tabla9,"PROV",[2]Tablas!$A$89,"SEFIS",AV$52,"CANT",[2]Tablas!$A53),0)</f>
        <v>0</v>
      </c>
      <c r="AW83" s="15">
        <f ca="1">IFERROR(GETPIVOTDATA("Cuenta de CANT",Tabla9,"PROV",[2]Tablas!$A$89,"SEFIS",AW$52,"CANT",[2]Tablas!$A53),0)</f>
        <v>0</v>
      </c>
      <c r="AX83" s="15">
        <f ca="1">IFERROR(GETPIVOTDATA("Cuenta de CANT",Tabla9,"PROV",[2]Tablas!$A$89,"SEFIS",AX$52,"CANT",[2]Tablas!$A53),0)</f>
        <v>1</v>
      </c>
      <c r="AY83" s="15">
        <f ca="1">IFERROR(GETPIVOTDATA("Cuenta de CANT",Tabla9,"PROV",[2]Tablas!$A$89,"SEFIS",AY$52,"CANT",[2]Tablas!$A53),0)</f>
        <v>4</v>
      </c>
      <c r="AZ83" s="15">
        <f ca="1">IFERROR(GETPIVOTDATA("Cuenta de CANT",Tabla9,"PROV",[2]Tablas!$A$89,"SEFIS",AZ$52,"CANT",[2]Tablas!$A53),0)</f>
        <v>4</v>
      </c>
      <c r="BA83" s="15">
        <f ca="1">IFERROR(GETPIVOTDATA("Cuenta de CANT",Tabla9,"PROV",[2]Tablas!$A$89,"SEFIS",BA$52,"CANT",[2]Tablas!$A53),0)</f>
        <v>0</v>
      </c>
      <c r="BB83" s="15">
        <f ca="1">IFERROR(GETPIVOTDATA("Cuenta de CANT",Tabla9,"PROV",[2]Tablas!$A$89,"SEFIS",BB$52,"CANT",[2]Tablas!$A53),0)</f>
        <v>0</v>
      </c>
      <c r="BC83" s="15">
        <f ca="1">IFERROR(GETPIVOTDATA("Cuenta de CANT",Tabla9,"PROV",[2]Tablas!$A$89,"SEFIS",BC$52,"CANT",[2]Tablas!$A53),0)</f>
        <v>0</v>
      </c>
      <c r="BD83" s="15">
        <f ca="1">IFERROR(GETPIVOTDATA("Cuenta de CANT",Tabla9,"PROV",[2]Tablas!$A$89,"SEFIS",BD$52,"CANT",[2]Tablas!$A53),0)</f>
        <v>0</v>
      </c>
    </row>
    <row r="84" spans="1:56" x14ac:dyDescent="0.35">
      <c r="A84" s="14" t="s">
        <v>178</v>
      </c>
      <c r="B84" s="15">
        <f t="shared" ca="1" si="10"/>
        <v>128</v>
      </c>
      <c r="C84" s="16">
        <f ca="1">IFERROR(B84/[2]Tablas!$B54*100000,"N/D")</f>
        <v>456.1328486921816</v>
      </c>
      <c r="D84" s="15">
        <f ca="1">IFERROR(GETPIVOTDATA("Cuenta de CANT",Tabla9,"PROV",[2]Tablas!$A$89,"SEFIS",D$52,"CANT",[2]Tablas!$A54),0)</f>
        <v>0</v>
      </c>
      <c r="E84" s="15">
        <f ca="1">IFERROR(GETPIVOTDATA("Cuenta de CANT",Tabla9,"PROV",[2]Tablas!$A$89,"SEFIS",E$52,"CANT",[2]Tablas!$A54),0)</f>
        <v>0</v>
      </c>
      <c r="F84" s="15">
        <f ca="1">IFERROR(GETPIVOTDATA("Cuenta de CANT",Tabla9,"PROV",[2]Tablas!$A$89,"SEFIS",F$52,"CANT",[2]Tablas!$A54),0)</f>
        <v>0</v>
      </c>
      <c r="G84" s="15">
        <f ca="1">IFERROR(GETPIVOTDATA("Cuenta de CANT",Tabla9,"PROV",[2]Tablas!$A$89,"SEFIS",G$52,"CANT",[2]Tablas!$A54),0)</f>
        <v>0</v>
      </c>
      <c r="H84" s="15">
        <f ca="1">IFERROR(GETPIVOTDATA("Cuenta de CANT",Tabla9,"PROV",[2]Tablas!$A$89,"SEFIS",H$52,"CANT",[2]Tablas!$A54),0)</f>
        <v>1</v>
      </c>
      <c r="I84" s="15">
        <f ca="1">IFERROR(GETPIVOTDATA("Cuenta de CANT",Tabla9,"PROV",[2]Tablas!$A$89,"SEFIS",I$52,"CANT",[2]Tablas!$A54),0)</f>
        <v>0</v>
      </c>
      <c r="J84" s="15">
        <f ca="1">IFERROR(GETPIVOTDATA("Cuenta de CANT",Tabla9,"PROV",[2]Tablas!$A$89,"SEFIS",J$52,"CANT",[2]Tablas!$A54),0)</f>
        <v>0</v>
      </c>
      <c r="K84" s="15">
        <f ca="1">IFERROR(GETPIVOTDATA("Cuenta de CANT",Tabla9,"PROV",[2]Tablas!$A$89,"SEFIS",K$52,"CANT",[2]Tablas!$A54),0)</f>
        <v>1</v>
      </c>
      <c r="L84" s="15">
        <f ca="1">IFERROR(GETPIVOTDATA("Cuenta de CANT",Tabla9,"PROV",[2]Tablas!$A$89,"SEFIS",L$52,"CANT",[2]Tablas!$A54),0)</f>
        <v>2</v>
      </c>
      <c r="M84" s="15">
        <f ca="1">IFERROR(GETPIVOTDATA("Cuenta de CANT",Tabla9,"PROV",[2]Tablas!$A$89,"SEFIS",M$52,"CANT",[2]Tablas!$A54),0)</f>
        <v>0</v>
      </c>
      <c r="N84" s="15">
        <f ca="1">IFERROR(GETPIVOTDATA("Cuenta de CANT",Tabla9,"PROV",[2]Tablas!$A$89,"SEFIS",N$52,"CANT",[2]Tablas!$A54),0)</f>
        <v>0</v>
      </c>
      <c r="O84" s="15">
        <f ca="1">IFERROR(GETPIVOTDATA("Cuenta de CANT",Tabla9,"PROV",[2]Tablas!$A$89,"SEFIS",O$52,"CANT",[2]Tablas!$A54),0)</f>
        <v>0</v>
      </c>
      <c r="P84" s="15">
        <f ca="1">IFERROR(GETPIVOTDATA("Cuenta de CANT",Tabla9,"PROV",[2]Tablas!$A$89,"SEFIS",P$52,"CANT",[2]Tablas!$A54),0)</f>
        <v>0</v>
      </c>
      <c r="Q84" s="15">
        <f ca="1">IFERROR(GETPIVOTDATA("Cuenta de CANT",Tabla9,"PROV",[2]Tablas!$A$89,"SEFIS",Q$52,"CANT",[2]Tablas!$A54),0)</f>
        <v>0</v>
      </c>
      <c r="R84" s="15">
        <f ca="1">IFERROR(GETPIVOTDATA("Cuenta de CANT",Tabla9,"PROV",[2]Tablas!$A$89,"SEFIS",R$52,"CANT",[2]Tablas!$A54),0)</f>
        <v>0</v>
      </c>
      <c r="S84" s="15">
        <f ca="1">IFERROR(GETPIVOTDATA("Cuenta de CANT",Tabla9,"PROV",[2]Tablas!$A$89,"SEFIS",S$52,"CANT",[2]Tablas!$A54),0)</f>
        <v>0</v>
      </c>
      <c r="T84" s="15">
        <f ca="1">IFERROR(GETPIVOTDATA("Cuenta de CANT",Tabla9,"PROV",[2]Tablas!$A$89,"SEFIS",T$52,"CANT",[2]Tablas!$A54),0)</f>
        <v>0</v>
      </c>
      <c r="U84" s="15">
        <f ca="1">IFERROR(GETPIVOTDATA("Cuenta de CANT",Tabla9,"PROV",[2]Tablas!$A$89,"SEFIS",U$52,"CANT",[2]Tablas!$A54),0)</f>
        <v>0</v>
      </c>
      <c r="V84" s="15">
        <f ca="1">IFERROR(GETPIVOTDATA("Cuenta de CANT",Tabla9,"PROV",[2]Tablas!$A$89,"SEFIS",V$52,"CANT",[2]Tablas!$A54),0)</f>
        <v>0</v>
      </c>
      <c r="W84" s="15">
        <f ca="1">IFERROR(GETPIVOTDATA("Cuenta de CANT",Tabla9,"PROV",[2]Tablas!$A$89,"SEFIS",W$52,"CANT",[2]Tablas!$A54),0)</f>
        <v>0</v>
      </c>
      <c r="X84" s="15">
        <f ca="1">IFERROR(GETPIVOTDATA("Cuenta de CANT",Tabla9,"PROV",[2]Tablas!$A$89,"SEFIS",X$52,"CANT",[2]Tablas!$A54),0)</f>
        <v>0</v>
      </c>
      <c r="Y84" s="15">
        <f ca="1">IFERROR(GETPIVOTDATA("Cuenta de CANT",Tabla9,"PROV",[2]Tablas!$A$89,"SEFIS",Y$52,"CANT",[2]Tablas!$A54),0)</f>
        <v>0</v>
      </c>
      <c r="Z84" s="15">
        <f ca="1">IFERROR(GETPIVOTDATA("Cuenta de CANT",Tabla9,"PROV",[2]Tablas!$A$89,"SEFIS",Z$52,"CANT",[2]Tablas!$A54),0)</f>
        <v>1</v>
      </c>
      <c r="AA84" s="15">
        <f ca="1">IFERROR(GETPIVOTDATA("Cuenta de CANT",Tabla9,"PROV",[2]Tablas!$A$89,"SEFIS",AA$52,"CANT",[2]Tablas!$A54),0)</f>
        <v>3</v>
      </c>
      <c r="AB84" s="15">
        <f ca="1">IFERROR(GETPIVOTDATA("Cuenta de CANT",Tabla9,"PROV",[2]Tablas!$A$89,"SEFIS",AB$52,"CANT",[2]Tablas!$A54),0)</f>
        <v>0</v>
      </c>
      <c r="AC84" s="15">
        <f ca="1">IFERROR(GETPIVOTDATA("Cuenta de CANT",Tabla9,"PROV",[2]Tablas!$A$89,"SEFIS",AC$52,"CANT",[2]Tablas!$A54),0)</f>
        <v>1</v>
      </c>
      <c r="AD84" s="15">
        <f ca="1">IFERROR(GETPIVOTDATA("Cuenta de CANT",Tabla9,"PROV",[2]Tablas!$A$89,"SEFIS",AD$52,"CANT",[2]Tablas!$A54),0)</f>
        <v>3</v>
      </c>
      <c r="AE84" s="15">
        <f ca="1">IFERROR(GETPIVOTDATA("Cuenta de CANT",Tabla9,"PROV",[2]Tablas!$A$89,"SEFIS",AE$52,"CANT",[2]Tablas!$A54),0)</f>
        <v>4</v>
      </c>
      <c r="AF84" s="15">
        <f ca="1">IFERROR(GETPIVOTDATA("Cuenta de CANT",Tabla9,"PROV",[2]Tablas!$A$89,"SEFIS",AF$52,"CANT",[2]Tablas!$A54),0)</f>
        <v>0</v>
      </c>
      <c r="AG84" s="15">
        <f ca="1">IFERROR(GETPIVOTDATA("Cuenta de CANT",Tabla9,"PROV",[2]Tablas!$A$89,"SEFIS",AG$52,"CANT",[2]Tablas!$A54),0)</f>
        <v>5</v>
      </c>
      <c r="AH84" s="15">
        <f ca="1">IFERROR(GETPIVOTDATA("Cuenta de CANT",Tabla9,"PROV",[2]Tablas!$A$89,"SEFIS",AH$52,"CANT",[2]Tablas!$A54),0)</f>
        <v>3</v>
      </c>
      <c r="AI84" s="15">
        <f ca="1">IFERROR(GETPIVOTDATA("Cuenta de CANT",Tabla9,"PROV",[2]Tablas!$A$89,"SEFIS",AI$52,"CANT",[2]Tablas!$A54),0)</f>
        <v>1</v>
      </c>
      <c r="AJ84" s="15">
        <f ca="1">IFERROR(GETPIVOTDATA("Cuenta de CANT",Tabla9,"PROV",[2]Tablas!$A$89,"SEFIS",AJ$52,"CANT",[2]Tablas!$A54),0)</f>
        <v>0</v>
      </c>
      <c r="AK84" s="15">
        <f ca="1">IFERROR(GETPIVOTDATA("Cuenta de CANT",Tabla9,"PROV",[2]Tablas!$A$89,"SEFIS",AK$52,"CANT",[2]Tablas!$A54),0)</f>
        <v>1</v>
      </c>
      <c r="AL84" s="15">
        <f ca="1">IFERROR(GETPIVOTDATA("Cuenta de CANT",Tabla9,"PROV",[2]Tablas!$A$89,"SEFIS",AL$52,"CANT",[2]Tablas!$A54),0)</f>
        <v>0</v>
      </c>
      <c r="AM84" s="15">
        <f ca="1">IFERROR(GETPIVOTDATA("Cuenta de CANT",Tabla9,"PROV",[2]Tablas!$A$89,"SEFIS",AM$52,"CANT",[2]Tablas!$A54),0)</f>
        <v>0</v>
      </c>
      <c r="AN84" s="15">
        <f ca="1">IFERROR(GETPIVOTDATA("Cuenta de CANT",Tabla9,"PROV",[2]Tablas!$A$89,"SEFIS",AN$52,"CANT",[2]Tablas!$A54),0)</f>
        <v>1</v>
      </c>
      <c r="AO84" s="15">
        <f ca="1">IFERROR(GETPIVOTDATA("Cuenta de CANT",Tabla9,"PROV",[2]Tablas!$A$89,"SEFIS",AO$52,"CANT",[2]Tablas!$A54),0)</f>
        <v>3</v>
      </c>
      <c r="AP84" s="15">
        <f ca="1">IFERROR(GETPIVOTDATA("Cuenta de CANT",Tabla9,"PROV",[2]Tablas!$A$89,"SEFIS",AP$52,"CANT",[2]Tablas!$A54),0)</f>
        <v>5</v>
      </c>
      <c r="AQ84" s="15">
        <f ca="1">IFERROR(GETPIVOTDATA("Cuenta de CANT",Tabla9,"PROV",[2]Tablas!$A$89,"SEFIS",AQ$52,"CANT",[2]Tablas!$A54),0)</f>
        <v>4</v>
      </c>
      <c r="AR84" s="15">
        <f ca="1">IFERROR(GETPIVOTDATA("Cuenta de CANT",Tabla9,"PROV",[2]Tablas!$A$89,"SEFIS",AR$52,"CANT",[2]Tablas!$A54),0)</f>
        <v>6</v>
      </c>
      <c r="AS84" s="15">
        <f ca="1">IFERROR(GETPIVOTDATA("Cuenta de CANT",Tabla9,"PROV",[2]Tablas!$A$89,"SEFIS",AS$52,"CANT",[2]Tablas!$A54),0)</f>
        <v>5</v>
      </c>
      <c r="AT84" s="15">
        <f ca="1">IFERROR(GETPIVOTDATA("Cuenta de CANT",Tabla9,"PROV",[2]Tablas!$A$89,"SEFIS",AT$52,"CANT",[2]Tablas!$A54),0)</f>
        <v>10</v>
      </c>
      <c r="AU84" s="15">
        <f ca="1">IFERROR(GETPIVOTDATA("Cuenta de CANT",Tabla9,"PROV",[2]Tablas!$A$89,"SEFIS",AU$52,"CANT",[2]Tablas!$A54),0)</f>
        <v>5</v>
      </c>
      <c r="AV84" s="15">
        <f ca="1">IFERROR(GETPIVOTDATA("Cuenta de CANT",Tabla9,"PROV",[2]Tablas!$A$89,"SEFIS",AV$52,"CANT",[2]Tablas!$A54),0)</f>
        <v>8</v>
      </c>
      <c r="AW84" s="15">
        <f ca="1">IFERROR(GETPIVOTDATA("Cuenta de CANT",Tabla9,"PROV",[2]Tablas!$A$89,"SEFIS",AW$52,"CANT",[2]Tablas!$A54),0)</f>
        <v>5</v>
      </c>
      <c r="AX84" s="15">
        <f ca="1">IFERROR(GETPIVOTDATA("Cuenta de CANT",Tabla9,"PROV",[2]Tablas!$A$89,"SEFIS",AX$52,"CANT",[2]Tablas!$A54),0)</f>
        <v>8</v>
      </c>
      <c r="AY84" s="15">
        <f ca="1">IFERROR(GETPIVOTDATA("Cuenta de CANT",Tabla9,"PROV",[2]Tablas!$A$89,"SEFIS",AY$52,"CANT",[2]Tablas!$A54),0)</f>
        <v>9</v>
      </c>
      <c r="AZ84" s="15">
        <f ca="1">IFERROR(GETPIVOTDATA("Cuenta de CANT",Tabla9,"PROV",[2]Tablas!$A$89,"SEFIS",AZ$52,"CANT",[2]Tablas!$A54),0)</f>
        <v>8</v>
      </c>
      <c r="BA84" s="15">
        <f ca="1">IFERROR(GETPIVOTDATA("Cuenta de CANT",Tabla9,"PROV",[2]Tablas!$A$89,"SEFIS",BA$52,"CANT",[2]Tablas!$A54),0)</f>
        <v>6</v>
      </c>
      <c r="BB84" s="15">
        <f ca="1">IFERROR(GETPIVOTDATA("Cuenta de CANT",Tabla9,"PROV",[2]Tablas!$A$89,"SEFIS",BB$52,"CANT",[2]Tablas!$A54),0)</f>
        <v>8</v>
      </c>
      <c r="BC84" s="15">
        <f ca="1">IFERROR(GETPIVOTDATA("Cuenta de CANT",Tabla9,"PROV",[2]Tablas!$A$89,"SEFIS",BC$52,"CANT",[2]Tablas!$A54),0)</f>
        <v>11</v>
      </c>
      <c r="BD84" s="15">
        <f ca="1">IFERROR(GETPIVOTDATA("Cuenta de CANT",Tabla9,"PROV",[2]Tablas!$A$89,"SEFIS",BD$52,"CANT",[2]Tablas!$A54),0)</f>
        <v>0</v>
      </c>
    </row>
    <row r="85" spans="1:56" x14ac:dyDescent="0.35">
      <c r="A85" s="14" t="s">
        <v>179</v>
      </c>
      <c r="B85" s="15">
        <f t="shared" ca="1" si="10"/>
        <v>19</v>
      </c>
      <c r="C85" s="16">
        <f ca="1">IFERROR(B85/[2]Tablas!$B55*100000,"N/D")</f>
        <v>265.14094334356685</v>
      </c>
      <c r="D85" s="15">
        <f ca="1">IFERROR(GETPIVOTDATA("Cuenta de CANT",Tabla9,"PROV",[2]Tablas!$A$89,"SEFIS",D$52,"CANT",[2]Tablas!$A55),0)</f>
        <v>0</v>
      </c>
      <c r="E85" s="15">
        <f ca="1">IFERROR(GETPIVOTDATA("Cuenta de CANT",Tabla9,"PROV",[2]Tablas!$A$89,"SEFIS",E$52,"CANT",[2]Tablas!$A55),0)</f>
        <v>0</v>
      </c>
      <c r="F85" s="15">
        <f ca="1">IFERROR(GETPIVOTDATA("Cuenta de CANT",Tabla9,"PROV",[2]Tablas!$A$89,"SEFIS",F$52,"CANT",[2]Tablas!$A55),0)</f>
        <v>0</v>
      </c>
      <c r="G85" s="15">
        <f ca="1">IFERROR(GETPIVOTDATA("Cuenta de CANT",Tabla9,"PROV",[2]Tablas!$A$89,"SEFIS",G$52,"CANT",[2]Tablas!$A55),0)</f>
        <v>1</v>
      </c>
      <c r="H85" s="15">
        <f ca="1">IFERROR(GETPIVOTDATA("Cuenta de CANT",Tabla9,"PROV",[2]Tablas!$A$89,"SEFIS",H$52,"CANT",[2]Tablas!$A55),0)</f>
        <v>1</v>
      </c>
      <c r="I85" s="15">
        <f ca="1">IFERROR(GETPIVOTDATA("Cuenta de CANT",Tabla9,"PROV",[2]Tablas!$A$89,"SEFIS",I$52,"CANT",[2]Tablas!$A55),0)</f>
        <v>0</v>
      </c>
      <c r="J85" s="15">
        <f ca="1">IFERROR(GETPIVOTDATA("Cuenta de CANT",Tabla9,"PROV",[2]Tablas!$A$89,"SEFIS",J$52,"CANT",[2]Tablas!$A55),0)</f>
        <v>0</v>
      </c>
      <c r="K85" s="15">
        <f ca="1">IFERROR(GETPIVOTDATA("Cuenta de CANT",Tabla9,"PROV",[2]Tablas!$A$89,"SEFIS",K$52,"CANT",[2]Tablas!$A55),0)</f>
        <v>0</v>
      </c>
      <c r="L85" s="15">
        <f ca="1">IFERROR(GETPIVOTDATA("Cuenta de CANT",Tabla9,"PROV",[2]Tablas!$A$89,"SEFIS",L$52,"CANT",[2]Tablas!$A55),0)</f>
        <v>0</v>
      </c>
      <c r="M85" s="15">
        <f ca="1">IFERROR(GETPIVOTDATA("Cuenta de CANT",Tabla9,"PROV",[2]Tablas!$A$89,"SEFIS",M$52,"CANT",[2]Tablas!$A55),0)</f>
        <v>0</v>
      </c>
      <c r="N85" s="15">
        <f ca="1">IFERROR(GETPIVOTDATA("Cuenta de CANT",Tabla9,"PROV",[2]Tablas!$A$89,"SEFIS",N$52,"CANT",[2]Tablas!$A55),0)</f>
        <v>0</v>
      </c>
      <c r="O85" s="15">
        <f ca="1">IFERROR(GETPIVOTDATA("Cuenta de CANT",Tabla9,"PROV",[2]Tablas!$A$89,"SEFIS",O$52,"CANT",[2]Tablas!$A55),0)</f>
        <v>0</v>
      </c>
      <c r="P85" s="15">
        <f ca="1">IFERROR(GETPIVOTDATA("Cuenta de CANT",Tabla9,"PROV",[2]Tablas!$A$89,"SEFIS",P$52,"CANT",[2]Tablas!$A55),0)</f>
        <v>0</v>
      </c>
      <c r="Q85" s="15">
        <f ca="1">IFERROR(GETPIVOTDATA("Cuenta de CANT",Tabla9,"PROV",[2]Tablas!$A$89,"SEFIS",Q$52,"CANT",[2]Tablas!$A55),0)</f>
        <v>0</v>
      </c>
      <c r="R85" s="15">
        <f ca="1">IFERROR(GETPIVOTDATA("Cuenta de CANT",Tabla9,"PROV",[2]Tablas!$A$89,"SEFIS",R$52,"CANT",[2]Tablas!$A55),0)</f>
        <v>0</v>
      </c>
      <c r="S85" s="15">
        <f ca="1">IFERROR(GETPIVOTDATA("Cuenta de CANT",Tabla9,"PROV",[2]Tablas!$A$89,"SEFIS",S$52,"CANT",[2]Tablas!$A55),0)</f>
        <v>0</v>
      </c>
      <c r="T85" s="15">
        <f ca="1">IFERROR(GETPIVOTDATA("Cuenta de CANT",Tabla9,"PROV",[2]Tablas!$A$89,"SEFIS",T$52,"CANT",[2]Tablas!$A55),0)</f>
        <v>0</v>
      </c>
      <c r="U85" s="15">
        <f ca="1">IFERROR(GETPIVOTDATA("Cuenta de CANT",Tabla9,"PROV",[2]Tablas!$A$89,"SEFIS",U$52,"CANT",[2]Tablas!$A55),0)</f>
        <v>0</v>
      </c>
      <c r="V85" s="15">
        <f ca="1">IFERROR(GETPIVOTDATA("Cuenta de CANT",Tabla9,"PROV",[2]Tablas!$A$89,"SEFIS",V$52,"CANT",[2]Tablas!$A55),0)</f>
        <v>0</v>
      </c>
      <c r="W85" s="15">
        <f ca="1">IFERROR(GETPIVOTDATA("Cuenta de CANT",Tabla9,"PROV",[2]Tablas!$A$89,"SEFIS",W$52,"CANT",[2]Tablas!$A55),0)</f>
        <v>0</v>
      </c>
      <c r="X85" s="15">
        <f ca="1">IFERROR(GETPIVOTDATA("Cuenta de CANT",Tabla9,"PROV",[2]Tablas!$A$89,"SEFIS",X$52,"CANT",[2]Tablas!$A55),0)</f>
        <v>0</v>
      </c>
      <c r="Y85" s="15">
        <f ca="1">IFERROR(GETPIVOTDATA("Cuenta de CANT",Tabla9,"PROV",[2]Tablas!$A$89,"SEFIS",Y$52,"CANT",[2]Tablas!$A55),0)</f>
        <v>0</v>
      </c>
      <c r="Z85" s="15">
        <f ca="1">IFERROR(GETPIVOTDATA("Cuenta de CANT",Tabla9,"PROV",[2]Tablas!$A$89,"SEFIS",Z$52,"CANT",[2]Tablas!$A55),0)</f>
        <v>0</v>
      </c>
      <c r="AA85" s="15">
        <f ca="1">IFERROR(GETPIVOTDATA("Cuenta de CANT",Tabla9,"PROV",[2]Tablas!$A$89,"SEFIS",AA$52,"CANT",[2]Tablas!$A55),0)</f>
        <v>0</v>
      </c>
      <c r="AB85" s="15">
        <f ca="1">IFERROR(GETPIVOTDATA("Cuenta de CANT",Tabla9,"PROV",[2]Tablas!$A$89,"SEFIS",AB$52,"CANT",[2]Tablas!$A55),0)</f>
        <v>0</v>
      </c>
      <c r="AC85" s="15">
        <f ca="1">IFERROR(GETPIVOTDATA("Cuenta de CANT",Tabla9,"PROV",[2]Tablas!$A$89,"SEFIS",AC$52,"CANT",[2]Tablas!$A55),0)</f>
        <v>1</v>
      </c>
      <c r="AD85" s="15">
        <f ca="1">IFERROR(GETPIVOTDATA("Cuenta de CANT",Tabla9,"PROV",[2]Tablas!$A$89,"SEFIS",AD$52,"CANT",[2]Tablas!$A55),0)</f>
        <v>2</v>
      </c>
      <c r="AE85" s="15">
        <f ca="1">IFERROR(GETPIVOTDATA("Cuenta de CANT",Tabla9,"PROV",[2]Tablas!$A$89,"SEFIS",AE$52,"CANT",[2]Tablas!$A55),0)</f>
        <v>0</v>
      </c>
      <c r="AF85" s="15">
        <f ca="1">IFERROR(GETPIVOTDATA("Cuenta de CANT",Tabla9,"PROV",[2]Tablas!$A$89,"SEFIS",AF$52,"CANT",[2]Tablas!$A55),0)</f>
        <v>0</v>
      </c>
      <c r="AG85" s="15">
        <f ca="1">IFERROR(GETPIVOTDATA("Cuenta de CANT",Tabla9,"PROV",[2]Tablas!$A$89,"SEFIS",AG$52,"CANT",[2]Tablas!$A55),0)</f>
        <v>0</v>
      </c>
      <c r="AH85" s="15">
        <f ca="1">IFERROR(GETPIVOTDATA("Cuenta de CANT",Tabla9,"PROV",[2]Tablas!$A$89,"SEFIS",AH$52,"CANT",[2]Tablas!$A55),0)</f>
        <v>1</v>
      </c>
      <c r="AI85" s="15">
        <f ca="1">IFERROR(GETPIVOTDATA("Cuenta de CANT",Tabla9,"PROV",[2]Tablas!$A$89,"SEFIS",AI$52,"CANT",[2]Tablas!$A55),0)</f>
        <v>0</v>
      </c>
      <c r="AJ85" s="15">
        <f ca="1">IFERROR(GETPIVOTDATA("Cuenta de CANT",Tabla9,"PROV",[2]Tablas!$A$89,"SEFIS",AJ$52,"CANT",[2]Tablas!$A55),0)</f>
        <v>0</v>
      </c>
      <c r="AK85" s="15">
        <f ca="1">IFERROR(GETPIVOTDATA("Cuenta de CANT",Tabla9,"PROV",[2]Tablas!$A$89,"SEFIS",AK$52,"CANT",[2]Tablas!$A55),0)</f>
        <v>0</v>
      </c>
      <c r="AL85" s="15">
        <f ca="1">IFERROR(GETPIVOTDATA("Cuenta de CANT",Tabla9,"PROV",[2]Tablas!$A$89,"SEFIS",AL$52,"CANT",[2]Tablas!$A55),0)</f>
        <v>0</v>
      </c>
      <c r="AM85" s="15">
        <f ca="1">IFERROR(GETPIVOTDATA("Cuenta de CANT",Tabla9,"PROV",[2]Tablas!$A$89,"SEFIS",AM$52,"CANT",[2]Tablas!$A55),0)</f>
        <v>0</v>
      </c>
      <c r="AN85" s="15">
        <f ca="1">IFERROR(GETPIVOTDATA("Cuenta de CANT",Tabla9,"PROV",[2]Tablas!$A$89,"SEFIS",AN$52,"CANT",[2]Tablas!$A55),0)</f>
        <v>0</v>
      </c>
      <c r="AO85" s="15">
        <f ca="1">IFERROR(GETPIVOTDATA("Cuenta de CANT",Tabla9,"PROV",[2]Tablas!$A$89,"SEFIS",AO$52,"CANT",[2]Tablas!$A55),0)</f>
        <v>0</v>
      </c>
      <c r="AP85" s="15">
        <f ca="1">IFERROR(GETPIVOTDATA("Cuenta de CANT",Tabla9,"PROV",[2]Tablas!$A$89,"SEFIS",AP$52,"CANT",[2]Tablas!$A55),0)</f>
        <v>0</v>
      </c>
      <c r="AQ85" s="15">
        <f ca="1">IFERROR(GETPIVOTDATA("Cuenta de CANT",Tabla9,"PROV",[2]Tablas!$A$89,"SEFIS",AQ$52,"CANT",[2]Tablas!$A55),0)</f>
        <v>0</v>
      </c>
      <c r="AR85" s="15">
        <f ca="1">IFERROR(GETPIVOTDATA("Cuenta de CANT",Tabla9,"PROV",[2]Tablas!$A$89,"SEFIS",AR$52,"CANT",[2]Tablas!$A55),0)</f>
        <v>0</v>
      </c>
      <c r="AS85" s="15">
        <f ca="1">IFERROR(GETPIVOTDATA("Cuenta de CANT",Tabla9,"PROV",[2]Tablas!$A$89,"SEFIS",AS$52,"CANT",[2]Tablas!$A55),0)</f>
        <v>0</v>
      </c>
      <c r="AT85" s="15">
        <f ca="1">IFERROR(GETPIVOTDATA("Cuenta de CANT",Tabla9,"PROV",[2]Tablas!$A$89,"SEFIS",AT$52,"CANT",[2]Tablas!$A55),0)</f>
        <v>0</v>
      </c>
      <c r="AU85" s="15">
        <f ca="1">IFERROR(GETPIVOTDATA("Cuenta de CANT",Tabla9,"PROV",[2]Tablas!$A$89,"SEFIS",AU$52,"CANT",[2]Tablas!$A55),0)</f>
        <v>1</v>
      </c>
      <c r="AV85" s="15">
        <f ca="1">IFERROR(GETPIVOTDATA("Cuenta de CANT",Tabla9,"PROV",[2]Tablas!$A$89,"SEFIS",AV$52,"CANT",[2]Tablas!$A55),0)</f>
        <v>0</v>
      </c>
      <c r="AW85" s="15">
        <f ca="1">IFERROR(GETPIVOTDATA("Cuenta de CANT",Tabla9,"PROV",[2]Tablas!$A$89,"SEFIS",AW$52,"CANT",[2]Tablas!$A55),0)</f>
        <v>0</v>
      </c>
      <c r="AX85" s="15">
        <f ca="1">IFERROR(GETPIVOTDATA("Cuenta de CANT",Tabla9,"PROV",[2]Tablas!$A$89,"SEFIS",AX$52,"CANT",[2]Tablas!$A55),0)</f>
        <v>0</v>
      </c>
      <c r="AY85" s="15">
        <f ca="1">IFERROR(GETPIVOTDATA("Cuenta de CANT",Tabla9,"PROV",[2]Tablas!$A$89,"SEFIS",AY$52,"CANT",[2]Tablas!$A55),0)</f>
        <v>2</v>
      </c>
      <c r="AZ85" s="15">
        <f ca="1">IFERROR(GETPIVOTDATA("Cuenta de CANT",Tabla9,"PROV",[2]Tablas!$A$89,"SEFIS",AZ$52,"CANT",[2]Tablas!$A55),0)</f>
        <v>3</v>
      </c>
      <c r="BA85" s="15">
        <f ca="1">IFERROR(GETPIVOTDATA("Cuenta de CANT",Tabla9,"PROV",[2]Tablas!$A$89,"SEFIS",BA$52,"CANT",[2]Tablas!$A55),0)</f>
        <v>5</v>
      </c>
      <c r="BB85" s="15">
        <f ca="1">IFERROR(GETPIVOTDATA("Cuenta de CANT",Tabla9,"PROV",[2]Tablas!$A$89,"SEFIS",BB$52,"CANT",[2]Tablas!$A55),0)</f>
        <v>1</v>
      </c>
      <c r="BC85" s="15">
        <f ca="1">IFERROR(GETPIVOTDATA("Cuenta de CANT",Tabla9,"PROV",[2]Tablas!$A$89,"SEFIS",BC$52,"CANT",[2]Tablas!$A55),0)</f>
        <v>1</v>
      </c>
      <c r="BD85" s="15">
        <f ca="1">IFERROR(GETPIVOTDATA("Cuenta de CANT",Tabla9,"PROV",[2]Tablas!$A$89,"SEFIS",BD$52,"CANT",[2]Tablas!$A55),0)</f>
        <v>0</v>
      </c>
    </row>
    <row r="86" spans="1:56" x14ac:dyDescent="0.35">
      <c r="A86" s="14"/>
      <c r="B86" s="12"/>
      <c r="C86" s="13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</row>
    <row r="87" spans="1:56" x14ac:dyDescent="0.35">
      <c r="A87" s="1" t="s">
        <v>180</v>
      </c>
      <c r="B87" s="10">
        <f ca="1">SUM(D87:BD87)</f>
        <v>1000</v>
      </c>
      <c r="C87" s="11">
        <f ca="1">IFERROR(B87/[2]Tablas!$B57*100000,"N/D")</f>
        <v>197.77190175483005</v>
      </c>
      <c r="D87" s="10">
        <f ca="1">SUM(D88:D100)</f>
        <v>5</v>
      </c>
      <c r="E87" s="10">
        <f t="shared" ref="E87:BD87" ca="1" si="11">SUM(E88:E100)</f>
        <v>11</v>
      </c>
      <c r="F87" s="10">
        <f t="shared" ca="1" si="11"/>
        <v>4</v>
      </c>
      <c r="G87" s="10">
        <f t="shared" ca="1" si="11"/>
        <v>3</v>
      </c>
      <c r="H87" s="10">
        <f t="shared" ca="1" si="11"/>
        <v>9</v>
      </c>
      <c r="I87" s="10">
        <f t="shared" ca="1" si="11"/>
        <v>6</v>
      </c>
      <c r="J87" s="10">
        <f t="shared" ca="1" si="11"/>
        <v>18</v>
      </c>
      <c r="K87" s="10">
        <f t="shared" ca="1" si="11"/>
        <v>14</v>
      </c>
      <c r="L87" s="10">
        <f t="shared" ca="1" si="11"/>
        <v>11</v>
      </c>
      <c r="M87" s="10">
        <f t="shared" ca="1" si="11"/>
        <v>10</v>
      </c>
      <c r="N87" s="10">
        <f t="shared" ca="1" si="11"/>
        <v>6</v>
      </c>
      <c r="O87" s="10">
        <f t="shared" ca="1" si="11"/>
        <v>5</v>
      </c>
      <c r="P87" s="10">
        <f t="shared" ca="1" si="11"/>
        <v>6</v>
      </c>
      <c r="Q87" s="10">
        <f t="shared" ca="1" si="11"/>
        <v>3</v>
      </c>
      <c r="R87" s="10">
        <f t="shared" ca="1" si="11"/>
        <v>4</v>
      </c>
      <c r="S87" s="10">
        <f t="shared" ca="1" si="11"/>
        <v>10</v>
      </c>
      <c r="T87" s="10">
        <f t="shared" ca="1" si="11"/>
        <v>9</v>
      </c>
      <c r="U87" s="10">
        <f t="shared" ca="1" si="11"/>
        <v>8</v>
      </c>
      <c r="V87" s="10">
        <f t="shared" ca="1" si="11"/>
        <v>10</v>
      </c>
      <c r="W87" s="10">
        <f t="shared" ca="1" si="11"/>
        <v>10</v>
      </c>
      <c r="X87" s="10">
        <f t="shared" ca="1" si="11"/>
        <v>9</v>
      </c>
      <c r="Y87" s="10">
        <f t="shared" ca="1" si="11"/>
        <v>22</v>
      </c>
      <c r="Z87" s="10">
        <f t="shared" ca="1" si="11"/>
        <v>15</v>
      </c>
      <c r="AA87" s="10">
        <f t="shared" ca="1" si="11"/>
        <v>20</v>
      </c>
      <c r="AB87" s="10">
        <f t="shared" ca="1" si="11"/>
        <v>20</v>
      </c>
      <c r="AC87" s="10">
        <f t="shared" ca="1" si="11"/>
        <v>23</v>
      </c>
      <c r="AD87" s="10">
        <f t="shared" ca="1" si="11"/>
        <v>22</v>
      </c>
      <c r="AE87" s="10">
        <f t="shared" ca="1" si="11"/>
        <v>39</v>
      </c>
      <c r="AF87" s="10">
        <f t="shared" ca="1" si="11"/>
        <v>30</v>
      </c>
      <c r="AG87" s="10">
        <f t="shared" ca="1" si="11"/>
        <v>20</v>
      </c>
      <c r="AH87" s="10">
        <f t="shared" ca="1" si="11"/>
        <v>36</v>
      </c>
      <c r="AI87" s="10">
        <f t="shared" ca="1" si="11"/>
        <v>27</v>
      </c>
      <c r="AJ87" s="10">
        <f t="shared" ca="1" si="11"/>
        <v>42</v>
      </c>
      <c r="AK87" s="10">
        <f t="shared" ca="1" si="11"/>
        <v>33</v>
      </c>
      <c r="AL87" s="10">
        <f t="shared" ca="1" si="11"/>
        <v>30</v>
      </c>
      <c r="AM87" s="10">
        <f t="shared" ca="1" si="11"/>
        <v>28</v>
      </c>
      <c r="AN87" s="10">
        <f t="shared" ca="1" si="11"/>
        <v>13</v>
      </c>
      <c r="AO87" s="10">
        <f t="shared" ca="1" si="11"/>
        <v>21</v>
      </c>
      <c r="AP87" s="10">
        <f t="shared" ca="1" si="11"/>
        <v>25</v>
      </c>
      <c r="AQ87" s="10">
        <f t="shared" ca="1" si="11"/>
        <v>17</v>
      </c>
      <c r="AR87" s="10">
        <f t="shared" ca="1" si="11"/>
        <v>35</v>
      </c>
      <c r="AS87" s="10">
        <f t="shared" ca="1" si="11"/>
        <v>22</v>
      </c>
      <c r="AT87" s="10">
        <f t="shared" ca="1" si="11"/>
        <v>14</v>
      </c>
      <c r="AU87" s="10">
        <f t="shared" ca="1" si="11"/>
        <v>37</v>
      </c>
      <c r="AV87" s="10">
        <f t="shared" ca="1" si="11"/>
        <v>22</v>
      </c>
      <c r="AW87" s="10">
        <f t="shared" ca="1" si="11"/>
        <v>42</v>
      </c>
      <c r="AX87" s="10">
        <f t="shared" ca="1" si="11"/>
        <v>32</v>
      </c>
      <c r="AY87" s="10">
        <f t="shared" ca="1" si="11"/>
        <v>25</v>
      </c>
      <c r="AZ87" s="10">
        <f t="shared" ca="1" si="11"/>
        <v>31</v>
      </c>
      <c r="BA87" s="10">
        <f t="shared" ca="1" si="11"/>
        <v>29</v>
      </c>
      <c r="BB87" s="10">
        <f t="shared" ca="1" si="11"/>
        <v>26</v>
      </c>
      <c r="BC87" s="10">
        <f t="shared" ca="1" si="11"/>
        <v>31</v>
      </c>
      <c r="BD87" s="10">
        <f t="shared" ca="1" si="11"/>
        <v>0</v>
      </c>
    </row>
    <row r="88" spans="1:56" x14ac:dyDescent="0.35">
      <c r="A88" s="14" t="s">
        <v>181</v>
      </c>
      <c r="B88" s="15">
        <v>374</v>
      </c>
      <c r="C88" s="16">
        <v>258.98662825724159</v>
      </c>
      <c r="D88" s="15">
        <v>1</v>
      </c>
      <c r="E88" s="15">
        <v>3</v>
      </c>
      <c r="F88" s="15">
        <v>0</v>
      </c>
      <c r="G88" s="15">
        <v>0</v>
      </c>
      <c r="H88" s="15">
        <v>0</v>
      </c>
      <c r="I88" s="15">
        <v>1</v>
      </c>
      <c r="J88" s="15">
        <v>1</v>
      </c>
      <c r="K88" s="15">
        <v>1</v>
      </c>
      <c r="L88" s="15">
        <v>3</v>
      </c>
      <c r="M88" s="15">
        <v>3</v>
      </c>
      <c r="N88" s="15">
        <v>2</v>
      </c>
      <c r="O88" s="15">
        <v>1</v>
      </c>
      <c r="P88" s="15">
        <v>0</v>
      </c>
      <c r="Q88" s="15">
        <v>1</v>
      </c>
      <c r="R88" s="15">
        <v>0</v>
      </c>
      <c r="S88" s="15">
        <v>1</v>
      </c>
      <c r="T88" s="15">
        <v>0</v>
      </c>
      <c r="U88" s="15">
        <v>0</v>
      </c>
      <c r="V88" s="15">
        <v>0</v>
      </c>
      <c r="W88" s="15">
        <v>0</v>
      </c>
      <c r="X88" s="15">
        <v>1</v>
      </c>
      <c r="Y88" s="15">
        <v>7</v>
      </c>
      <c r="Z88" s="15">
        <v>4</v>
      </c>
      <c r="AA88" s="15">
        <v>6</v>
      </c>
      <c r="AB88" s="15">
        <v>0</v>
      </c>
      <c r="AC88" s="15">
        <v>4</v>
      </c>
      <c r="AD88" s="15">
        <v>5</v>
      </c>
      <c r="AE88" s="15">
        <v>2</v>
      </c>
      <c r="AF88" s="15">
        <v>6</v>
      </c>
      <c r="AG88" s="15">
        <v>5</v>
      </c>
      <c r="AH88" s="15">
        <v>10</v>
      </c>
      <c r="AI88" s="15">
        <v>11</v>
      </c>
      <c r="AJ88" s="15">
        <v>16</v>
      </c>
      <c r="AK88" s="15">
        <v>14</v>
      </c>
      <c r="AL88" s="15">
        <v>17</v>
      </c>
      <c r="AM88" s="15">
        <v>18</v>
      </c>
      <c r="AN88" s="15">
        <v>6</v>
      </c>
      <c r="AO88" s="15">
        <v>11</v>
      </c>
      <c r="AP88" s="15">
        <v>17</v>
      </c>
      <c r="AQ88" s="15">
        <v>12</v>
      </c>
      <c r="AR88" s="15">
        <v>15</v>
      </c>
      <c r="AS88" s="15">
        <v>11</v>
      </c>
      <c r="AT88" s="15">
        <v>9</v>
      </c>
      <c r="AU88" s="15">
        <v>22</v>
      </c>
      <c r="AV88" s="15">
        <v>8</v>
      </c>
      <c r="AW88" s="15">
        <v>22</v>
      </c>
      <c r="AX88" s="15">
        <v>17</v>
      </c>
      <c r="AY88" s="15">
        <v>15</v>
      </c>
      <c r="AZ88" s="15">
        <v>23</v>
      </c>
      <c r="BA88" s="15">
        <v>17</v>
      </c>
      <c r="BB88" s="15">
        <v>16</v>
      </c>
      <c r="BC88" s="15">
        <v>9</v>
      </c>
      <c r="BD88" s="15">
        <v>0</v>
      </c>
    </row>
    <row r="89" spans="1:56" x14ac:dyDescent="0.35">
      <c r="A89" s="14" t="s">
        <v>182</v>
      </c>
      <c r="B89" s="15">
        <f t="shared" ref="B89:B100" ca="1" si="12">SUM(D89:BD89)</f>
        <v>197</v>
      </c>
      <c r="C89" s="16">
        <f ca="1">IFERROR(B89/[2]Tablas!$B59*100000,"N/D")</f>
        <v>554.8983155878542</v>
      </c>
      <c r="D89" s="15">
        <f ca="1">IFERROR(GETPIVOTDATA("Cuenta de CANT",Tabla9,"PROV",[2]Tablas!$A$102,"SEFIS",D$52,"CANT",[2]Tablas!$A59),0)</f>
        <v>1</v>
      </c>
      <c r="E89" s="15">
        <f ca="1">IFERROR(GETPIVOTDATA("Cuenta de CANT",Tabla9,"PROV",[2]Tablas!$A$102,"SEFIS",E$52,"CANT",[2]Tablas!$A59),0)</f>
        <v>2</v>
      </c>
      <c r="F89" s="15">
        <f ca="1">IFERROR(GETPIVOTDATA("Cuenta de CANT",Tabla9,"PROV",[2]Tablas!$A$102,"SEFIS",F$52,"CANT",[2]Tablas!$A59),0)</f>
        <v>1</v>
      </c>
      <c r="G89" s="15">
        <f ca="1">IFERROR(GETPIVOTDATA("Cuenta de CANT",Tabla9,"PROV",[2]Tablas!$A$102,"SEFIS",G$52,"CANT",[2]Tablas!$A59),0)</f>
        <v>0</v>
      </c>
      <c r="H89" s="15">
        <f ca="1">IFERROR(GETPIVOTDATA("Cuenta de CANT",Tabla9,"PROV",[2]Tablas!$A$102,"SEFIS",H$52,"CANT",[2]Tablas!$A59),0)</f>
        <v>1</v>
      </c>
      <c r="I89" s="15">
        <f ca="1">IFERROR(GETPIVOTDATA("Cuenta de CANT",Tabla9,"PROV",[2]Tablas!$A$102,"SEFIS",I$52,"CANT",[2]Tablas!$A59),0)</f>
        <v>0</v>
      </c>
      <c r="J89" s="15">
        <f ca="1">IFERROR(GETPIVOTDATA("Cuenta de CANT",Tabla9,"PROV",[2]Tablas!$A$102,"SEFIS",J$52,"CANT",[2]Tablas!$A59),0)</f>
        <v>2</v>
      </c>
      <c r="K89" s="15">
        <f ca="1">IFERROR(GETPIVOTDATA("Cuenta de CANT",Tabla9,"PROV",[2]Tablas!$A$102,"SEFIS",K$52,"CANT",[2]Tablas!$A59),0)</f>
        <v>0</v>
      </c>
      <c r="L89" s="15">
        <f ca="1">IFERROR(GETPIVOTDATA("Cuenta de CANT",Tabla9,"PROV",[2]Tablas!$A$102,"SEFIS",L$52,"CANT",[2]Tablas!$A59),0)</f>
        <v>2</v>
      </c>
      <c r="M89" s="15">
        <f ca="1">IFERROR(GETPIVOTDATA("Cuenta de CANT",Tabla9,"PROV",[2]Tablas!$A$102,"SEFIS",M$52,"CANT",[2]Tablas!$A59),0)</f>
        <v>1</v>
      </c>
      <c r="N89" s="15">
        <f ca="1">IFERROR(GETPIVOTDATA("Cuenta de CANT",Tabla9,"PROV",[2]Tablas!$A$102,"SEFIS",N$52,"CANT",[2]Tablas!$A59),0)</f>
        <v>1</v>
      </c>
      <c r="O89" s="15">
        <f ca="1">IFERROR(GETPIVOTDATA("Cuenta de CANT",Tabla9,"PROV",[2]Tablas!$A$102,"SEFIS",O$52,"CANT",[2]Tablas!$A59),0)</f>
        <v>2</v>
      </c>
      <c r="P89" s="15">
        <f ca="1">IFERROR(GETPIVOTDATA("Cuenta de CANT",Tabla9,"PROV",[2]Tablas!$A$102,"SEFIS",P$52,"CANT",[2]Tablas!$A59),0)</f>
        <v>1</v>
      </c>
      <c r="Q89" s="15">
        <f ca="1">IFERROR(GETPIVOTDATA("Cuenta de CANT",Tabla9,"PROV",[2]Tablas!$A$102,"SEFIS",Q$52,"CANT",[2]Tablas!$A59),0)</f>
        <v>1</v>
      </c>
      <c r="R89" s="15">
        <f ca="1">IFERROR(GETPIVOTDATA("Cuenta de CANT",Tabla9,"PROV",[2]Tablas!$A$102,"SEFIS",R$52,"CANT",[2]Tablas!$A59),0)</f>
        <v>2</v>
      </c>
      <c r="S89" s="15">
        <f ca="1">IFERROR(GETPIVOTDATA("Cuenta de CANT",Tabla9,"PROV",[2]Tablas!$A$102,"SEFIS",S$52,"CANT",[2]Tablas!$A59),0)</f>
        <v>7</v>
      </c>
      <c r="T89" s="15">
        <f ca="1">IFERROR(GETPIVOTDATA("Cuenta de CANT",Tabla9,"PROV",[2]Tablas!$A$102,"SEFIS",T$52,"CANT",[2]Tablas!$A59),0)</f>
        <v>3</v>
      </c>
      <c r="U89" s="15">
        <f ca="1">IFERROR(GETPIVOTDATA("Cuenta de CANT",Tabla9,"PROV",[2]Tablas!$A$102,"SEFIS",U$52,"CANT",[2]Tablas!$A59),0)</f>
        <v>4</v>
      </c>
      <c r="V89" s="15">
        <f ca="1">IFERROR(GETPIVOTDATA("Cuenta de CANT",Tabla9,"PROV",[2]Tablas!$A$102,"SEFIS",V$52,"CANT",[2]Tablas!$A59),0)</f>
        <v>3</v>
      </c>
      <c r="W89" s="15">
        <f ca="1">IFERROR(GETPIVOTDATA("Cuenta de CANT",Tabla9,"PROV",[2]Tablas!$A$102,"SEFIS",W$52,"CANT",[2]Tablas!$A59),0)</f>
        <v>2</v>
      </c>
      <c r="X89" s="15">
        <f ca="1">IFERROR(GETPIVOTDATA("Cuenta de CANT",Tabla9,"PROV",[2]Tablas!$A$102,"SEFIS",X$52,"CANT",[2]Tablas!$A59),0)</f>
        <v>5</v>
      </c>
      <c r="Y89" s="15">
        <f ca="1">IFERROR(GETPIVOTDATA("Cuenta de CANT",Tabla9,"PROV",[2]Tablas!$A$102,"SEFIS",Y$52,"CANT",[2]Tablas!$A59),0)</f>
        <v>9</v>
      </c>
      <c r="Z89" s="15">
        <f ca="1">IFERROR(GETPIVOTDATA("Cuenta de CANT",Tabla9,"PROV",[2]Tablas!$A$102,"SEFIS",Z$52,"CANT",[2]Tablas!$A59),0)</f>
        <v>5</v>
      </c>
      <c r="AA89" s="15">
        <f ca="1">IFERROR(GETPIVOTDATA("Cuenta de CANT",Tabla9,"PROV",[2]Tablas!$A$102,"SEFIS",AA$52,"CANT",[2]Tablas!$A59),0)</f>
        <v>7</v>
      </c>
      <c r="AB89" s="15">
        <f ca="1">IFERROR(GETPIVOTDATA("Cuenta de CANT",Tabla9,"PROV",[2]Tablas!$A$102,"SEFIS",AB$52,"CANT",[2]Tablas!$A59),0)</f>
        <v>10</v>
      </c>
      <c r="AC89" s="15">
        <f ca="1">IFERROR(GETPIVOTDATA("Cuenta de CANT",Tabla9,"PROV",[2]Tablas!$A$102,"SEFIS",AC$52,"CANT",[2]Tablas!$A59),0)</f>
        <v>5</v>
      </c>
      <c r="AD89" s="15">
        <f ca="1">IFERROR(GETPIVOTDATA("Cuenta de CANT",Tabla9,"PROV",[2]Tablas!$A$102,"SEFIS",AD$52,"CANT",[2]Tablas!$A59),0)</f>
        <v>5</v>
      </c>
      <c r="AE89" s="15">
        <f ca="1">IFERROR(GETPIVOTDATA("Cuenta de CANT",Tabla9,"PROV",[2]Tablas!$A$102,"SEFIS",AE$52,"CANT",[2]Tablas!$A59),0)</f>
        <v>15</v>
      </c>
      <c r="AF89" s="15">
        <f ca="1">IFERROR(GETPIVOTDATA("Cuenta de CANT",Tabla9,"PROV",[2]Tablas!$A$102,"SEFIS",AF$52,"CANT",[2]Tablas!$A59),0)</f>
        <v>10</v>
      </c>
      <c r="AG89" s="15">
        <f ca="1">IFERROR(GETPIVOTDATA("Cuenta de CANT",Tabla9,"PROV",[2]Tablas!$A$102,"SEFIS",AG$52,"CANT",[2]Tablas!$A59),0)</f>
        <v>5</v>
      </c>
      <c r="AH89" s="15">
        <f ca="1">IFERROR(GETPIVOTDATA("Cuenta de CANT",Tabla9,"PROV",[2]Tablas!$A$102,"SEFIS",AH$52,"CANT",[2]Tablas!$A59),0)</f>
        <v>7</v>
      </c>
      <c r="AI89" s="15">
        <f ca="1">IFERROR(GETPIVOTDATA("Cuenta de CANT",Tabla9,"PROV",[2]Tablas!$A$102,"SEFIS",AI$52,"CANT",[2]Tablas!$A59),0)</f>
        <v>7</v>
      </c>
      <c r="AJ89" s="15">
        <f ca="1">IFERROR(GETPIVOTDATA("Cuenta de CANT",Tabla9,"PROV",[2]Tablas!$A$102,"SEFIS",AJ$52,"CANT",[2]Tablas!$A59),0)</f>
        <v>7</v>
      </c>
      <c r="AK89" s="15">
        <f ca="1">IFERROR(GETPIVOTDATA("Cuenta de CANT",Tabla9,"PROV",[2]Tablas!$A$102,"SEFIS",AK$52,"CANT",[2]Tablas!$A59),0)</f>
        <v>10</v>
      </c>
      <c r="AL89" s="15">
        <f ca="1">IFERROR(GETPIVOTDATA("Cuenta de CANT",Tabla9,"PROV",[2]Tablas!$A$102,"SEFIS",AL$52,"CANT",[2]Tablas!$A59),0)</f>
        <v>7</v>
      </c>
      <c r="AM89" s="15">
        <f ca="1">IFERROR(GETPIVOTDATA("Cuenta de CANT",Tabla9,"PROV",[2]Tablas!$A$102,"SEFIS",AM$52,"CANT",[2]Tablas!$A59),0)</f>
        <v>3</v>
      </c>
      <c r="AN89" s="15">
        <f ca="1">IFERROR(GETPIVOTDATA("Cuenta de CANT",Tabla9,"PROV",[2]Tablas!$A$102,"SEFIS",AN$52,"CANT",[2]Tablas!$A59),0)</f>
        <v>3</v>
      </c>
      <c r="AO89" s="15">
        <f ca="1">IFERROR(GETPIVOTDATA("Cuenta de CANT",Tabla9,"PROV",[2]Tablas!$A$102,"SEFIS",AO$52,"CANT",[2]Tablas!$A59),0)</f>
        <v>5</v>
      </c>
      <c r="AP89" s="15">
        <f ca="1">IFERROR(GETPIVOTDATA("Cuenta de CANT",Tabla9,"PROV",[2]Tablas!$A$102,"SEFIS",AP$52,"CANT",[2]Tablas!$A59),0)</f>
        <v>4</v>
      </c>
      <c r="AQ89" s="15">
        <f ca="1">IFERROR(GETPIVOTDATA("Cuenta de CANT",Tabla9,"PROV",[2]Tablas!$A$102,"SEFIS",AQ$52,"CANT",[2]Tablas!$A59),0)</f>
        <v>1</v>
      </c>
      <c r="AR89" s="15">
        <f ca="1">IFERROR(GETPIVOTDATA("Cuenta de CANT",Tabla9,"PROV",[2]Tablas!$A$102,"SEFIS",AR$52,"CANT",[2]Tablas!$A59),0)</f>
        <v>3</v>
      </c>
      <c r="AS89" s="15">
        <f ca="1">IFERROR(GETPIVOTDATA("Cuenta de CANT",Tabla9,"PROV",[2]Tablas!$A$102,"SEFIS",AS$52,"CANT",[2]Tablas!$A59),0)</f>
        <v>5</v>
      </c>
      <c r="AT89" s="15">
        <f ca="1">IFERROR(GETPIVOTDATA("Cuenta de CANT",Tabla9,"PROV",[2]Tablas!$A$102,"SEFIS",AT$52,"CANT",[2]Tablas!$A59),0)</f>
        <v>1</v>
      </c>
      <c r="AU89" s="15">
        <f ca="1">IFERROR(GETPIVOTDATA("Cuenta de CANT",Tabla9,"PROV",[2]Tablas!$A$102,"SEFIS",AU$52,"CANT",[2]Tablas!$A59),0)</f>
        <v>1</v>
      </c>
      <c r="AV89" s="15">
        <f ca="1">IFERROR(GETPIVOTDATA("Cuenta de CANT",Tabla9,"PROV",[2]Tablas!$A$102,"SEFIS",AV$52,"CANT",[2]Tablas!$A59),0)</f>
        <v>2</v>
      </c>
      <c r="AW89" s="15">
        <f ca="1">IFERROR(GETPIVOTDATA("Cuenta de CANT",Tabla9,"PROV",[2]Tablas!$A$102,"SEFIS",AW$52,"CANT",[2]Tablas!$A59),0)</f>
        <v>5</v>
      </c>
      <c r="AX89" s="15">
        <f ca="1">IFERROR(GETPIVOTDATA("Cuenta de CANT",Tabla9,"PROV",[2]Tablas!$A$102,"SEFIS",AX$52,"CANT",[2]Tablas!$A59),0)</f>
        <v>4</v>
      </c>
      <c r="AY89" s="15">
        <f ca="1">IFERROR(GETPIVOTDATA("Cuenta de CANT",Tabla9,"PROV",[2]Tablas!$A$102,"SEFIS",AY$52,"CANT",[2]Tablas!$A59),0)</f>
        <v>3</v>
      </c>
      <c r="AZ89" s="15">
        <f ca="1">IFERROR(GETPIVOTDATA("Cuenta de CANT",Tabla9,"PROV",[2]Tablas!$A$102,"SEFIS",AZ$52,"CANT",[2]Tablas!$A59),0)</f>
        <v>0</v>
      </c>
      <c r="BA89" s="15">
        <f ca="1">IFERROR(GETPIVOTDATA("Cuenta de CANT",Tabla9,"PROV",[2]Tablas!$A$102,"SEFIS",BA$52,"CANT",[2]Tablas!$A59),0)</f>
        <v>4</v>
      </c>
      <c r="BB89" s="15">
        <f ca="1">IFERROR(GETPIVOTDATA("Cuenta de CANT",Tabla9,"PROV",[2]Tablas!$A$102,"SEFIS",BB$52,"CANT",[2]Tablas!$A59),0)</f>
        <v>1</v>
      </c>
      <c r="BC89" s="15">
        <f ca="1">IFERROR(GETPIVOTDATA("Cuenta de CANT",Tabla9,"PROV",[2]Tablas!$A$102,"SEFIS",BC$52,"CANT",[2]Tablas!$A59),0)</f>
        <v>2</v>
      </c>
      <c r="BD89" s="15">
        <f ca="1">IFERROR(GETPIVOTDATA("Cuenta de CANT",Tabla9,"PROV",[2]Tablas!$A$102,"SEFIS",BD$52,"CANT",[2]Tablas!$A59),0)</f>
        <v>0</v>
      </c>
    </row>
    <row r="90" spans="1:56" x14ac:dyDescent="0.35">
      <c r="A90" s="14" t="s">
        <v>183</v>
      </c>
      <c r="B90" s="15">
        <f t="shared" ca="1" si="12"/>
        <v>20</v>
      </c>
      <c r="C90" s="16">
        <f ca="1">IFERROR(B90/[2]Tablas!$B60*100000,"N/D")</f>
        <v>36.305547487656114</v>
      </c>
      <c r="D90" s="15">
        <f ca="1">IFERROR(GETPIVOTDATA("Cuenta de CANT",Tabla9,"PROV",[2]Tablas!$A$102,"SEFIS",D$52,"CANT",[2]Tablas!$A60),0)</f>
        <v>1</v>
      </c>
      <c r="E90" s="15">
        <f ca="1">IFERROR(GETPIVOTDATA("Cuenta de CANT",Tabla9,"PROV",[2]Tablas!$A$102,"SEFIS",E$52,"CANT",[2]Tablas!$A60),0)</f>
        <v>0</v>
      </c>
      <c r="F90" s="15">
        <f ca="1">IFERROR(GETPIVOTDATA("Cuenta de CANT",Tabla9,"PROV",[2]Tablas!$A$102,"SEFIS",F$52,"CANT",[2]Tablas!$A60),0)</f>
        <v>1</v>
      </c>
      <c r="G90" s="15">
        <f ca="1">IFERROR(GETPIVOTDATA("Cuenta de CANT",Tabla9,"PROV",[2]Tablas!$A$102,"SEFIS",G$52,"CANT",[2]Tablas!$A60),0)</f>
        <v>0</v>
      </c>
      <c r="H90" s="15">
        <f ca="1">IFERROR(GETPIVOTDATA("Cuenta de CANT",Tabla9,"PROV",[2]Tablas!$A$102,"SEFIS",H$52,"CANT",[2]Tablas!$A60),0)</f>
        <v>0</v>
      </c>
      <c r="I90" s="15">
        <f ca="1">IFERROR(GETPIVOTDATA("Cuenta de CANT",Tabla9,"PROV",[2]Tablas!$A$102,"SEFIS",I$52,"CANT",[2]Tablas!$A60),0)</f>
        <v>0</v>
      </c>
      <c r="J90" s="15">
        <f ca="1">IFERROR(GETPIVOTDATA("Cuenta de CANT",Tabla9,"PROV",[2]Tablas!$A$102,"SEFIS",J$52,"CANT",[2]Tablas!$A60),0)</f>
        <v>0</v>
      </c>
      <c r="K90" s="15">
        <f ca="1">IFERROR(GETPIVOTDATA("Cuenta de CANT",Tabla9,"PROV",[2]Tablas!$A$102,"SEFIS",K$52,"CANT",[2]Tablas!$A60),0)</f>
        <v>0</v>
      </c>
      <c r="L90" s="15">
        <f ca="1">IFERROR(GETPIVOTDATA("Cuenta de CANT",Tabla9,"PROV",[2]Tablas!$A$102,"SEFIS",L$52,"CANT",[2]Tablas!$A60),0)</f>
        <v>0</v>
      </c>
      <c r="M90" s="15">
        <f ca="1">IFERROR(GETPIVOTDATA("Cuenta de CANT",Tabla9,"PROV",[2]Tablas!$A$102,"SEFIS",M$52,"CANT",[2]Tablas!$A60),0)</f>
        <v>0</v>
      </c>
      <c r="N90" s="15">
        <f ca="1">IFERROR(GETPIVOTDATA("Cuenta de CANT",Tabla9,"PROV",[2]Tablas!$A$102,"SEFIS",N$52,"CANT",[2]Tablas!$A60),0)</f>
        <v>0</v>
      </c>
      <c r="O90" s="15">
        <f ca="1">IFERROR(GETPIVOTDATA("Cuenta de CANT",Tabla9,"PROV",[2]Tablas!$A$102,"SEFIS",O$52,"CANT",[2]Tablas!$A60),0)</f>
        <v>1</v>
      </c>
      <c r="P90" s="15">
        <f ca="1">IFERROR(GETPIVOTDATA("Cuenta de CANT",Tabla9,"PROV",[2]Tablas!$A$102,"SEFIS",P$52,"CANT",[2]Tablas!$A60),0)</f>
        <v>0</v>
      </c>
      <c r="Q90" s="15">
        <f ca="1">IFERROR(GETPIVOTDATA("Cuenta de CANT",Tabla9,"PROV",[2]Tablas!$A$102,"SEFIS",Q$52,"CANT",[2]Tablas!$A60),0)</f>
        <v>0</v>
      </c>
      <c r="R90" s="15">
        <f ca="1">IFERROR(GETPIVOTDATA("Cuenta de CANT",Tabla9,"PROV",[2]Tablas!$A$102,"SEFIS",R$52,"CANT",[2]Tablas!$A60),0)</f>
        <v>2</v>
      </c>
      <c r="S90" s="15">
        <f ca="1">IFERROR(GETPIVOTDATA("Cuenta de CANT",Tabla9,"PROV",[2]Tablas!$A$102,"SEFIS",S$52,"CANT",[2]Tablas!$A60),0)</f>
        <v>0</v>
      </c>
      <c r="T90" s="15">
        <f ca="1">IFERROR(GETPIVOTDATA("Cuenta de CANT",Tabla9,"PROV",[2]Tablas!$A$102,"SEFIS",T$52,"CANT",[2]Tablas!$A60),0)</f>
        <v>1</v>
      </c>
      <c r="U90" s="15">
        <f ca="1">IFERROR(GETPIVOTDATA("Cuenta de CANT",Tabla9,"PROV",[2]Tablas!$A$102,"SEFIS",U$52,"CANT",[2]Tablas!$A60),0)</f>
        <v>0</v>
      </c>
      <c r="V90" s="15">
        <f ca="1">IFERROR(GETPIVOTDATA("Cuenta de CANT",Tabla9,"PROV",[2]Tablas!$A$102,"SEFIS",V$52,"CANT",[2]Tablas!$A60),0)</f>
        <v>0</v>
      </c>
      <c r="W90" s="15">
        <f ca="1">IFERROR(GETPIVOTDATA("Cuenta de CANT",Tabla9,"PROV",[2]Tablas!$A$102,"SEFIS",W$52,"CANT",[2]Tablas!$A60),0)</f>
        <v>0</v>
      </c>
      <c r="X90" s="15">
        <f ca="1">IFERROR(GETPIVOTDATA("Cuenta de CANT",Tabla9,"PROV",[2]Tablas!$A$102,"SEFIS",X$52,"CANT",[2]Tablas!$A60),0)</f>
        <v>1</v>
      </c>
      <c r="Y90" s="15">
        <f ca="1">IFERROR(GETPIVOTDATA("Cuenta de CANT",Tabla9,"PROV",[2]Tablas!$A$102,"SEFIS",Y$52,"CANT",[2]Tablas!$A60),0)</f>
        <v>0</v>
      </c>
      <c r="Z90" s="15">
        <f ca="1">IFERROR(GETPIVOTDATA("Cuenta de CANT",Tabla9,"PROV",[2]Tablas!$A$102,"SEFIS",Z$52,"CANT",[2]Tablas!$A60),0)</f>
        <v>1</v>
      </c>
      <c r="AA90" s="15">
        <f ca="1">IFERROR(GETPIVOTDATA("Cuenta de CANT",Tabla9,"PROV",[2]Tablas!$A$102,"SEFIS",AA$52,"CANT",[2]Tablas!$A60),0)</f>
        <v>1</v>
      </c>
      <c r="AB90" s="15">
        <f ca="1">IFERROR(GETPIVOTDATA("Cuenta de CANT",Tabla9,"PROV",[2]Tablas!$A$102,"SEFIS",AB$52,"CANT",[2]Tablas!$A60),0)</f>
        <v>0</v>
      </c>
      <c r="AC90" s="15">
        <f ca="1">IFERROR(GETPIVOTDATA("Cuenta de CANT",Tabla9,"PROV",[2]Tablas!$A$102,"SEFIS",AC$52,"CANT",[2]Tablas!$A60),0)</f>
        <v>0</v>
      </c>
      <c r="AD90" s="15">
        <f ca="1">IFERROR(GETPIVOTDATA("Cuenta de CANT",Tabla9,"PROV",[2]Tablas!$A$102,"SEFIS",AD$52,"CANT",[2]Tablas!$A60),0)</f>
        <v>0</v>
      </c>
      <c r="AE90" s="15">
        <f ca="1">IFERROR(GETPIVOTDATA("Cuenta de CANT",Tabla9,"PROV",[2]Tablas!$A$102,"SEFIS",AE$52,"CANT",[2]Tablas!$A60),0)</f>
        <v>0</v>
      </c>
      <c r="AF90" s="15">
        <f ca="1">IFERROR(GETPIVOTDATA("Cuenta de CANT",Tabla9,"PROV",[2]Tablas!$A$102,"SEFIS",AF$52,"CANT",[2]Tablas!$A60),0)</f>
        <v>1</v>
      </c>
      <c r="AG90" s="15">
        <f ca="1">IFERROR(GETPIVOTDATA("Cuenta de CANT",Tabla9,"PROV",[2]Tablas!$A$102,"SEFIS",AG$52,"CANT",[2]Tablas!$A60),0)</f>
        <v>1</v>
      </c>
      <c r="AH90" s="15">
        <f ca="1">IFERROR(GETPIVOTDATA("Cuenta de CANT",Tabla9,"PROV",[2]Tablas!$A$102,"SEFIS",AH$52,"CANT",[2]Tablas!$A60),0)</f>
        <v>0</v>
      </c>
      <c r="AI90" s="15">
        <f ca="1">IFERROR(GETPIVOTDATA("Cuenta de CANT",Tabla9,"PROV",[2]Tablas!$A$102,"SEFIS",AI$52,"CANT",[2]Tablas!$A60),0)</f>
        <v>0</v>
      </c>
      <c r="AJ90" s="15">
        <f ca="1">IFERROR(GETPIVOTDATA("Cuenta de CANT",Tabla9,"PROV",[2]Tablas!$A$102,"SEFIS",AJ$52,"CANT",[2]Tablas!$A60),0)</f>
        <v>0</v>
      </c>
      <c r="AK90" s="15">
        <f ca="1">IFERROR(GETPIVOTDATA("Cuenta de CANT",Tabla9,"PROV",[2]Tablas!$A$102,"SEFIS",AK$52,"CANT",[2]Tablas!$A60),0)</f>
        <v>0</v>
      </c>
      <c r="AL90" s="15">
        <f ca="1">IFERROR(GETPIVOTDATA("Cuenta de CANT",Tabla9,"PROV",[2]Tablas!$A$102,"SEFIS",AL$52,"CANT",[2]Tablas!$A60),0)</f>
        <v>0</v>
      </c>
      <c r="AM90" s="15">
        <f ca="1">IFERROR(GETPIVOTDATA("Cuenta de CANT",Tabla9,"PROV",[2]Tablas!$A$102,"SEFIS",AM$52,"CANT",[2]Tablas!$A60),0)</f>
        <v>2</v>
      </c>
      <c r="AN90" s="15">
        <f ca="1">IFERROR(GETPIVOTDATA("Cuenta de CANT",Tabla9,"PROV",[2]Tablas!$A$102,"SEFIS",AN$52,"CANT",[2]Tablas!$A60),0)</f>
        <v>0</v>
      </c>
      <c r="AO90" s="15">
        <f ca="1">IFERROR(GETPIVOTDATA("Cuenta de CANT",Tabla9,"PROV",[2]Tablas!$A$102,"SEFIS",AO$52,"CANT",[2]Tablas!$A60),0)</f>
        <v>0</v>
      </c>
      <c r="AP90" s="15">
        <f ca="1">IFERROR(GETPIVOTDATA("Cuenta de CANT",Tabla9,"PROV",[2]Tablas!$A$102,"SEFIS",AP$52,"CANT",[2]Tablas!$A60),0)</f>
        <v>2</v>
      </c>
      <c r="AQ90" s="15">
        <f ca="1">IFERROR(GETPIVOTDATA("Cuenta de CANT",Tabla9,"PROV",[2]Tablas!$A$102,"SEFIS",AQ$52,"CANT",[2]Tablas!$A60),0)</f>
        <v>0</v>
      </c>
      <c r="AR90" s="15">
        <f ca="1">IFERROR(GETPIVOTDATA("Cuenta de CANT",Tabla9,"PROV",[2]Tablas!$A$102,"SEFIS",AR$52,"CANT",[2]Tablas!$A60),0)</f>
        <v>0</v>
      </c>
      <c r="AS90" s="15">
        <f ca="1">IFERROR(GETPIVOTDATA("Cuenta de CANT",Tabla9,"PROV",[2]Tablas!$A$102,"SEFIS",AS$52,"CANT",[2]Tablas!$A60),0)</f>
        <v>2</v>
      </c>
      <c r="AT90" s="15">
        <f ca="1">IFERROR(GETPIVOTDATA("Cuenta de CANT",Tabla9,"PROV",[2]Tablas!$A$102,"SEFIS",AT$52,"CANT",[2]Tablas!$A60),0)</f>
        <v>1</v>
      </c>
      <c r="AU90" s="15">
        <f ca="1">IFERROR(GETPIVOTDATA("Cuenta de CANT",Tabla9,"PROV",[2]Tablas!$A$102,"SEFIS",AU$52,"CANT",[2]Tablas!$A60),0)</f>
        <v>0</v>
      </c>
      <c r="AV90" s="15">
        <f ca="1">IFERROR(GETPIVOTDATA("Cuenta de CANT",Tabla9,"PROV",[2]Tablas!$A$102,"SEFIS",AV$52,"CANT",[2]Tablas!$A60),0)</f>
        <v>0</v>
      </c>
      <c r="AW90" s="15">
        <f ca="1">IFERROR(GETPIVOTDATA("Cuenta de CANT",Tabla9,"PROV",[2]Tablas!$A$102,"SEFIS",AW$52,"CANT",[2]Tablas!$A60),0)</f>
        <v>0</v>
      </c>
      <c r="AX90" s="15">
        <f ca="1">IFERROR(GETPIVOTDATA("Cuenta de CANT",Tabla9,"PROV",[2]Tablas!$A$102,"SEFIS",AX$52,"CANT",[2]Tablas!$A60),0)</f>
        <v>0</v>
      </c>
      <c r="AY90" s="15">
        <f ca="1">IFERROR(GETPIVOTDATA("Cuenta de CANT",Tabla9,"PROV",[2]Tablas!$A$102,"SEFIS",AY$52,"CANT",[2]Tablas!$A60),0)</f>
        <v>1</v>
      </c>
      <c r="AZ90" s="15">
        <f ca="1">IFERROR(GETPIVOTDATA("Cuenta de CANT",Tabla9,"PROV",[2]Tablas!$A$102,"SEFIS",AZ$52,"CANT",[2]Tablas!$A60),0)</f>
        <v>1</v>
      </c>
      <c r="BA90" s="15">
        <f ca="1">IFERROR(GETPIVOTDATA("Cuenta de CANT",Tabla9,"PROV",[2]Tablas!$A$102,"SEFIS",BA$52,"CANT",[2]Tablas!$A60),0)</f>
        <v>0</v>
      </c>
      <c r="BB90" s="15">
        <f ca="1">IFERROR(GETPIVOTDATA("Cuenta de CANT",Tabla9,"PROV",[2]Tablas!$A$102,"SEFIS",BB$52,"CANT",[2]Tablas!$A60),0)</f>
        <v>0</v>
      </c>
      <c r="BC90" s="15">
        <f ca="1">IFERROR(GETPIVOTDATA("Cuenta de CANT",Tabla9,"PROV",[2]Tablas!$A$102,"SEFIS",BC$52,"CANT",[2]Tablas!$A60),0)</f>
        <v>0</v>
      </c>
      <c r="BD90" s="15">
        <f ca="1">IFERROR(GETPIVOTDATA("Cuenta de CANT",Tabla9,"PROV",[2]Tablas!$A$102,"SEFIS",BD$52,"CANT",[2]Tablas!$A60),0)</f>
        <v>0</v>
      </c>
    </row>
    <row r="91" spans="1:56" x14ac:dyDescent="0.35">
      <c r="A91" s="14" t="s">
        <v>184</v>
      </c>
      <c r="B91" s="15">
        <f t="shared" ca="1" si="12"/>
        <v>84</v>
      </c>
      <c r="C91" s="16">
        <f ca="1">IFERROR(B91/[2]Tablas!$B61*100000,"N/D")</f>
        <v>561.34723336006414</v>
      </c>
      <c r="D91" s="15">
        <f ca="1">IFERROR(GETPIVOTDATA("Cuenta de CANT",Tabla9,"PROV",[2]Tablas!$A$102,"SEFIS",D$52,"CANT",[2]Tablas!$A61),0)</f>
        <v>0</v>
      </c>
      <c r="E91" s="15">
        <f ca="1">IFERROR(GETPIVOTDATA("Cuenta de CANT",Tabla9,"PROV",[2]Tablas!$A$102,"SEFIS",E$52,"CANT",[2]Tablas!$A61),0)</f>
        <v>0</v>
      </c>
      <c r="F91" s="15">
        <f ca="1">IFERROR(GETPIVOTDATA("Cuenta de CANT",Tabla9,"PROV",[2]Tablas!$A$102,"SEFIS",F$52,"CANT",[2]Tablas!$A61),0)</f>
        <v>0</v>
      </c>
      <c r="G91" s="15">
        <f ca="1">IFERROR(GETPIVOTDATA("Cuenta de CANT",Tabla9,"PROV",[2]Tablas!$A$102,"SEFIS",G$52,"CANT",[2]Tablas!$A61),0)</f>
        <v>0</v>
      </c>
      <c r="H91" s="15">
        <f ca="1">IFERROR(GETPIVOTDATA("Cuenta de CANT",Tabla9,"PROV",[2]Tablas!$A$102,"SEFIS",H$52,"CANT",[2]Tablas!$A61),0)</f>
        <v>0</v>
      </c>
      <c r="I91" s="15">
        <f ca="1">IFERROR(GETPIVOTDATA("Cuenta de CANT",Tabla9,"PROV",[2]Tablas!$A$102,"SEFIS",I$52,"CANT",[2]Tablas!$A61),0)</f>
        <v>0</v>
      </c>
      <c r="J91" s="15">
        <f ca="1">IFERROR(GETPIVOTDATA("Cuenta de CANT",Tabla9,"PROV",[2]Tablas!$A$102,"SEFIS",J$52,"CANT",[2]Tablas!$A61),0)</f>
        <v>0</v>
      </c>
      <c r="K91" s="15">
        <f ca="1">IFERROR(GETPIVOTDATA("Cuenta de CANT",Tabla9,"PROV",[2]Tablas!$A$102,"SEFIS",K$52,"CANT",[2]Tablas!$A61),0)</f>
        <v>0</v>
      </c>
      <c r="L91" s="15">
        <f ca="1">IFERROR(GETPIVOTDATA("Cuenta de CANT",Tabla9,"PROV",[2]Tablas!$A$102,"SEFIS",L$52,"CANT",[2]Tablas!$A61),0)</f>
        <v>0</v>
      </c>
      <c r="M91" s="15">
        <f ca="1">IFERROR(GETPIVOTDATA("Cuenta de CANT",Tabla9,"PROV",[2]Tablas!$A$102,"SEFIS",M$52,"CANT",[2]Tablas!$A61),0)</f>
        <v>0</v>
      </c>
      <c r="N91" s="15">
        <f ca="1">IFERROR(GETPIVOTDATA("Cuenta de CANT",Tabla9,"PROV",[2]Tablas!$A$102,"SEFIS",N$52,"CANT",[2]Tablas!$A61),0)</f>
        <v>0</v>
      </c>
      <c r="O91" s="15">
        <f ca="1">IFERROR(GETPIVOTDATA("Cuenta de CANT",Tabla9,"PROV",[2]Tablas!$A$102,"SEFIS",O$52,"CANT",[2]Tablas!$A61),0)</f>
        <v>0</v>
      </c>
      <c r="P91" s="15">
        <f ca="1">IFERROR(GETPIVOTDATA("Cuenta de CANT",Tabla9,"PROV",[2]Tablas!$A$102,"SEFIS",P$52,"CANT",[2]Tablas!$A61),0)</f>
        <v>0</v>
      </c>
      <c r="Q91" s="15">
        <f ca="1">IFERROR(GETPIVOTDATA("Cuenta de CANT",Tabla9,"PROV",[2]Tablas!$A$102,"SEFIS",Q$52,"CANT",[2]Tablas!$A61),0)</f>
        <v>0</v>
      </c>
      <c r="R91" s="15">
        <f ca="1">IFERROR(GETPIVOTDATA("Cuenta de CANT",Tabla9,"PROV",[2]Tablas!$A$102,"SEFIS",R$52,"CANT",[2]Tablas!$A61),0)</f>
        <v>0</v>
      </c>
      <c r="S91" s="15">
        <f ca="1">IFERROR(GETPIVOTDATA("Cuenta de CANT",Tabla9,"PROV",[2]Tablas!$A$102,"SEFIS",S$52,"CANT",[2]Tablas!$A61),0)</f>
        <v>0</v>
      </c>
      <c r="T91" s="15">
        <f ca="1">IFERROR(GETPIVOTDATA("Cuenta de CANT",Tabla9,"PROV",[2]Tablas!$A$102,"SEFIS",T$52,"CANT",[2]Tablas!$A61),0)</f>
        <v>0</v>
      </c>
      <c r="U91" s="15">
        <f ca="1">IFERROR(GETPIVOTDATA("Cuenta de CANT",Tabla9,"PROV",[2]Tablas!$A$102,"SEFIS",U$52,"CANT",[2]Tablas!$A61),0)</f>
        <v>0</v>
      </c>
      <c r="V91" s="15">
        <f ca="1">IFERROR(GETPIVOTDATA("Cuenta de CANT",Tabla9,"PROV",[2]Tablas!$A$102,"SEFIS",V$52,"CANT",[2]Tablas!$A61),0)</f>
        <v>0</v>
      </c>
      <c r="W91" s="15">
        <f ca="1">IFERROR(GETPIVOTDATA("Cuenta de CANT",Tabla9,"PROV",[2]Tablas!$A$102,"SEFIS",W$52,"CANT",[2]Tablas!$A61),0)</f>
        <v>0</v>
      </c>
      <c r="X91" s="15">
        <f ca="1">IFERROR(GETPIVOTDATA("Cuenta de CANT",Tabla9,"PROV",[2]Tablas!$A$102,"SEFIS",X$52,"CANT",[2]Tablas!$A61),0)</f>
        <v>0</v>
      </c>
      <c r="Y91" s="15">
        <f ca="1">IFERROR(GETPIVOTDATA("Cuenta de CANT",Tabla9,"PROV",[2]Tablas!$A$102,"SEFIS",Y$52,"CANT",[2]Tablas!$A61),0)</f>
        <v>0</v>
      </c>
      <c r="Z91" s="15">
        <f ca="1">IFERROR(GETPIVOTDATA("Cuenta de CANT",Tabla9,"PROV",[2]Tablas!$A$102,"SEFIS",Z$52,"CANT",[2]Tablas!$A61),0)</f>
        <v>0</v>
      </c>
      <c r="AA91" s="15">
        <f ca="1">IFERROR(GETPIVOTDATA("Cuenta de CANT",Tabla9,"PROV",[2]Tablas!$A$102,"SEFIS",AA$52,"CANT",[2]Tablas!$A61),0)</f>
        <v>1</v>
      </c>
      <c r="AB91" s="15">
        <f ca="1">IFERROR(GETPIVOTDATA("Cuenta de CANT",Tabla9,"PROV",[2]Tablas!$A$102,"SEFIS",AB$52,"CANT",[2]Tablas!$A61),0)</f>
        <v>3</v>
      </c>
      <c r="AC91" s="15">
        <f ca="1">IFERROR(GETPIVOTDATA("Cuenta de CANT",Tabla9,"PROV",[2]Tablas!$A$102,"SEFIS",AC$52,"CANT",[2]Tablas!$A61),0)</f>
        <v>7</v>
      </c>
      <c r="AD91" s="15">
        <f ca="1">IFERROR(GETPIVOTDATA("Cuenta de CANT",Tabla9,"PROV",[2]Tablas!$A$102,"SEFIS",AD$52,"CANT",[2]Tablas!$A61),0)</f>
        <v>6</v>
      </c>
      <c r="AE91" s="15">
        <f ca="1">IFERROR(GETPIVOTDATA("Cuenta de CANT",Tabla9,"PROV",[2]Tablas!$A$102,"SEFIS",AE$52,"CANT",[2]Tablas!$A61),0)</f>
        <v>11</v>
      </c>
      <c r="AF91" s="15">
        <f ca="1">IFERROR(GETPIVOTDATA("Cuenta de CANT",Tabla9,"PROV",[2]Tablas!$A$102,"SEFIS",AF$52,"CANT",[2]Tablas!$A61),0)</f>
        <v>6</v>
      </c>
      <c r="AG91" s="15">
        <f ca="1">IFERROR(GETPIVOTDATA("Cuenta de CANT",Tabla9,"PROV",[2]Tablas!$A$102,"SEFIS",AG$52,"CANT",[2]Tablas!$A61),0)</f>
        <v>6</v>
      </c>
      <c r="AH91" s="15">
        <f ca="1">IFERROR(GETPIVOTDATA("Cuenta de CANT",Tabla9,"PROV",[2]Tablas!$A$102,"SEFIS",AH$52,"CANT",[2]Tablas!$A61),0)</f>
        <v>7</v>
      </c>
      <c r="AI91" s="15">
        <f ca="1">IFERROR(GETPIVOTDATA("Cuenta de CANT",Tabla9,"PROV",[2]Tablas!$A$102,"SEFIS",AI$52,"CANT",[2]Tablas!$A61),0)</f>
        <v>1</v>
      </c>
      <c r="AJ91" s="15">
        <f ca="1">IFERROR(GETPIVOTDATA("Cuenta de CANT",Tabla9,"PROV",[2]Tablas!$A$102,"SEFIS",AJ$52,"CANT",[2]Tablas!$A61),0)</f>
        <v>7</v>
      </c>
      <c r="AK91" s="15">
        <f ca="1">IFERROR(GETPIVOTDATA("Cuenta de CANT",Tabla9,"PROV",[2]Tablas!$A$102,"SEFIS",AK$52,"CANT",[2]Tablas!$A61),0)</f>
        <v>4</v>
      </c>
      <c r="AL91" s="15">
        <f ca="1">IFERROR(GETPIVOTDATA("Cuenta de CANT",Tabla9,"PROV",[2]Tablas!$A$102,"SEFIS",AL$52,"CANT",[2]Tablas!$A61),0)</f>
        <v>1</v>
      </c>
      <c r="AM91" s="15">
        <f ca="1">IFERROR(GETPIVOTDATA("Cuenta de CANT",Tabla9,"PROV",[2]Tablas!$A$102,"SEFIS",AM$52,"CANT",[2]Tablas!$A61),0)</f>
        <v>1</v>
      </c>
      <c r="AN91" s="15">
        <f ca="1">IFERROR(GETPIVOTDATA("Cuenta de CANT",Tabla9,"PROV",[2]Tablas!$A$102,"SEFIS",AN$52,"CANT",[2]Tablas!$A61),0)</f>
        <v>1</v>
      </c>
      <c r="AO91" s="15">
        <f ca="1">IFERROR(GETPIVOTDATA("Cuenta de CANT",Tabla9,"PROV",[2]Tablas!$A$102,"SEFIS",AO$52,"CANT",[2]Tablas!$A61),0)</f>
        <v>2</v>
      </c>
      <c r="AP91" s="15">
        <f ca="1">IFERROR(GETPIVOTDATA("Cuenta de CANT",Tabla9,"PROV",[2]Tablas!$A$102,"SEFIS",AP$52,"CANT",[2]Tablas!$A61),0)</f>
        <v>0</v>
      </c>
      <c r="AQ91" s="15">
        <f ca="1">IFERROR(GETPIVOTDATA("Cuenta de CANT",Tabla9,"PROV",[2]Tablas!$A$102,"SEFIS",AQ$52,"CANT",[2]Tablas!$A61),0)</f>
        <v>0</v>
      </c>
      <c r="AR91" s="15">
        <f ca="1">IFERROR(GETPIVOTDATA("Cuenta de CANT",Tabla9,"PROV",[2]Tablas!$A$102,"SEFIS",AR$52,"CANT",[2]Tablas!$A61),0)</f>
        <v>4</v>
      </c>
      <c r="AS91" s="15">
        <f ca="1">IFERROR(GETPIVOTDATA("Cuenta de CANT",Tabla9,"PROV",[2]Tablas!$A$102,"SEFIS",AS$52,"CANT",[2]Tablas!$A61),0)</f>
        <v>1</v>
      </c>
      <c r="AT91" s="15">
        <f ca="1">IFERROR(GETPIVOTDATA("Cuenta de CANT",Tabla9,"PROV",[2]Tablas!$A$102,"SEFIS",AT$52,"CANT",[2]Tablas!$A61),0)</f>
        <v>0</v>
      </c>
      <c r="AU91" s="15">
        <f ca="1">IFERROR(GETPIVOTDATA("Cuenta de CANT",Tabla9,"PROV",[2]Tablas!$A$102,"SEFIS",AU$52,"CANT",[2]Tablas!$A61),0)</f>
        <v>3</v>
      </c>
      <c r="AV91" s="15">
        <f ca="1">IFERROR(GETPIVOTDATA("Cuenta de CANT",Tabla9,"PROV",[2]Tablas!$A$102,"SEFIS",AV$52,"CANT",[2]Tablas!$A61),0)</f>
        <v>1</v>
      </c>
      <c r="AW91" s="15">
        <f ca="1">IFERROR(GETPIVOTDATA("Cuenta de CANT",Tabla9,"PROV",[2]Tablas!$A$102,"SEFIS",AW$52,"CANT",[2]Tablas!$A61),0)</f>
        <v>0</v>
      </c>
      <c r="AX91" s="15">
        <f ca="1">IFERROR(GETPIVOTDATA("Cuenta de CANT",Tabla9,"PROV",[2]Tablas!$A$102,"SEFIS",AX$52,"CANT",[2]Tablas!$A61),0)</f>
        <v>2</v>
      </c>
      <c r="AY91" s="15">
        <f ca="1">IFERROR(GETPIVOTDATA("Cuenta de CANT",Tabla9,"PROV",[2]Tablas!$A$102,"SEFIS",AY$52,"CANT",[2]Tablas!$A61),0)</f>
        <v>0</v>
      </c>
      <c r="AZ91" s="15">
        <f ca="1">IFERROR(GETPIVOTDATA("Cuenta de CANT",Tabla9,"PROV",[2]Tablas!$A$102,"SEFIS",AZ$52,"CANT",[2]Tablas!$A61),0)</f>
        <v>2</v>
      </c>
      <c r="BA91" s="15">
        <f ca="1">IFERROR(GETPIVOTDATA("Cuenta de CANT",Tabla9,"PROV",[2]Tablas!$A$102,"SEFIS",BA$52,"CANT",[2]Tablas!$A61),0)</f>
        <v>1</v>
      </c>
      <c r="BB91" s="15">
        <f ca="1">IFERROR(GETPIVOTDATA("Cuenta de CANT",Tabla9,"PROV",[2]Tablas!$A$102,"SEFIS",BB$52,"CANT",[2]Tablas!$A61),0)</f>
        <v>3</v>
      </c>
      <c r="BC91" s="15">
        <f ca="1">IFERROR(GETPIVOTDATA("Cuenta de CANT",Tabla9,"PROV",[2]Tablas!$A$102,"SEFIS",BC$52,"CANT",[2]Tablas!$A61),0)</f>
        <v>3</v>
      </c>
      <c r="BD91" s="15">
        <f ca="1">IFERROR(GETPIVOTDATA("Cuenta de CANT",Tabla9,"PROV",[2]Tablas!$A$102,"SEFIS",BD$52,"CANT",[2]Tablas!$A61),0)</f>
        <v>0</v>
      </c>
    </row>
    <row r="92" spans="1:56" x14ac:dyDescent="0.35">
      <c r="A92" s="14" t="s">
        <v>185</v>
      </c>
      <c r="B92" s="15">
        <f t="shared" ca="1" si="12"/>
        <v>89</v>
      </c>
      <c r="C92" s="16">
        <f ca="1">IFERROR(B92/[2]Tablas!$B62*100000,"N/D")</f>
        <v>302.06353516155309</v>
      </c>
      <c r="D92" s="15">
        <f ca="1">IFERROR(GETPIVOTDATA("Cuenta de CANT",Tabla9,"PROV",[2]Tablas!$A$102,"SEFIS",D$52,"CANT",[2]Tablas!$A62),0)</f>
        <v>0</v>
      </c>
      <c r="E92" s="15">
        <f ca="1">IFERROR(GETPIVOTDATA("Cuenta de CANT",Tabla9,"PROV",[2]Tablas!$A$102,"SEFIS",E$52,"CANT",[2]Tablas!$A62),0)</f>
        <v>3</v>
      </c>
      <c r="F92" s="15">
        <f ca="1">IFERROR(GETPIVOTDATA("Cuenta de CANT",Tabla9,"PROV",[2]Tablas!$A$102,"SEFIS",F$52,"CANT",[2]Tablas!$A62),0)</f>
        <v>1</v>
      </c>
      <c r="G92" s="15">
        <f ca="1">IFERROR(GETPIVOTDATA("Cuenta de CANT",Tabla9,"PROV",[2]Tablas!$A$102,"SEFIS",G$52,"CANT",[2]Tablas!$A62),0)</f>
        <v>2</v>
      </c>
      <c r="H92" s="15">
        <f ca="1">IFERROR(GETPIVOTDATA("Cuenta de CANT",Tabla9,"PROV",[2]Tablas!$A$102,"SEFIS",H$52,"CANT",[2]Tablas!$A62),0)</f>
        <v>3</v>
      </c>
      <c r="I92" s="15">
        <f ca="1">IFERROR(GETPIVOTDATA("Cuenta de CANT",Tabla9,"PROV",[2]Tablas!$A$102,"SEFIS",I$52,"CANT",[2]Tablas!$A62),0)</f>
        <v>2</v>
      </c>
      <c r="J92" s="15">
        <f ca="1">IFERROR(GETPIVOTDATA("Cuenta de CANT",Tabla9,"PROV",[2]Tablas!$A$102,"SEFIS",J$52,"CANT",[2]Tablas!$A62),0)</f>
        <v>5</v>
      </c>
      <c r="K92" s="15">
        <f ca="1">IFERROR(GETPIVOTDATA("Cuenta de CANT",Tabla9,"PROV",[2]Tablas!$A$102,"SEFIS",K$52,"CANT",[2]Tablas!$A62),0)</f>
        <v>0</v>
      </c>
      <c r="L92" s="15">
        <f ca="1">IFERROR(GETPIVOTDATA("Cuenta de CANT",Tabla9,"PROV",[2]Tablas!$A$102,"SEFIS",L$52,"CANT",[2]Tablas!$A62),0)</f>
        <v>0</v>
      </c>
      <c r="M92" s="15">
        <f ca="1">IFERROR(GETPIVOTDATA("Cuenta de CANT",Tabla9,"PROV",[2]Tablas!$A$102,"SEFIS",M$52,"CANT",[2]Tablas!$A62),0)</f>
        <v>5</v>
      </c>
      <c r="N92" s="15">
        <f ca="1">IFERROR(GETPIVOTDATA("Cuenta de CANT",Tabla9,"PROV",[2]Tablas!$A$102,"SEFIS",N$52,"CANT",[2]Tablas!$A62),0)</f>
        <v>1</v>
      </c>
      <c r="O92" s="15">
        <f ca="1">IFERROR(GETPIVOTDATA("Cuenta de CANT",Tabla9,"PROV",[2]Tablas!$A$102,"SEFIS",O$52,"CANT",[2]Tablas!$A62),0)</f>
        <v>1</v>
      </c>
      <c r="P92" s="15">
        <f ca="1">IFERROR(GETPIVOTDATA("Cuenta de CANT",Tabla9,"PROV",[2]Tablas!$A$102,"SEFIS",P$52,"CANT",[2]Tablas!$A62),0)</f>
        <v>2</v>
      </c>
      <c r="Q92" s="15">
        <f ca="1">IFERROR(GETPIVOTDATA("Cuenta de CANT",Tabla9,"PROV",[2]Tablas!$A$102,"SEFIS",Q$52,"CANT",[2]Tablas!$A62),0)</f>
        <v>1</v>
      </c>
      <c r="R92" s="15">
        <f ca="1">IFERROR(GETPIVOTDATA("Cuenta de CANT",Tabla9,"PROV",[2]Tablas!$A$102,"SEFIS",R$52,"CANT",[2]Tablas!$A62),0)</f>
        <v>0</v>
      </c>
      <c r="S92" s="15">
        <f ca="1">IFERROR(GETPIVOTDATA("Cuenta de CANT",Tabla9,"PROV",[2]Tablas!$A$102,"SEFIS",S$52,"CANT",[2]Tablas!$A62),0)</f>
        <v>1</v>
      </c>
      <c r="T92" s="15">
        <f ca="1">IFERROR(GETPIVOTDATA("Cuenta de CANT",Tabla9,"PROV",[2]Tablas!$A$102,"SEFIS",T$52,"CANT",[2]Tablas!$A62),0)</f>
        <v>2</v>
      </c>
      <c r="U92" s="15">
        <f ca="1">IFERROR(GETPIVOTDATA("Cuenta de CANT",Tabla9,"PROV",[2]Tablas!$A$102,"SEFIS",U$52,"CANT",[2]Tablas!$A62),0)</f>
        <v>2</v>
      </c>
      <c r="V92" s="15">
        <f ca="1">IFERROR(GETPIVOTDATA("Cuenta de CANT",Tabla9,"PROV",[2]Tablas!$A$102,"SEFIS",V$52,"CANT",[2]Tablas!$A62),0)</f>
        <v>2</v>
      </c>
      <c r="W92" s="15">
        <f ca="1">IFERROR(GETPIVOTDATA("Cuenta de CANT",Tabla9,"PROV",[2]Tablas!$A$102,"SEFIS",W$52,"CANT",[2]Tablas!$A62),0)</f>
        <v>6</v>
      </c>
      <c r="X92" s="15">
        <f ca="1">IFERROR(GETPIVOTDATA("Cuenta de CANT",Tabla9,"PROV",[2]Tablas!$A$102,"SEFIS",X$52,"CANT",[2]Tablas!$A62),0)</f>
        <v>1</v>
      </c>
      <c r="Y92" s="15">
        <f ca="1">IFERROR(GETPIVOTDATA("Cuenta de CANT",Tabla9,"PROV",[2]Tablas!$A$102,"SEFIS",Y$52,"CANT",[2]Tablas!$A62),0)</f>
        <v>4</v>
      </c>
      <c r="Z92" s="15">
        <f ca="1">IFERROR(GETPIVOTDATA("Cuenta de CANT",Tabla9,"PROV",[2]Tablas!$A$102,"SEFIS",Z$52,"CANT",[2]Tablas!$A62),0)</f>
        <v>1</v>
      </c>
      <c r="AA92" s="15">
        <f ca="1">IFERROR(GETPIVOTDATA("Cuenta de CANT",Tabla9,"PROV",[2]Tablas!$A$102,"SEFIS",AA$52,"CANT",[2]Tablas!$A62),0)</f>
        <v>3</v>
      </c>
      <c r="AB92" s="15">
        <f ca="1">IFERROR(GETPIVOTDATA("Cuenta de CANT",Tabla9,"PROV",[2]Tablas!$A$102,"SEFIS",AB$52,"CANT",[2]Tablas!$A62),0)</f>
        <v>4</v>
      </c>
      <c r="AC92" s="15">
        <f ca="1">IFERROR(GETPIVOTDATA("Cuenta de CANT",Tabla9,"PROV",[2]Tablas!$A$102,"SEFIS",AC$52,"CANT",[2]Tablas!$A62),0)</f>
        <v>2</v>
      </c>
      <c r="AD92" s="15">
        <f ca="1">IFERROR(GETPIVOTDATA("Cuenta de CANT",Tabla9,"PROV",[2]Tablas!$A$102,"SEFIS",AD$52,"CANT",[2]Tablas!$A62),0)</f>
        <v>1</v>
      </c>
      <c r="AE92" s="15">
        <f ca="1">IFERROR(GETPIVOTDATA("Cuenta de CANT",Tabla9,"PROV",[2]Tablas!$A$102,"SEFIS",AE$52,"CANT",[2]Tablas!$A62),0)</f>
        <v>3</v>
      </c>
      <c r="AF92" s="15">
        <f ca="1">IFERROR(GETPIVOTDATA("Cuenta de CANT",Tabla9,"PROV",[2]Tablas!$A$102,"SEFIS",AF$52,"CANT",[2]Tablas!$A62),0)</f>
        <v>2</v>
      </c>
      <c r="AG92" s="15">
        <f ca="1">IFERROR(GETPIVOTDATA("Cuenta de CANT",Tabla9,"PROV",[2]Tablas!$A$102,"SEFIS",AG$52,"CANT",[2]Tablas!$A62),0)</f>
        <v>1</v>
      </c>
      <c r="AH92" s="15">
        <f ca="1">IFERROR(GETPIVOTDATA("Cuenta de CANT",Tabla9,"PROV",[2]Tablas!$A$102,"SEFIS",AH$52,"CANT",[2]Tablas!$A62),0)</f>
        <v>2</v>
      </c>
      <c r="AI92" s="15">
        <f ca="1">IFERROR(GETPIVOTDATA("Cuenta de CANT",Tabla9,"PROV",[2]Tablas!$A$102,"SEFIS",AI$52,"CANT",[2]Tablas!$A62),0)</f>
        <v>3</v>
      </c>
      <c r="AJ92" s="15">
        <f ca="1">IFERROR(GETPIVOTDATA("Cuenta de CANT",Tabla9,"PROV",[2]Tablas!$A$102,"SEFIS",AJ$52,"CANT",[2]Tablas!$A62),0)</f>
        <v>4</v>
      </c>
      <c r="AK92" s="15">
        <f ca="1">IFERROR(GETPIVOTDATA("Cuenta de CANT",Tabla9,"PROV",[2]Tablas!$A$102,"SEFIS",AK$52,"CANT",[2]Tablas!$A62),0)</f>
        <v>1</v>
      </c>
      <c r="AL92" s="15">
        <f ca="1">IFERROR(GETPIVOTDATA("Cuenta de CANT",Tabla9,"PROV",[2]Tablas!$A$102,"SEFIS",AL$52,"CANT",[2]Tablas!$A62),0)</f>
        <v>1</v>
      </c>
      <c r="AM92" s="15">
        <f ca="1">IFERROR(GETPIVOTDATA("Cuenta de CANT",Tabla9,"PROV",[2]Tablas!$A$102,"SEFIS",AM$52,"CANT",[2]Tablas!$A62),0)</f>
        <v>0</v>
      </c>
      <c r="AN92" s="15">
        <f ca="1">IFERROR(GETPIVOTDATA("Cuenta de CANT",Tabla9,"PROV",[2]Tablas!$A$102,"SEFIS",AN$52,"CANT",[2]Tablas!$A62),0)</f>
        <v>0</v>
      </c>
      <c r="AO92" s="15">
        <f ca="1">IFERROR(GETPIVOTDATA("Cuenta de CANT",Tabla9,"PROV",[2]Tablas!$A$102,"SEFIS",AO$52,"CANT",[2]Tablas!$A62),0)</f>
        <v>1</v>
      </c>
      <c r="AP92" s="15">
        <f ca="1">IFERROR(GETPIVOTDATA("Cuenta de CANT",Tabla9,"PROV",[2]Tablas!$A$102,"SEFIS",AP$52,"CANT",[2]Tablas!$A62),0)</f>
        <v>0</v>
      </c>
      <c r="AQ92" s="15">
        <f ca="1">IFERROR(GETPIVOTDATA("Cuenta de CANT",Tabla9,"PROV",[2]Tablas!$A$102,"SEFIS",AQ$52,"CANT",[2]Tablas!$A62),0)</f>
        <v>1</v>
      </c>
      <c r="AR92" s="15">
        <f ca="1">IFERROR(GETPIVOTDATA("Cuenta de CANT",Tabla9,"PROV",[2]Tablas!$A$102,"SEFIS",AR$52,"CANT",[2]Tablas!$A62),0)</f>
        <v>0</v>
      </c>
      <c r="AS92" s="15">
        <f ca="1">IFERROR(GETPIVOTDATA("Cuenta de CANT",Tabla9,"PROV",[2]Tablas!$A$102,"SEFIS",AS$52,"CANT",[2]Tablas!$A62),0)</f>
        <v>2</v>
      </c>
      <c r="AT92" s="15">
        <f ca="1">IFERROR(GETPIVOTDATA("Cuenta de CANT",Tabla9,"PROV",[2]Tablas!$A$102,"SEFIS",AT$52,"CANT",[2]Tablas!$A62),0)</f>
        <v>0</v>
      </c>
      <c r="AU92" s="15">
        <f ca="1">IFERROR(GETPIVOTDATA("Cuenta de CANT",Tabla9,"PROV",[2]Tablas!$A$102,"SEFIS",AU$52,"CANT",[2]Tablas!$A62),0)</f>
        <v>3</v>
      </c>
      <c r="AV92" s="15">
        <f ca="1">IFERROR(GETPIVOTDATA("Cuenta de CANT",Tabla9,"PROV",[2]Tablas!$A$102,"SEFIS",AV$52,"CANT",[2]Tablas!$A62),0)</f>
        <v>1</v>
      </c>
      <c r="AW92" s="15">
        <f ca="1">IFERROR(GETPIVOTDATA("Cuenta de CANT",Tabla9,"PROV",[2]Tablas!$A$102,"SEFIS",AW$52,"CANT",[2]Tablas!$A62),0)</f>
        <v>3</v>
      </c>
      <c r="AX92" s="15">
        <f ca="1">IFERROR(GETPIVOTDATA("Cuenta de CANT",Tabla9,"PROV",[2]Tablas!$A$102,"SEFIS",AX$52,"CANT",[2]Tablas!$A62),0)</f>
        <v>1</v>
      </c>
      <c r="AY92" s="15">
        <f ca="1">IFERROR(GETPIVOTDATA("Cuenta de CANT",Tabla9,"PROV",[2]Tablas!$A$102,"SEFIS",AY$52,"CANT",[2]Tablas!$A62),0)</f>
        <v>2</v>
      </c>
      <c r="AZ92" s="15">
        <f ca="1">IFERROR(GETPIVOTDATA("Cuenta de CANT",Tabla9,"PROV",[2]Tablas!$A$102,"SEFIS",AZ$52,"CANT",[2]Tablas!$A62),0)</f>
        <v>1</v>
      </c>
      <c r="BA92" s="15">
        <f ca="1">IFERROR(GETPIVOTDATA("Cuenta de CANT",Tabla9,"PROV",[2]Tablas!$A$102,"SEFIS",BA$52,"CANT",[2]Tablas!$A62),0)</f>
        <v>0</v>
      </c>
      <c r="BB92" s="15">
        <f ca="1">IFERROR(GETPIVOTDATA("Cuenta de CANT",Tabla9,"PROV",[2]Tablas!$A$102,"SEFIS",BB$52,"CANT",[2]Tablas!$A62),0)</f>
        <v>2</v>
      </c>
      <c r="BC92" s="15">
        <f ca="1">IFERROR(GETPIVOTDATA("Cuenta de CANT",Tabla9,"PROV",[2]Tablas!$A$102,"SEFIS",BC$52,"CANT",[2]Tablas!$A62),0)</f>
        <v>0</v>
      </c>
      <c r="BD92" s="15">
        <f ca="1">IFERROR(GETPIVOTDATA("Cuenta de CANT",Tabla9,"PROV",[2]Tablas!$A$102,"SEFIS",BD$52,"CANT",[2]Tablas!$A62),0)</f>
        <v>0</v>
      </c>
    </row>
    <row r="93" spans="1:56" x14ac:dyDescent="0.35">
      <c r="A93" s="14" t="s">
        <v>186</v>
      </c>
      <c r="B93" s="15">
        <f t="shared" ca="1" si="12"/>
        <v>8</v>
      </c>
      <c r="C93" s="16">
        <f ca="1">IFERROR(B93/[2]Tablas!$B63*100000,"N/D")</f>
        <v>22.84408909194746</v>
      </c>
      <c r="D93" s="15">
        <f ca="1">IFERROR(GETPIVOTDATA("Cuenta de CANT",Tabla9,"PROV",[2]Tablas!$A$102,"SEFIS",D$52,"CANT",[2]Tablas!$A63),0)</f>
        <v>0</v>
      </c>
      <c r="E93" s="15">
        <f ca="1">IFERROR(GETPIVOTDATA("Cuenta de CANT",Tabla9,"PROV",[2]Tablas!$A$102,"SEFIS",E$52,"CANT",[2]Tablas!$A63),0)</f>
        <v>0</v>
      </c>
      <c r="F93" s="15">
        <f ca="1">IFERROR(GETPIVOTDATA("Cuenta de CANT",Tabla9,"PROV",[2]Tablas!$A$102,"SEFIS",F$52,"CANT",[2]Tablas!$A63),0)</f>
        <v>0</v>
      </c>
      <c r="G93" s="15">
        <f ca="1">IFERROR(GETPIVOTDATA("Cuenta de CANT",Tabla9,"PROV",[2]Tablas!$A$102,"SEFIS",G$52,"CANT",[2]Tablas!$A63),0)</f>
        <v>0</v>
      </c>
      <c r="H93" s="15">
        <f ca="1">IFERROR(GETPIVOTDATA("Cuenta de CANT",Tabla9,"PROV",[2]Tablas!$A$102,"SEFIS",H$52,"CANT",[2]Tablas!$A63),0)</f>
        <v>0</v>
      </c>
      <c r="I93" s="15">
        <f ca="1">IFERROR(GETPIVOTDATA("Cuenta de CANT",Tabla9,"PROV",[2]Tablas!$A$102,"SEFIS",I$52,"CANT",[2]Tablas!$A63),0)</f>
        <v>0</v>
      </c>
      <c r="J93" s="15">
        <f ca="1">IFERROR(GETPIVOTDATA("Cuenta de CANT",Tabla9,"PROV",[2]Tablas!$A$102,"SEFIS",J$52,"CANT",[2]Tablas!$A63),0)</f>
        <v>0</v>
      </c>
      <c r="K93" s="15">
        <f ca="1">IFERROR(GETPIVOTDATA("Cuenta de CANT",Tabla9,"PROV",[2]Tablas!$A$102,"SEFIS",K$52,"CANT",[2]Tablas!$A63),0)</f>
        <v>0</v>
      </c>
      <c r="L93" s="15">
        <f ca="1">IFERROR(GETPIVOTDATA("Cuenta de CANT",Tabla9,"PROV",[2]Tablas!$A$102,"SEFIS",L$52,"CANT",[2]Tablas!$A63),0)</f>
        <v>0</v>
      </c>
      <c r="M93" s="15">
        <f ca="1">IFERROR(GETPIVOTDATA("Cuenta de CANT",Tabla9,"PROV",[2]Tablas!$A$102,"SEFIS",M$52,"CANT",[2]Tablas!$A63),0)</f>
        <v>1</v>
      </c>
      <c r="N93" s="15">
        <f ca="1">IFERROR(GETPIVOTDATA("Cuenta de CANT",Tabla9,"PROV",[2]Tablas!$A$102,"SEFIS",N$52,"CANT",[2]Tablas!$A63),0)</f>
        <v>0</v>
      </c>
      <c r="O93" s="15">
        <f ca="1">IFERROR(GETPIVOTDATA("Cuenta de CANT",Tabla9,"PROV",[2]Tablas!$A$102,"SEFIS",O$52,"CANT",[2]Tablas!$A63),0)</f>
        <v>0</v>
      </c>
      <c r="P93" s="15">
        <f ca="1">IFERROR(GETPIVOTDATA("Cuenta de CANT",Tabla9,"PROV",[2]Tablas!$A$102,"SEFIS",P$52,"CANT",[2]Tablas!$A63),0)</f>
        <v>0</v>
      </c>
      <c r="Q93" s="15">
        <f ca="1">IFERROR(GETPIVOTDATA("Cuenta de CANT",Tabla9,"PROV",[2]Tablas!$A$102,"SEFIS",Q$52,"CANT",[2]Tablas!$A63),0)</f>
        <v>0</v>
      </c>
      <c r="R93" s="15">
        <f ca="1">IFERROR(GETPIVOTDATA("Cuenta de CANT",Tabla9,"PROV",[2]Tablas!$A$102,"SEFIS",R$52,"CANT",[2]Tablas!$A63),0)</f>
        <v>0</v>
      </c>
      <c r="S93" s="15">
        <f ca="1">IFERROR(GETPIVOTDATA("Cuenta de CANT",Tabla9,"PROV",[2]Tablas!$A$102,"SEFIS",S$52,"CANT",[2]Tablas!$A63),0)</f>
        <v>0</v>
      </c>
      <c r="T93" s="15">
        <f ca="1">IFERROR(GETPIVOTDATA("Cuenta de CANT",Tabla9,"PROV",[2]Tablas!$A$102,"SEFIS",T$52,"CANT",[2]Tablas!$A63),0)</f>
        <v>0</v>
      </c>
      <c r="U93" s="15">
        <f ca="1">IFERROR(GETPIVOTDATA("Cuenta de CANT",Tabla9,"PROV",[2]Tablas!$A$102,"SEFIS",U$52,"CANT",[2]Tablas!$A63),0)</f>
        <v>1</v>
      </c>
      <c r="V93" s="15">
        <f ca="1">IFERROR(GETPIVOTDATA("Cuenta de CANT",Tabla9,"PROV",[2]Tablas!$A$102,"SEFIS",V$52,"CANT",[2]Tablas!$A63),0)</f>
        <v>0</v>
      </c>
      <c r="W93" s="15">
        <f ca="1">IFERROR(GETPIVOTDATA("Cuenta de CANT",Tabla9,"PROV",[2]Tablas!$A$102,"SEFIS",W$52,"CANT",[2]Tablas!$A63),0)</f>
        <v>0</v>
      </c>
      <c r="X93" s="15">
        <f ca="1">IFERROR(GETPIVOTDATA("Cuenta de CANT",Tabla9,"PROV",[2]Tablas!$A$102,"SEFIS",X$52,"CANT",[2]Tablas!$A63),0)</f>
        <v>0</v>
      </c>
      <c r="Y93" s="15">
        <f ca="1">IFERROR(GETPIVOTDATA("Cuenta de CANT",Tabla9,"PROV",[2]Tablas!$A$102,"SEFIS",Y$52,"CANT",[2]Tablas!$A63),0)</f>
        <v>0</v>
      </c>
      <c r="Z93" s="15">
        <f ca="1">IFERROR(GETPIVOTDATA("Cuenta de CANT",Tabla9,"PROV",[2]Tablas!$A$102,"SEFIS",Z$52,"CANT",[2]Tablas!$A63),0)</f>
        <v>0</v>
      </c>
      <c r="AA93" s="15">
        <f ca="1">IFERROR(GETPIVOTDATA("Cuenta de CANT",Tabla9,"PROV",[2]Tablas!$A$102,"SEFIS",AA$52,"CANT",[2]Tablas!$A63),0)</f>
        <v>0</v>
      </c>
      <c r="AB93" s="15">
        <f ca="1">IFERROR(GETPIVOTDATA("Cuenta de CANT",Tabla9,"PROV",[2]Tablas!$A$102,"SEFIS",AB$52,"CANT",[2]Tablas!$A63),0)</f>
        <v>0</v>
      </c>
      <c r="AC93" s="15">
        <f ca="1">IFERROR(GETPIVOTDATA("Cuenta de CANT",Tabla9,"PROV",[2]Tablas!$A$102,"SEFIS",AC$52,"CANT",[2]Tablas!$A63),0)</f>
        <v>0</v>
      </c>
      <c r="AD93" s="15">
        <f ca="1">IFERROR(GETPIVOTDATA("Cuenta de CANT",Tabla9,"PROV",[2]Tablas!$A$102,"SEFIS",AD$52,"CANT",[2]Tablas!$A63),0)</f>
        <v>2</v>
      </c>
      <c r="AE93" s="15">
        <f ca="1">IFERROR(GETPIVOTDATA("Cuenta de CANT",Tabla9,"PROV",[2]Tablas!$A$102,"SEFIS",AE$52,"CANT",[2]Tablas!$A63),0)</f>
        <v>0</v>
      </c>
      <c r="AF93" s="15">
        <f ca="1">IFERROR(GETPIVOTDATA("Cuenta de CANT",Tabla9,"PROV",[2]Tablas!$A$102,"SEFIS",AF$52,"CANT",[2]Tablas!$A63),0)</f>
        <v>0</v>
      </c>
      <c r="AG93" s="15">
        <f ca="1">IFERROR(GETPIVOTDATA("Cuenta de CANT",Tabla9,"PROV",[2]Tablas!$A$102,"SEFIS",AG$52,"CANT",[2]Tablas!$A63),0)</f>
        <v>0</v>
      </c>
      <c r="AH93" s="15">
        <f ca="1">IFERROR(GETPIVOTDATA("Cuenta de CANT",Tabla9,"PROV",[2]Tablas!$A$102,"SEFIS",AH$52,"CANT",[2]Tablas!$A63),0)</f>
        <v>0</v>
      </c>
      <c r="AI93" s="15">
        <f ca="1">IFERROR(GETPIVOTDATA("Cuenta de CANT",Tabla9,"PROV",[2]Tablas!$A$102,"SEFIS",AI$52,"CANT",[2]Tablas!$A63),0)</f>
        <v>0</v>
      </c>
      <c r="AJ93" s="15">
        <f ca="1">IFERROR(GETPIVOTDATA("Cuenta de CANT",Tabla9,"PROV",[2]Tablas!$A$102,"SEFIS",AJ$52,"CANT",[2]Tablas!$A63),0)</f>
        <v>0</v>
      </c>
      <c r="AK93" s="15">
        <f ca="1">IFERROR(GETPIVOTDATA("Cuenta de CANT",Tabla9,"PROV",[2]Tablas!$A$102,"SEFIS",AK$52,"CANT",[2]Tablas!$A63),0)</f>
        <v>0</v>
      </c>
      <c r="AL93" s="15">
        <f ca="1">IFERROR(GETPIVOTDATA("Cuenta de CANT",Tabla9,"PROV",[2]Tablas!$A$102,"SEFIS",AL$52,"CANT",[2]Tablas!$A63),0)</f>
        <v>0</v>
      </c>
      <c r="AM93" s="15">
        <f ca="1">IFERROR(GETPIVOTDATA("Cuenta de CANT",Tabla9,"PROV",[2]Tablas!$A$102,"SEFIS",AM$52,"CANT",[2]Tablas!$A63),0)</f>
        <v>0</v>
      </c>
      <c r="AN93" s="15">
        <f ca="1">IFERROR(GETPIVOTDATA("Cuenta de CANT",Tabla9,"PROV",[2]Tablas!$A$102,"SEFIS",AN$52,"CANT",[2]Tablas!$A63),0)</f>
        <v>0</v>
      </c>
      <c r="AO93" s="15">
        <f ca="1">IFERROR(GETPIVOTDATA("Cuenta de CANT",Tabla9,"PROV",[2]Tablas!$A$102,"SEFIS",AO$52,"CANT",[2]Tablas!$A63),0)</f>
        <v>0</v>
      </c>
      <c r="AP93" s="15">
        <f ca="1">IFERROR(GETPIVOTDATA("Cuenta de CANT",Tabla9,"PROV",[2]Tablas!$A$102,"SEFIS",AP$52,"CANT",[2]Tablas!$A63),0)</f>
        <v>0</v>
      </c>
      <c r="AQ93" s="15">
        <f ca="1">IFERROR(GETPIVOTDATA("Cuenta de CANT",Tabla9,"PROV",[2]Tablas!$A$102,"SEFIS",AQ$52,"CANT",[2]Tablas!$A63),0)</f>
        <v>0</v>
      </c>
      <c r="AR93" s="15">
        <f ca="1">IFERROR(GETPIVOTDATA("Cuenta de CANT",Tabla9,"PROV",[2]Tablas!$A$102,"SEFIS",AR$52,"CANT",[2]Tablas!$A63),0)</f>
        <v>0</v>
      </c>
      <c r="AS93" s="15">
        <f ca="1">IFERROR(GETPIVOTDATA("Cuenta de CANT",Tabla9,"PROV",[2]Tablas!$A$102,"SEFIS",AS$52,"CANT",[2]Tablas!$A63),0)</f>
        <v>0</v>
      </c>
      <c r="AT93" s="15">
        <f ca="1">IFERROR(GETPIVOTDATA("Cuenta de CANT",Tabla9,"PROV",[2]Tablas!$A$102,"SEFIS",AT$52,"CANT",[2]Tablas!$A63),0)</f>
        <v>0</v>
      </c>
      <c r="AU93" s="15">
        <f ca="1">IFERROR(GETPIVOTDATA("Cuenta de CANT",Tabla9,"PROV",[2]Tablas!$A$102,"SEFIS",AU$52,"CANT",[2]Tablas!$A63),0)</f>
        <v>0</v>
      </c>
      <c r="AV93" s="15">
        <f ca="1">IFERROR(GETPIVOTDATA("Cuenta de CANT",Tabla9,"PROV",[2]Tablas!$A$102,"SEFIS",AV$52,"CANT",[2]Tablas!$A63),0)</f>
        <v>0</v>
      </c>
      <c r="AW93" s="15">
        <f ca="1">IFERROR(GETPIVOTDATA("Cuenta de CANT",Tabla9,"PROV",[2]Tablas!$A$102,"SEFIS",AW$52,"CANT",[2]Tablas!$A63),0)</f>
        <v>0</v>
      </c>
      <c r="AX93" s="15">
        <f ca="1">IFERROR(GETPIVOTDATA("Cuenta de CANT",Tabla9,"PROV",[2]Tablas!$A$102,"SEFIS",AX$52,"CANT",[2]Tablas!$A63),0)</f>
        <v>1</v>
      </c>
      <c r="AY93" s="15">
        <f ca="1">IFERROR(GETPIVOTDATA("Cuenta de CANT",Tabla9,"PROV",[2]Tablas!$A$102,"SEFIS",AY$52,"CANT",[2]Tablas!$A63),0)</f>
        <v>0</v>
      </c>
      <c r="AZ93" s="15">
        <f ca="1">IFERROR(GETPIVOTDATA("Cuenta de CANT",Tabla9,"PROV",[2]Tablas!$A$102,"SEFIS",AZ$52,"CANT",[2]Tablas!$A63),0)</f>
        <v>0</v>
      </c>
      <c r="BA93" s="15">
        <f ca="1">IFERROR(GETPIVOTDATA("Cuenta de CANT",Tabla9,"PROV",[2]Tablas!$A$102,"SEFIS",BA$52,"CANT",[2]Tablas!$A63),0)</f>
        <v>2</v>
      </c>
      <c r="BB93" s="15">
        <f ca="1">IFERROR(GETPIVOTDATA("Cuenta de CANT",Tabla9,"PROV",[2]Tablas!$A$102,"SEFIS",BB$52,"CANT",[2]Tablas!$A63),0)</f>
        <v>0</v>
      </c>
      <c r="BC93" s="15">
        <f ca="1">IFERROR(GETPIVOTDATA("Cuenta de CANT",Tabla9,"PROV",[2]Tablas!$A$102,"SEFIS",BC$52,"CANT",[2]Tablas!$A63),0)</f>
        <v>1</v>
      </c>
      <c r="BD93" s="15">
        <f ca="1">IFERROR(GETPIVOTDATA("Cuenta de CANT",Tabla9,"PROV",[2]Tablas!$A$102,"SEFIS",BD$52,"CANT",[2]Tablas!$A63),0)</f>
        <v>0</v>
      </c>
    </row>
    <row r="94" spans="1:56" x14ac:dyDescent="0.35">
      <c r="A94" s="14" t="s">
        <v>187</v>
      </c>
      <c r="B94" s="15">
        <v>34</v>
      </c>
      <c r="C94" s="16">
        <v>106.28653599674888</v>
      </c>
      <c r="D94" s="15">
        <v>0</v>
      </c>
      <c r="E94" s="15">
        <v>2</v>
      </c>
      <c r="F94" s="15">
        <v>0</v>
      </c>
      <c r="G94" s="15">
        <v>0</v>
      </c>
      <c r="H94" s="15">
        <v>0</v>
      </c>
      <c r="I94" s="15">
        <v>0</v>
      </c>
      <c r="J94" s="15">
        <v>0</v>
      </c>
      <c r="K94" s="15">
        <v>1</v>
      </c>
      <c r="L94" s="15">
        <v>1</v>
      </c>
      <c r="M94" s="15">
        <v>0</v>
      </c>
      <c r="N94" s="15">
        <v>0</v>
      </c>
      <c r="O94" s="15">
        <v>0</v>
      </c>
      <c r="P94" s="15">
        <v>0</v>
      </c>
      <c r="Q94" s="15">
        <v>0</v>
      </c>
      <c r="R94" s="15">
        <v>0</v>
      </c>
      <c r="S94" s="15">
        <v>1</v>
      </c>
      <c r="T94" s="15">
        <v>0</v>
      </c>
      <c r="U94" s="15">
        <v>1</v>
      </c>
      <c r="V94" s="15">
        <v>0</v>
      </c>
      <c r="W94" s="15">
        <v>0</v>
      </c>
      <c r="X94" s="15">
        <v>0</v>
      </c>
      <c r="Y94" s="15">
        <v>0</v>
      </c>
      <c r="Z94" s="15">
        <v>0</v>
      </c>
      <c r="AA94" s="15">
        <v>0</v>
      </c>
      <c r="AB94" s="15">
        <v>0</v>
      </c>
      <c r="AC94" s="15">
        <v>0</v>
      </c>
      <c r="AD94" s="15">
        <v>0</v>
      </c>
      <c r="AE94" s="15">
        <v>1</v>
      </c>
      <c r="AF94" s="15">
        <v>0</v>
      </c>
      <c r="AG94" s="15">
        <v>0</v>
      </c>
      <c r="AH94" s="15">
        <v>0</v>
      </c>
      <c r="AI94" s="15">
        <v>0</v>
      </c>
      <c r="AJ94" s="15">
        <v>1</v>
      </c>
      <c r="AK94" s="15">
        <v>0</v>
      </c>
      <c r="AL94" s="15">
        <v>0</v>
      </c>
      <c r="AM94" s="15">
        <v>1</v>
      </c>
      <c r="AN94" s="15">
        <v>0</v>
      </c>
      <c r="AO94" s="15">
        <v>0</v>
      </c>
      <c r="AP94" s="15">
        <v>0</v>
      </c>
      <c r="AQ94" s="15">
        <v>1</v>
      </c>
      <c r="AR94" s="15">
        <v>5</v>
      </c>
      <c r="AS94" s="15">
        <v>1</v>
      </c>
      <c r="AT94" s="15">
        <v>3</v>
      </c>
      <c r="AU94" s="15">
        <v>2</v>
      </c>
      <c r="AV94" s="15">
        <v>3</v>
      </c>
      <c r="AW94" s="15">
        <v>2</v>
      </c>
      <c r="AX94" s="15">
        <v>1</v>
      </c>
      <c r="AY94" s="15">
        <v>1</v>
      </c>
      <c r="AZ94" s="15">
        <v>1</v>
      </c>
      <c r="BA94" s="15">
        <v>3</v>
      </c>
      <c r="BB94" s="15">
        <v>0</v>
      </c>
      <c r="BC94" s="15">
        <v>2</v>
      </c>
      <c r="BD94" s="15">
        <v>0</v>
      </c>
    </row>
    <row r="95" spans="1:56" x14ac:dyDescent="0.35">
      <c r="A95" s="14" t="s">
        <v>188</v>
      </c>
      <c r="B95" s="15">
        <f t="shared" ca="1" si="12"/>
        <v>8</v>
      </c>
      <c r="C95" s="16">
        <f ca="1">IFERROR(B95/[2]Tablas!$B65*100000,"N/D")</f>
        <v>22.484541877459247</v>
      </c>
      <c r="D95" s="15">
        <f ca="1">IFERROR(GETPIVOTDATA("Cuenta de CANT",Tabla9,"PROV",[2]Tablas!$A$102,"SEFIS",D$52,"CANT",[2]Tablas!$A65),0)</f>
        <v>0</v>
      </c>
      <c r="E95" s="15">
        <f ca="1">IFERROR(GETPIVOTDATA("Cuenta de CANT",Tabla9,"PROV",[2]Tablas!$A$102,"SEFIS",E$52,"CANT",[2]Tablas!$A65),0)</f>
        <v>0</v>
      </c>
      <c r="F95" s="15">
        <f ca="1">IFERROR(GETPIVOTDATA("Cuenta de CANT",Tabla9,"PROV",[2]Tablas!$A$102,"SEFIS",F$52,"CANT",[2]Tablas!$A65),0)</f>
        <v>0</v>
      </c>
      <c r="G95" s="15">
        <f ca="1">IFERROR(GETPIVOTDATA("Cuenta de CANT",Tabla9,"PROV",[2]Tablas!$A$102,"SEFIS",G$52,"CANT",[2]Tablas!$A65),0)</f>
        <v>0</v>
      </c>
      <c r="H95" s="15">
        <f ca="1">IFERROR(GETPIVOTDATA("Cuenta de CANT",Tabla9,"PROV",[2]Tablas!$A$102,"SEFIS",H$52,"CANT",[2]Tablas!$A65),0)</f>
        <v>0</v>
      </c>
      <c r="I95" s="15">
        <f ca="1">IFERROR(GETPIVOTDATA("Cuenta de CANT",Tabla9,"PROV",[2]Tablas!$A$102,"SEFIS",I$52,"CANT",[2]Tablas!$A65),0)</f>
        <v>0</v>
      </c>
      <c r="J95" s="15">
        <f ca="1">IFERROR(GETPIVOTDATA("Cuenta de CANT",Tabla9,"PROV",[2]Tablas!$A$102,"SEFIS",J$52,"CANT",[2]Tablas!$A65),0)</f>
        <v>0</v>
      </c>
      <c r="K95" s="15">
        <f ca="1">IFERROR(GETPIVOTDATA("Cuenta de CANT",Tabla9,"PROV",[2]Tablas!$A$102,"SEFIS",K$52,"CANT",[2]Tablas!$A65),0)</f>
        <v>1</v>
      </c>
      <c r="L95" s="15">
        <f ca="1">IFERROR(GETPIVOTDATA("Cuenta de CANT",Tabla9,"PROV",[2]Tablas!$A$102,"SEFIS",L$52,"CANT",[2]Tablas!$A65),0)</f>
        <v>1</v>
      </c>
      <c r="M95" s="15">
        <f ca="1">IFERROR(GETPIVOTDATA("Cuenta de CANT",Tabla9,"PROV",[2]Tablas!$A$102,"SEFIS",M$52,"CANT",[2]Tablas!$A65),0)</f>
        <v>0</v>
      </c>
      <c r="N95" s="15">
        <f ca="1">IFERROR(GETPIVOTDATA("Cuenta de CANT",Tabla9,"PROV",[2]Tablas!$A$102,"SEFIS",N$52,"CANT",[2]Tablas!$A65),0)</f>
        <v>0</v>
      </c>
      <c r="O95" s="15">
        <f ca="1">IFERROR(GETPIVOTDATA("Cuenta de CANT",Tabla9,"PROV",[2]Tablas!$A$102,"SEFIS",O$52,"CANT",[2]Tablas!$A65),0)</f>
        <v>0</v>
      </c>
      <c r="P95" s="15">
        <f ca="1">IFERROR(GETPIVOTDATA("Cuenta de CANT",Tabla9,"PROV",[2]Tablas!$A$102,"SEFIS",P$52,"CANT",[2]Tablas!$A65),0)</f>
        <v>1</v>
      </c>
      <c r="Q95" s="15">
        <f ca="1">IFERROR(GETPIVOTDATA("Cuenta de CANT",Tabla9,"PROV",[2]Tablas!$A$102,"SEFIS",Q$52,"CANT",[2]Tablas!$A65),0)</f>
        <v>0</v>
      </c>
      <c r="R95" s="15">
        <f ca="1">IFERROR(GETPIVOTDATA("Cuenta de CANT",Tabla9,"PROV",[2]Tablas!$A$102,"SEFIS",R$52,"CANT",[2]Tablas!$A65),0)</f>
        <v>0</v>
      </c>
      <c r="S95" s="15">
        <f ca="1">IFERROR(GETPIVOTDATA("Cuenta de CANT",Tabla9,"PROV",[2]Tablas!$A$102,"SEFIS",S$52,"CANT",[2]Tablas!$A65),0)</f>
        <v>0</v>
      </c>
      <c r="T95" s="15">
        <f ca="1">IFERROR(GETPIVOTDATA("Cuenta de CANT",Tabla9,"PROV",[2]Tablas!$A$102,"SEFIS",T$52,"CANT",[2]Tablas!$A65),0)</f>
        <v>0</v>
      </c>
      <c r="U95" s="15">
        <f ca="1">IFERROR(GETPIVOTDATA("Cuenta de CANT",Tabla9,"PROV",[2]Tablas!$A$102,"SEFIS",U$52,"CANT",[2]Tablas!$A65),0)</f>
        <v>0</v>
      </c>
      <c r="V95" s="15">
        <f ca="1">IFERROR(GETPIVOTDATA("Cuenta de CANT",Tabla9,"PROV",[2]Tablas!$A$102,"SEFIS",V$52,"CANT",[2]Tablas!$A65),0)</f>
        <v>0</v>
      </c>
      <c r="W95" s="15">
        <f ca="1">IFERROR(GETPIVOTDATA("Cuenta de CANT",Tabla9,"PROV",[2]Tablas!$A$102,"SEFIS",W$52,"CANT",[2]Tablas!$A65),0)</f>
        <v>0</v>
      </c>
      <c r="X95" s="15">
        <f ca="1">IFERROR(GETPIVOTDATA("Cuenta de CANT",Tabla9,"PROV",[2]Tablas!$A$102,"SEFIS",X$52,"CANT",[2]Tablas!$A65),0)</f>
        <v>0</v>
      </c>
      <c r="Y95" s="15">
        <f ca="1">IFERROR(GETPIVOTDATA("Cuenta de CANT",Tabla9,"PROV",[2]Tablas!$A$102,"SEFIS",Y$52,"CANT",[2]Tablas!$A65),0)</f>
        <v>0</v>
      </c>
      <c r="Z95" s="15">
        <f ca="1">IFERROR(GETPIVOTDATA("Cuenta de CANT",Tabla9,"PROV",[2]Tablas!$A$102,"SEFIS",Z$52,"CANT",[2]Tablas!$A65),0)</f>
        <v>0</v>
      </c>
      <c r="AA95" s="15">
        <f ca="1">IFERROR(GETPIVOTDATA("Cuenta de CANT",Tabla9,"PROV",[2]Tablas!$A$102,"SEFIS",AA$52,"CANT",[2]Tablas!$A65),0)</f>
        <v>0</v>
      </c>
      <c r="AB95" s="15">
        <f ca="1">IFERROR(GETPIVOTDATA("Cuenta de CANT",Tabla9,"PROV",[2]Tablas!$A$102,"SEFIS",AB$52,"CANT",[2]Tablas!$A65),0)</f>
        <v>0</v>
      </c>
      <c r="AC95" s="15">
        <f ca="1">IFERROR(GETPIVOTDATA("Cuenta de CANT",Tabla9,"PROV",[2]Tablas!$A$102,"SEFIS",AC$52,"CANT",[2]Tablas!$A65),0)</f>
        <v>0</v>
      </c>
      <c r="AD95" s="15">
        <f ca="1">IFERROR(GETPIVOTDATA("Cuenta de CANT",Tabla9,"PROV",[2]Tablas!$A$102,"SEFIS",AD$52,"CANT",[2]Tablas!$A65),0)</f>
        <v>0</v>
      </c>
      <c r="AE95" s="15">
        <f ca="1">IFERROR(GETPIVOTDATA("Cuenta de CANT",Tabla9,"PROV",[2]Tablas!$A$102,"SEFIS",AE$52,"CANT",[2]Tablas!$A65),0)</f>
        <v>0</v>
      </c>
      <c r="AF95" s="15">
        <f ca="1">IFERROR(GETPIVOTDATA("Cuenta de CANT",Tabla9,"PROV",[2]Tablas!$A$102,"SEFIS",AF$52,"CANT",[2]Tablas!$A65),0)</f>
        <v>0</v>
      </c>
      <c r="AG95" s="15">
        <f ca="1">IFERROR(GETPIVOTDATA("Cuenta de CANT",Tabla9,"PROV",[2]Tablas!$A$102,"SEFIS",AG$52,"CANT",[2]Tablas!$A65),0)</f>
        <v>0</v>
      </c>
      <c r="AH95" s="15">
        <f ca="1">IFERROR(GETPIVOTDATA("Cuenta de CANT",Tabla9,"PROV",[2]Tablas!$A$102,"SEFIS",AH$52,"CANT",[2]Tablas!$A65),0)</f>
        <v>0</v>
      </c>
      <c r="AI95" s="15">
        <f ca="1">IFERROR(GETPIVOTDATA("Cuenta de CANT",Tabla9,"PROV",[2]Tablas!$A$102,"SEFIS",AI$52,"CANT",[2]Tablas!$A65),0)</f>
        <v>0</v>
      </c>
      <c r="AJ95" s="15">
        <f ca="1">IFERROR(GETPIVOTDATA("Cuenta de CANT",Tabla9,"PROV",[2]Tablas!$A$102,"SEFIS",AJ$52,"CANT",[2]Tablas!$A65),0)</f>
        <v>0</v>
      </c>
      <c r="AK95" s="15">
        <f ca="1">IFERROR(GETPIVOTDATA("Cuenta de CANT",Tabla9,"PROV",[2]Tablas!$A$102,"SEFIS",AK$52,"CANT",[2]Tablas!$A65),0)</f>
        <v>0</v>
      </c>
      <c r="AL95" s="15">
        <f ca="1">IFERROR(GETPIVOTDATA("Cuenta de CANT",Tabla9,"PROV",[2]Tablas!$A$102,"SEFIS",AL$52,"CANT",[2]Tablas!$A65),0)</f>
        <v>0</v>
      </c>
      <c r="AM95" s="15">
        <f ca="1">IFERROR(GETPIVOTDATA("Cuenta de CANT",Tabla9,"PROV",[2]Tablas!$A$102,"SEFIS",AM$52,"CANT",[2]Tablas!$A65),0)</f>
        <v>1</v>
      </c>
      <c r="AN95" s="15">
        <f ca="1">IFERROR(GETPIVOTDATA("Cuenta de CANT",Tabla9,"PROV",[2]Tablas!$A$102,"SEFIS",AN$52,"CANT",[2]Tablas!$A65),0)</f>
        <v>0</v>
      </c>
      <c r="AO95" s="15">
        <f ca="1">IFERROR(GETPIVOTDATA("Cuenta de CANT",Tabla9,"PROV",[2]Tablas!$A$102,"SEFIS",AO$52,"CANT",[2]Tablas!$A65),0)</f>
        <v>1</v>
      </c>
      <c r="AP95" s="15">
        <f ca="1">IFERROR(GETPIVOTDATA("Cuenta de CANT",Tabla9,"PROV",[2]Tablas!$A$102,"SEFIS",AP$52,"CANT",[2]Tablas!$A65),0)</f>
        <v>0</v>
      </c>
      <c r="AQ95" s="15">
        <f ca="1">IFERROR(GETPIVOTDATA("Cuenta de CANT",Tabla9,"PROV",[2]Tablas!$A$102,"SEFIS",AQ$52,"CANT",[2]Tablas!$A65),0)</f>
        <v>0</v>
      </c>
      <c r="AR95" s="15">
        <f ca="1">IFERROR(GETPIVOTDATA("Cuenta de CANT",Tabla9,"PROV",[2]Tablas!$A$102,"SEFIS",AR$52,"CANT",[2]Tablas!$A65),0)</f>
        <v>1</v>
      </c>
      <c r="AS95" s="15">
        <f ca="1">IFERROR(GETPIVOTDATA("Cuenta de CANT",Tabla9,"PROV",[2]Tablas!$A$102,"SEFIS",AS$52,"CANT",[2]Tablas!$A65),0)</f>
        <v>0</v>
      </c>
      <c r="AT95" s="15">
        <f ca="1">IFERROR(GETPIVOTDATA("Cuenta de CANT",Tabla9,"PROV",[2]Tablas!$A$102,"SEFIS",AT$52,"CANT",[2]Tablas!$A65),0)</f>
        <v>0</v>
      </c>
      <c r="AU95" s="15">
        <f ca="1">IFERROR(GETPIVOTDATA("Cuenta de CANT",Tabla9,"PROV",[2]Tablas!$A$102,"SEFIS",AU$52,"CANT",[2]Tablas!$A65),0)</f>
        <v>0</v>
      </c>
      <c r="AV95" s="15">
        <f ca="1">IFERROR(GETPIVOTDATA("Cuenta de CANT",Tabla9,"PROV",[2]Tablas!$A$102,"SEFIS",AV$52,"CANT",[2]Tablas!$A65),0)</f>
        <v>1</v>
      </c>
      <c r="AW95" s="15">
        <f ca="1">IFERROR(GETPIVOTDATA("Cuenta de CANT",Tabla9,"PROV",[2]Tablas!$A$102,"SEFIS",AW$52,"CANT",[2]Tablas!$A65),0)</f>
        <v>1</v>
      </c>
      <c r="AX95" s="15">
        <f ca="1">IFERROR(GETPIVOTDATA("Cuenta de CANT",Tabla9,"PROV",[2]Tablas!$A$102,"SEFIS",AX$52,"CANT",[2]Tablas!$A65),0)</f>
        <v>0</v>
      </c>
      <c r="AY95" s="15">
        <f ca="1">IFERROR(GETPIVOTDATA("Cuenta de CANT",Tabla9,"PROV",[2]Tablas!$A$102,"SEFIS",AY$52,"CANT",[2]Tablas!$A65),0)</f>
        <v>0</v>
      </c>
      <c r="AZ95" s="15">
        <f ca="1">IFERROR(GETPIVOTDATA("Cuenta de CANT",Tabla9,"PROV",[2]Tablas!$A$102,"SEFIS",AZ$52,"CANT",[2]Tablas!$A65),0)</f>
        <v>0</v>
      </c>
      <c r="BA95" s="15">
        <f ca="1">IFERROR(GETPIVOTDATA("Cuenta de CANT",Tabla9,"PROV",[2]Tablas!$A$102,"SEFIS",BA$52,"CANT",[2]Tablas!$A65),0)</f>
        <v>0</v>
      </c>
      <c r="BB95" s="15">
        <f ca="1">IFERROR(GETPIVOTDATA("Cuenta de CANT",Tabla9,"PROV",[2]Tablas!$A$102,"SEFIS",BB$52,"CANT",[2]Tablas!$A65),0)</f>
        <v>0</v>
      </c>
      <c r="BC95" s="15">
        <f ca="1">IFERROR(GETPIVOTDATA("Cuenta de CANT",Tabla9,"PROV",[2]Tablas!$A$102,"SEFIS",BC$52,"CANT",[2]Tablas!$A65),0)</f>
        <v>0</v>
      </c>
      <c r="BD95" s="15">
        <f ca="1">IFERROR(GETPIVOTDATA("Cuenta de CANT",Tabla9,"PROV",[2]Tablas!$A$102,"SEFIS",BD$52,"CANT",[2]Tablas!$A65),0)</f>
        <v>0</v>
      </c>
    </row>
    <row r="96" spans="1:56" x14ac:dyDescent="0.35">
      <c r="A96" s="14" t="s">
        <v>189</v>
      </c>
      <c r="B96" s="15">
        <f t="shared" ca="1" si="12"/>
        <v>75</v>
      </c>
      <c r="C96" s="16">
        <f ca="1">IFERROR(B96/[2]Tablas!$B66*100000,"N/D")</f>
        <v>332.83038963344279</v>
      </c>
      <c r="D96" s="15">
        <f ca="1">IFERROR(GETPIVOTDATA("Cuenta de CANT",Tabla9,"PROV",[2]Tablas!$A$102,"SEFIS",D$52,"CANT",[2]Tablas!$A66),0)</f>
        <v>0</v>
      </c>
      <c r="E96" s="15">
        <f ca="1">IFERROR(GETPIVOTDATA("Cuenta de CANT",Tabla9,"PROV",[2]Tablas!$A$102,"SEFIS",E$52,"CANT",[2]Tablas!$A66),0)</f>
        <v>0</v>
      </c>
      <c r="F96" s="15">
        <f ca="1">IFERROR(GETPIVOTDATA("Cuenta de CANT",Tabla9,"PROV",[2]Tablas!$A$102,"SEFIS",F$52,"CANT",[2]Tablas!$A66),0)</f>
        <v>0</v>
      </c>
      <c r="G96" s="15">
        <f ca="1">IFERROR(GETPIVOTDATA("Cuenta de CANT",Tabla9,"PROV",[2]Tablas!$A$102,"SEFIS",G$52,"CANT",[2]Tablas!$A66),0)</f>
        <v>0</v>
      </c>
      <c r="H96" s="15">
        <f ca="1">IFERROR(GETPIVOTDATA("Cuenta de CANT",Tabla9,"PROV",[2]Tablas!$A$102,"SEFIS",H$52,"CANT",[2]Tablas!$A66),0)</f>
        <v>0</v>
      </c>
      <c r="I96" s="15">
        <f ca="1">IFERROR(GETPIVOTDATA("Cuenta de CANT",Tabla9,"PROV",[2]Tablas!$A$102,"SEFIS",I$52,"CANT",[2]Tablas!$A66),0)</f>
        <v>1</v>
      </c>
      <c r="J96" s="15">
        <f ca="1">IFERROR(GETPIVOTDATA("Cuenta de CANT",Tabla9,"PROV",[2]Tablas!$A$102,"SEFIS",J$52,"CANT",[2]Tablas!$A66),0)</f>
        <v>2</v>
      </c>
      <c r="K96" s="15">
        <f ca="1">IFERROR(GETPIVOTDATA("Cuenta de CANT",Tabla9,"PROV",[2]Tablas!$A$102,"SEFIS",K$52,"CANT",[2]Tablas!$A66),0)</f>
        <v>0</v>
      </c>
      <c r="L96" s="15">
        <f ca="1">IFERROR(GETPIVOTDATA("Cuenta de CANT",Tabla9,"PROV",[2]Tablas!$A$102,"SEFIS",L$52,"CANT",[2]Tablas!$A66),0)</f>
        <v>0</v>
      </c>
      <c r="M96" s="15">
        <f ca="1">IFERROR(GETPIVOTDATA("Cuenta de CANT",Tabla9,"PROV",[2]Tablas!$A$102,"SEFIS",M$52,"CANT",[2]Tablas!$A66),0)</f>
        <v>0</v>
      </c>
      <c r="N96" s="15">
        <f ca="1">IFERROR(GETPIVOTDATA("Cuenta de CANT",Tabla9,"PROV",[2]Tablas!$A$102,"SEFIS",N$52,"CANT",[2]Tablas!$A66),0)</f>
        <v>0</v>
      </c>
      <c r="O96" s="15">
        <f ca="1">IFERROR(GETPIVOTDATA("Cuenta de CANT",Tabla9,"PROV",[2]Tablas!$A$102,"SEFIS",O$52,"CANT",[2]Tablas!$A66),0)</f>
        <v>0</v>
      </c>
      <c r="P96" s="15">
        <f ca="1">IFERROR(GETPIVOTDATA("Cuenta de CANT",Tabla9,"PROV",[2]Tablas!$A$102,"SEFIS",P$52,"CANT",[2]Tablas!$A66),0)</f>
        <v>0</v>
      </c>
      <c r="Q96" s="15">
        <f ca="1">IFERROR(GETPIVOTDATA("Cuenta de CANT",Tabla9,"PROV",[2]Tablas!$A$102,"SEFIS",Q$52,"CANT",[2]Tablas!$A66),0)</f>
        <v>0</v>
      </c>
      <c r="R96" s="15">
        <f ca="1">IFERROR(GETPIVOTDATA("Cuenta de CANT",Tabla9,"PROV",[2]Tablas!$A$102,"SEFIS",R$52,"CANT",[2]Tablas!$A66),0)</f>
        <v>0</v>
      </c>
      <c r="S96" s="15">
        <f ca="1">IFERROR(GETPIVOTDATA("Cuenta de CANT",Tabla9,"PROV",[2]Tablas!$A$102,"SEFIS",S$52,"CANT",[2]Tablas!$A66),0)</f>
        <v>0</v>
      </c>
      <c r="T96" s="15">
        <f ca="1">IFERROR(GETPIVOTDATA("Cuenta de CANT",Tabla9,"PROV",[2]Tablas!$A$102,"SEFIS",T$52,"CANT",[2]Tablas!$A66),0)</f>
        <v>1</v>
      </c>
      <c r="U96" s="15">
        <f ca="1">IFERROR(GETPIVOTDATA("Cuenta de CANT",Tabla9,"PROV",[2]Tablas!$A$102,"SEFIS",U$52,"CANT",[2]Tablas!$A66),0)</f>
        <v>0</v>
      </c>
      <c r="V96" s="15">
        <f ca="1">IFERROR(GETPIVOTDATA("Cuenta de CANT",Tabla9,"PROV",[2]Tablas!$A$102,"SEFIS",V$52,"CANT",[2]Tablas!$A66),0)</f>
        <v>4</v>
      </c>
      <c r="W96" s="15">
        <f ca="1">IFERROR(GETPIVOTDATA("Cuenta de CANT",Tabla9,"PROV",[2]Tablas!$A$102,"SEFIS",W$52,"CANT",[2]Tablas!$A66),0)</f>
        <v>2</v>
      </c>
      <c r="X96" s="15">
        <f ca="1">IFERROR(GETPIVOTDATA("Cuenta de CANT",Tabla9,"PROV",[2]Tablas!$A$102,"SEFIS",X$52,"CANT",[2]Tablas!$A66),0)</f>
        <v>1</v>
      </c>
      <c r="Y96" s="15">
        <f ca="1">IFERROR(GETPIVOTDATA("Cuenta de CANT",Tabla9,"PROV",[2]Tablas!$A$102,"SEFIS",Y$52,"CANT",[2]Tablas!$A66),0)</f>
        <v>1</v>
      </c>
      <c r="Z96" s="15">
        <f ca="1">IFERROR(GETPIVOTDATA("Cuenta de CANT",Tabla9,"PROV",[2]Tablas!$A$102,"SEFIS",Z$52,"CANT",[2]Tablas!$A66),0)</f>
        <v>3</v>
      </c>
      <c r="AA96" s="15">
        <f ca="1">IFERROR(GETPIVOTDATA("Cuenta de CANT",Tabla9,"PROV",[2]Tablas!$A$102,"SEFIS",AA$52,"CANT",[2]Tablas!$A66),0)</f>
        <v>1</v>
      </c>
      <c r="AB96" s="15">
        <f ca="1">IFERROR(GETPIVOTDATA("Cuenta de CANT",Tabla9,"PROV",[2]Tablas!$A$102,"SEFIS",AB$52,"CANT",[2]Tablas!$A66),0)</f>
        <v>1</v>
      </c>
      <c r="AC96" s="15">
        <f ca="1">IFERROR(GETPIVOTDATA("Cuenta de CANT",Tabla9,"PROV",[2]Tablas!$A$102,"SEFIS",AC$52,"CANT",[2]Tablas!$A66),0)</f>
        <v>3</v>
      </c>
      <c r="AD96" s="15">
        <f ca="1">IFERROR(GETPIVOTDATA("Cuenta de CANT",Tabla9,"PROV",[2]Tablas!$A$102,"SEFIS",AD$52,"CANT",[2]Tablas!$A66),0)</f>
        <v>3</v>
      </c>
      <c r="AE96" s="15">
        <f ca="1">IFERROR(GETPIVOTDATA("Cuenta de CANT",Tabla9,"PROV",[2]Tablas!$A$102,"SEFIS",AE$52,"CANT",[2]Tablas!$A66),0)</f>
        <v>4</v>
      </c>
      <c r="AF96" s="15">
        <f ca="1">IFERROR(GETPIVOTDATA("Cuenta de CANT",Tabla9,"PROV",[2]Tablas!$A$102,"SEFIS",AF$52,"CANT",[2]Tablas!$A66),0)</f>
        <v>5</v>
      </c>
      <c r="AG96" s="15">
        <f ca="1">IFERROR(GETPIVOTDATA("Cuenta de CANT",Tabla9,"PROV",[2]Tablas!$A$102,"SEFIS",AG$52,"CANT",[2]Tablas!$A66),0)</f>
        <v>1</v>
      </c>
      <c r="AH96" s="15">
        <f ca="1">IFERROR(GETPIVOTDATA("Cuenta de CANT",Tabla9,"PROV",[2]Tablas!$A$102,"SEFIS",AH$52,"CANT",[2]Tablas!$A66),0)</f>
        <v>7</v>
      </c>
      <c r="AI96" s="15">
        <f ca="1">IFERROR(GETPIVOTDATA("Cuenta de CANT",Tabla9,"PROV",[2]Tablas!$A$102,"SEFIS",AI$52,"CANT",[2]Tablas!$A66),0)</f>
        <v>5</v>
      </c>
      <c r="AJ96" s="15">
        <f ca="1">IFERROR(GETPIVOTDATA("Cuenta de CANT",Tabla9,"PROV",[2]Tablas!$A$102,"SEFIS",AJ$52,"CANT",[2]Tablas!$A66),0)</f>
        <v>3</v>
      </c>
      <c r="AK96" s="15">
        <f ca="1">IFERROR(GETPIVOTDATA("Cuenta de CANT",Tabla9,"PROV",[2]Tablas!$A$102,"SEFIS",AK$52,"CANT",[2]Tablas!$A66),0)</f>
        <v>3</v>
      </c>
      <c r="AL96" s="15">
        <f ca="1">IFERROR(GETPIVOTDATA("Cuenta de CANT",Tabla9,"PROV",[2]Tablas!$A$102,"SEFIS",AL$52,"CANT",[2]Tablas!$A66),0)</f>
        <v>2</v>
      </c>
      <c r="AM96" s="15">
        <f ca="1">IFERROR(GETPIVOTDATA("Cuenta de CANT",Tabla9,"PROV",[2]Tablas!$A$102,"SEFIS",AM$52,"CANT",[2]Tablas!$A66),0)</f>
        <v>2</v>
      </c>
      <c r="AN96" s="15">
        <f ca="1">IFERROR(GETPIVOTDATA("Cuenta de CANT",Tabla9,"PROV",[2]Tablas!$A$102,"SEFIS",AN$52,"CANT",[2]Tablas!$A66),0)</f>
        <v>3</v>
      </c>
      <c r="AO96" s="15">
        <f ca="1">IFERROR(GETPIVOTDATA("Cuenta de CANT",Tabla9,"PROV",[2]Tablas!$A$102,"SEFIS",AO$52,"CANT",[2]Tablas!$A66),0)</f>
        <v>1</v>
      </c>
      <c r="AP96" s="15">
        <f ca="1">IFERROR(GETPIVOTDATA("Cuenta de CANT",Tabla9,"PROV",[2]Tablas!$A$102,"SEFIS",AP$52,"CANT",[2]Tablas!$A66),0)</f>
        <v>1</v>
      </c>
      <c r="AQ96" s="15">
        <f ca="1">IFERROR(GETPIVOTDATA("Cuenta de CANT",Tabla9,"PROV",[2]Tablas!$A$102,"SEFIS",AQ$52,"CANT",[2]Tablas!$A66),0)</f>
        <v>1</v>
      </c>
      <c r="AR96" s="15">
        <f ca="1">IFERROR(GETPIVOTDATA("Cuenta de CANT",Tabla9,"PROV",[2]Tablas!$A$102,"SEFIS",AR$52,"CANT",[2]Tablas!$A66),0)</f>
        <v>2</v>
      </c>
      <c r="AS96" s="15">
        <f ca="1">IFERROR(GETPIVOTDATA("Cuenta de CANT",Tabla9,"PROV",[2]Tablas!$A$102,"SEFIS",AS$52,"CANT",[2]Tablas!$A66),0)</f>
        <v>0</v>
      </c>
      <c r="AT96" s="15">
        <f ca="1">IFERROR(GETPIVOTDATA("Cuenta de CANT",Tabla9,"PROV",[2]Tablas!$A$102,"SEFIS",AT$52,"CANT",[2]Tablas!$A66),0)</f>
        <v>0</v>
      </c>
      <c r="AU96" s="15">
        <f ca="1">IFERROR(GETPIVOTDATA("Cuenta de CANT",Tabla9,"PROV",[2]Tablas!$A$102,"SEFIS",AU$52,"CANT",[2]Tablas!$A66),0)</f>
        <v>1</v>
      </c>
      <c r="AV96" s="15">
        <f ca="1">IFERROR(GETPIVOTDATA("Cuenta de CANT",Tabla9,"PROV",[2]Tablas!$A$102,"SEFIS",AV$52,"CANT",[2]Tablas!$A66),0)</f>
        <v>0</v>
      </c>
      <c r="AW96" s="15">
        <f ca="1">IFERROR(GETPIVOTDATA("Cuenta de CANT",Tabla9,"PROV",[2]Tablas!$A$102,"SEFIS",AW$52,"CANT",[2]Tablas!$A66),0)</f>
        <v>1</v>
      </c>
      <c r="AX96" s="15">
        <f ca="1">IFERROR(GETPIVOTDATA("Cuenta de CANT",Tabla9,"PROV",[2]Tablas!$A$102,"SEFIS",AX$52,"CANT",[2]Tablas!$A66),0)</f>
        <v>2</v>
      </c>
      <c r="AY96" s="15">
        <f ca="1">IFERROR(GETPIVOTDATA("Cuenta de CANT",Tabla9,"PROV",[2]Tablas!$A$102,"SEFIS",AY$52,"CANT",[2]Tablas!$A66),0)</f>
        <v>0</v>
      </c>
      <c r="AZ96" s="15">
        <f ca="1">IFERROR(GETPIVOTDATA("Cuenta de CANT",Tabla9,"PROV",[2]Tablas!$A$102,"SEFIS",AZ$52,"CANT",[2]Tablas!$A66),0)</f>
        <v>0</v>
      </c>
      <c r="BA96" s="15">
        <f ca="1">IFERROR(GETPIVOTDATA("Cuenta de CANT",Tabla9,"PROV",[2]Tablas!$A$102,"SEFIS",BA$52,"CANT",[2]Tablas!$A66),0)</f>
        <v>0</v>
      </c>
      <c r="BB96" s="15">
        <f ca="1">IFERROR(GETPIVOTDATA("Cuenta de CANT",Tabla9,"PROV",[2]Tablas!$A$102,"SEFIS",BB$52,"CANT",[2]Tablas!$A66),0)</f>
        <v>2</v>
      </c>
      <c r="BC96" s="15">
        <f ca="1">IFERROR(GETPIVOTDATA("Cuenta de CANT",Tabla9,"PROV",[2]Tablas!$A$102,"SEFIS",BC$52,"CANT",[2]Tablas!$A66),0)</f>
        <v>6</v>
      </c>
      <c r="BD96" s="15">
        <f ca="1">IFERROR(GETPIVOTDATA("Cuenta de CANT",Tabla9,"PROV",[2]Tablas!$A$102,"SEFIS",BD$52,"CANT",[2]Tablas!$A66),0)</f>
        <v>0</v>
      </c>
    </row>
    <row r="97" spans="1:56" x14ac:dyDescent="0.35">
      <c r="A97" s="14" t="s">
        <v>190</v>
      </c>
      <c r="B97" s="15">
        <f t="shared" ca="1" si="12"/>
        <v>59</v>
      </c>
      <c r="C97" s="16">
        <f ca="1">IFERROR(B97/[2]Tablas!$B67*100000,"N/D")</f>
        <v>110.56142717937186</v>
      </c>
      <c r="D97" s="15">
        <f ca="1">IFERROR(GETPIVOTDATA("Cuenta de CANT",Tabla9,"PROV",[2]Tablas!$A$102,"SEFIS",D$52,"CANT",[2]Tablas!$A67),0)</f>
        <v>1</v>
      </c>
      <c r="E97" s="15">
        <f ca="1">IFERROR(GETPIVOTDATA("Cuenta de CANT",Tabla9,"PROV",[2]Tablas!$A$102,"SEFIS",E$52,"CANT",[2]Tablas!$A67),0)</f>
        <v>1</v>
      </c>
      <c r="F97" s="15">
        <f ca="1">IFERROR(GETPIVOTDATA("Cuenta de CANT",Tabla9,"PROV",[2]Tablas!$A$102,"SEFIS",F$52,"CANT",[2]Tablas!$A67),0)</f>
        <v>0</v>
      </c>
      <c r="G97" s="15">
        <f ca="1">IFERROR(GETPIVOTDATA("Cuenta de CANT",Tabla9,"PROV",[2]Tablas!$A$102,"SEFIS",G$52,"CANT",[2]Tablas!$A67),0)</f>
        <v>1</v>
      </c>
      <c r="H97" s="15">
        <f ca="1">IFERROR(GETPIVOTDATA("Cuenta de CANT",Tabla9,"PROV",[2]Tablas!$A$102,"SEFIS",H$52,"CANT",[2]Tablas!$A67),0)</f>
        <v>3</v>
      </c>
      <c r="I97" s="15">
        <f ca="1">IFERROR(GETPIVOTDATA("Cuenta de CANT",Tabla9,"PROV",[2]Tablas!$A$102,"SEFIS",I$52,"CANT",[2]Tablas!$A67),0)</f>
        <v>0</v>
      </c>
      <c r="J97" s="15">
        <f ca="1">IFERROR(GETPIVOTDATA("Cuenta de CANT",Tabla9,"PROV",[2]Tablas!$A$102,"SEFIS",J$52,"CANT",[2]Tablas!$A67),0)</f>
        <v>7</v>
      </c>
      <c r="K97" s="15">
        <f ca="1">IFERROR(GETPIVOTDATA("Cuenta de CANT",Tabla9,"PROV",[2]Tablas!$A$102,"SEFIS",K$52,"CANT",[2]Tablas!$A67),0)</f>
        <v>9</v>
      </c>
      <c r="L97" s="15">
        <f ca="1">IFERROR(GETPIVOTDATA("Cuenta de CANT",Tabla9,"PROV",[2]Tablas!$A$102,"SEFIS",L$52,"CANT",[2]Tablas!$A67),0)</f>
        <v>2</v>
      </c>
      <c r="M97" s="15">
        <f ca="1">IFERROR(GETPIVOTDATA("Cuenta de CANT",Tabla9,"PROV",[2]Tablas!$A$102,"SEFIS",M$52,"CANT",[2]Tablas!$A67),0)</f>
        <v>0</v>
      </c>
      <c r="N97" s="15">
        <f ca="1">IFERROR(GETPIVOTDATA("Cuenta de CANT",Tabla9,"PROV",[2]Tablas!$A$102,"SEFIS",N$52,"CANT",[2]Tablas!$A67),0)</f>
        <v>2</v>
      </c>
      <c r="O97" s="15">
        <f ca="1">IFERROR(GETPIVOTDATA("Cuenta de CANT",Tabla9,"PROV",[2]Tablas!$A$102,"SEFIS",O$52,"CANT",[2]Tablas!$A67),0)</f>
        <v>0</v>
      </c>
      <c r="P97" s="15">
        <f ca="1">IFERROR(GETPIVOTDATA("Cuenta de CANT",Tabla9,"PROV",[2]Tablas!$A$102,"SEFIS",P$52,"CANT",[2]Tablas!$A67),0)</f>
        <v>2</v>
      </c>
      <c r="Q97" s="15">
        <f ca="1">IFERROR(GETPIVOTDATA("Cuenta de CANT",Tabla9,"PROV",[2]Tablas!$A$102,"SEFIS",Q$52,"CANT",[2]Tablas!$A67),0)</f>
        <v>0</v>
      </c>
      <c r="R97" s="15">
        <f ca="1">IFERROR(GETPIVOTDATA("Cuenta de CANT",Tabla9,"PROV",[2]Tablas!$A$102,"SEFIS",R$52,"CANT",[2]Tablas!$A67),0)</f>
        <v>0</v>
      </c>
      <c r="S97" s="15">
        <f ca="1">IFERROR(GETPIVOTDATA("Cuenta de CANT",Tabla9,"PROV",[2]Tablas!$A$102,"SEFIS",S$52,"CANT",[2]Tablas!$A67),0)</f>
        <v>0</v>
      </c>
      <c r="T97" s="15">
        <f ca="1">IFERROR(GETPIVOTDATA("Cuenta de CANT",Tabla9,"PROV",[2]Tablas!$A$102,"SEFIS",T$52,"CANT",[2]Tablas!$A67),0)</f>
        <v>0</v>
      </c>
      <c r="U97" s="15">
        <f ca="1">IFERROR(GETPIVOTDATA("Cuenta de CANT",Tabla9,"PROV",[2]Tablas!$A$102,"SEFIS",U$52,"CANT",[2]Tablas!$A67),0)</f>
        <v>0</v>
      </c>
      <c r="V97" s="15">
        <f ca="1">IFERROR(GETPIVOTDATA("Cuenta de CANT",Tabla9,"PROV",[2]Tablas!$A$102,"SEFIS",V$52,"CANT",[2]Tablas!$A67),0)</f>
        <v>1</v>
      </c>
      <c r="W97" s="15">
        <f ca="1">IFERROR(GETPIVOTDATA("Cuenta de CANT",Tabla9,"PROV",[2]Tablas!$A$102,"SEFIS",W$52,"CANT",[2]Tablas!$A67),0)</f>
        <v>0</v>
      </c>
      <c r="X97" s="15">
        <f ca="1">IFERROR(GETPIVOTDATA("Cuenta de CANT",Tabla9,"PROV",[2]Tablas!$A$102,"SEFIS",X$52,"CANT",[2]Tablas!$A67),0)</f>
        <v>0</v>
      </c>
      <c r="Y97" s="15">
        <f ca="1">IFERROR(GETPIVOTDATA("Cuenta de CANT",Tabla9,"PROV",[2]Tablas!$A$102,"SEFIS",Y$52,"CANT",[2]Tablas!$A67),0)</f>
        <v>1</v>
      </c>
      <c r="Z97" s="15">
        <f ca="1">IFERROR(GETPIVOTDATA("Cuenta de CANT",Tabla9,"PROV",[2]Tablas!$A$102,"SEFIS",Z$52,"CANT",[2]Tablas!$A67),0)</f>
        <v>0</v>
      </c>
      <c r="AA97" s="15">
        <f ca="1">IFERROR(GETPIVOTDATA("Cuenta de CANT",Tabla9,"PROV",[2]Tablas!$A$102,"SEFIS",AA$52,"CANT",[2]Tablas!$A67),0)</f>
        <v>1</v>
      </c>
      <c r="AB97" s="15">
        <f ca="1">IFERROR(GETPIVOTDATA("Cuenta de CANT",Tabla9,"PROV",[2]Tablas!$A$102,"SEFIS",AB$52,"CANT",[2]Tablas!$A67),0)</f>
        <v>2</v>
      </c>
      <c r="AC97" s="15">
        <f ca="1">IFERROR(GETPIVOTDATA("Cuenta de CANT",Tabla9,"PROV",[2]Tablas!$A$102,"SEFIS",AC$52,"CANT",[2]Tablas!$A67),0)</f>
        <v>2</v>
      </c>
      <c r="AD97" s="15">
        <f ca="1">IFERROR(GETPIVOTDATA("Cuenta de CANT",Tabla9,"PROV",[2]Tablas!$A$102,"SEFIS",AD$52,"CANT",[2]Tablas!$A67),0)</f>
        <v>0</v>
      </c>
      <c r="AE97" s="15">
        <f ca="1">IFERROR(GETPIVOTDATA("Cuenta de CANT",Tabla9,"PROV",[2]Tablas!$A$102,"SEFIS",AE$52,"CANT",[2]Tablas!$A67),0)</f>
        <v>2</v>
      </c>
      <c r="AF97" s="15">
        <f ca="1">IFERROR(GETPIVOTDATA("Cuenta de CANT",Tabla9,"PROV",[2]Tablas!$A$102,"SEFIS",AF$52,"CANT",[2]Tablas!$A67),0)</f>
        <v>0</v>
      </c>
      <c r="AG97" s="15">
        <f ca="1">IFERROR(GETPIVOTDATA("Cuenta de CANT",Tabla9,"PROV",[2]Tablas!$A$102,"SEFIS",AG$52,"CANT",[2]Tablas!$A67),0)</f>
        <v>0</v>
      </c>
      <c r="AH97" s="15">
        <f ca="1">IFERROR(GETPIVOTDATA("Cuenta de CANT",Tabla9,"PROV",[2]Tablas!$A$102,"SEFIS",AH$52,"CANT",[2]Tablas!$A67),0)</f>
        <v>1</v>
      </c>
      <c r="AI97" s="15">
        <f ca="1">IFERROR(GETPIVOTDATA("Cuenta de CANT",Tabla9,"PROV",[2]Tablas!$A$102,"SEFIS",AI$52,"CANT",[2]Tablas!$A67),0)</f>
        <v>0</v>
      </c>
      <c r="AJ97" s="15">
        <f ca="1">IFERROR(GETPIVOTDATA("Cuenta de CANT",Tabla9,"PROV",[2]Tablas!$A$102,"SEFIS",AJ$52,"CANT",[2]Tablas!$A67),0)</f>
        <v>4</v>
      </c>
      <c r="AK97" s="15">
        <f ca="1">IFERROR(GETPIVOTDATA("Cuenta de CANT",Tabla9,"PROV",[2]Tablas!$A$102,"SEFIS",AK$52,"CANT",[2]Tablas!$A67),0)</f>
        <v>1</v>
      </c>
      <c r="AL97" s="15">
        <f ca="1">IFERROR(GETPIVOTDATA("Cuenta de CANT",Tabla9,"PROV",[2]Tablas!$A$102,"SEFIS",AL$52,"CANT",[2]Tablas!$A67),0)</f>
        <v>1</v>
      </c>
      <c r="AM97" s="15">
        <f ca="1">IFERROR(GETPIVOTDATA("Cuenta de CANT",Tabla9,"PROV",[2]Tablas!$A$102,"SEFIS",AM$52,"CANT",[2]Tablas!$A67),0)</f>
        <v>0</v>
      </c>
      <c r="AN97" s="15">
        <f ca="1">IFERROR(GETPIVOTDATA("Cuenta de CANT",Tabla9,"PROV",[2]Tablas!$A$102,"SEFIS",AN$52,"CANT",[2]Tablas!$A67),0)</f>
        <v>0</v>
      </c>
      <c r="AO97" s="15">
        <f ca="1">IFERROR(GETPIVOTDATA("Cuenta de CANT",Tabla9,"PROV",[2]Tablas!$A$102,"SEFIS",AO$52,"CANT",[2]Tablas!$A67),0)</f>
        <v>0</v>
      </c>
      <c r="AP97" s="15">
        <f ca="1">IFERROR(GETPIVOTDATA("Cuenta de CANT",Tabla9,"PROV",[2]Tablas!$A$102,"SEFIS",AP$52,"CANT",[2]Tablas!$A67),0)</f>
        <v>1</v>
      </c>
      <c r="AQ97" s="15">
        <f ca="1">IFERROR(GETPIVOTDATA("Cuenta de CANT",Tabla9,"PROV",[2]Tablas!$A$102,"SEFIS",AQ$52,"CANT",[2]Tablas!$A67),0)</f>
        <v>1</v>
      </c>
      <c r="AR97" s="15">
        <f ca="1">IFERROR(GETPIVOTDATA("Cuenta de CANT",Tabla9,"PROV",[2]Tablas!$A$102,"SEFIS",AR$52,"CANT",[2]Tablas!$A67),0)</f>
        <v>2</v>
      </c>
      <c r="AS97" s="15">
        <f ca="1">IFERROR(GETPIVOTDATA("Cuenta de CANT",Tabla9,"PROV",[2]Tablas!$A$102,"SEFIS",AS$52,"CANT",[2]Tablas!$A67),0)</f>
        <v>0</v>
      </c>
      <c r="AT97" s="15">
        <f ca="1">IFERROR(GETPIVOTDATA("Cuenta de CANT",Tabla9,"PROV",[2]Tablas!$A$102,"SEFIS",AT$52,"CANT",[2]Tablas!$A67),0)</f>
        <v>0</v>
      </c>
      <c r="AU97" s="15">
        <f ca="1">IFERROR(GETPIVOTDATA("Cuenta de CANT",Tabla9,"PROV",[2]Tablas!$A$102,"SEFIS",AU$52,"CANT",[2]Tablas!$A67),0)</f>
        <v>2</v>
      </c>
      <c r="AV97" s="15">
        <f ca="1">IFERROR(GETPIVOTDATA("Cuenta de CANT",Tabla9,"PROV",[2]Tablas!$A$102,"SEFIS",AV$52,"CANT",[2]Tablas!$A67),0)</f>
        <v>4</v>
      </c>
      <c r="AW97" s="15">
        <f ca="1">IFERROR(GETPIVOTDATA("Cuenta de CANT",Tabla9,"PROV",[2]Tablas!$A$102,"SEFIS",AW$52,"CANT",[2]Tablas!$A67),0)</f>
        <v>2</v>
      </c>
      <c r="AX97" s="15">
        <f ca="1">IFERROR(GETPIVOTDATA("Cuenta de CANT",Tabla9,"PROV",[2]Tablas!$A$102,"SEFIS",AX$52,"CANT",[2]Tablas!$A67),0)</f>
        <v>1</v>
      </c>
      <c r="AY97" s="15">
        <f ca="1">IFERROR(GETPIVOTDATA("Cuenta de CANT",Tabla9,"PROV",[2]Tablas!$A$102,"SEFIS",AY$52,"CANT",[2]Tablas!$A67),0)</f>
        <v>0</v>
      </c>
      <c r="AZ97" s="15">
        <f ca="1">IFERROR(GETPIVOTDATA("Cuenta de CANT",Tabla9,"PROV",[2]Tablas!$A$102,"SEFIS",AZ$52,"CANT",[2]Tablas!$A67),0)</f>
        <v>1</v>
      </c>
      <c r="BA97" s="15">
        <f ca="1">IFERROR(GETPIVOTDATA("Cuenta de CANT",Tabla9,"PROV",[2]Tablas!$A$102,"SEFIS",BA$52,"CANT",[2]Tablas!$A67),0)</f>
        <v>0</v>
      </c>
      <c r="BB97" s="15">
        <f ca="1">IFERROR(GETPIVOTDATA("Cuenta de CANT",Tabla9,"PROV",[2]Tablas!$A$102,"SEFIS",BB$52,"CANT",[2]Tablas!$A67),0)</f>
        <v>0</v>
      </c>
      <c r="BC97" s="15">
        <f ca="1">IFERROR(GETPIVOTDATA("Cuenta de CANT",Tabla9,"PROV",[2]Tablas!$A$102,"SEFIS",BC$52,"CANT",[2]Tablas!$A67),0)</f>
        <v>1</v>
      </c>
      <c r="BD97" s="15">
        <f ca="1">IFERROR(GETPIVOTDATA("Cuenta de CANT",Tabla9,"PROV",[2]Tablas!$A$102,"SEFIS",BD$52,"CANT",[2]Tablas!$A67),0)</f>
        <v>0</v>
      </c>
    </row>
    <row r="98" spans="1:56" x14ac:dyDescent="0.35">
      <c r="A98" s="14" t="s">
        <v>191</v>
      </c>
      <c r="B98" s="15">
        <f t="shared" ca="1" si="12"/>
        <v>41</v>
      </c>
      <c r="C98" s="16">
        <f ca="1">IFERROR(B98/[2]Tablas!$B68*100000,"N/D")</f>
        <v>142.04053351810151</v>
      </c>
      <c r="D98" s="15">
        <f ca="1">IFERROR(GETPIVOTDATA("Cuenta de CANT",Tabla9,"PROV",[2]Tablas!$A$102,"SEFIS",D$52,"CANT",[2]Tablas!$A68),0)</f>
        <v>1</v>
      </c>
      <c r="E98" s="15">
        <f ca="1">IFERROR(GETPIVOTDATA("Cuenta de CANT",Tabla9,"PROV",[2]Tablas!$A$102,"SEFIS",E$52,"CANT",[2]Tablas!$A68),0)</f>
        <v>0</v>
      </c>
      <c r="F98" s="15">
        <f ca="1">IFERROR(GETPIVOTDATA("Cuenta de CANT",Tabla9,"PROV",[2]Tablas!$A$102,"SEFIS",F$52,"CANT",[2]Tablas!$A68),0)</f>
        <v>1</v>
      </c>
      <c r="G98" s="15">
        <f ca="1">IFERROR(GETPIVOTDATA("Cuenta de CANT",Tabla9,"PROV",[2]Tablas!$A$102,"SEFIS",G$52,"CANT",[2]Tablas!$A68),0)</f>
        <v>0</v>
      </c>
      <c r="H98" s="15">
        <f ca="1">IFERROR(GETPIVOTDATA("Cuenta de CANT",Tabla9,"PROV",[2]Tablas!$A$102,"SEFIS",H$52,"CANT",[2]Tablas!$A68),0)</f>
        <v>2</v>
      </c>
      <c r="I98" s="15">
        <f ca="1">IFERROR(GETPIVOTDATA("Cuenta de CANT",Tabla9,"PROV",[2]Tablas!$A$102,"SEFIS",I$52,"CANT",[2]Tablas!$A68),0)</f>
        <v>2</v>
      </c>
      <c r="J98" s="15">
        <f ca="1">IFERROR(GETPIVOTDATA("Cuenta de CANT",Tabla9,"PROV",[2]Tablas!$A$102,"SEFIS",J$52,"CANT",[2]Tablas!$A68),0)</f>
        <v>1</v>
      </c>
      <c r="K98" s="15">
        <f ca="1">IFERROR(GETPIVOTDATA("Cuenta de CANT",Tabla9,"PROV",[2]Tablas!$A$102,"SEFIS",K$52,"CANT",[2]Tablas!$A68),0)</f>
        <v>2</v>
      </c>
      <c r="L98" s="15">
        <f ca="1">IFERROR(GETPIVOTDATA("Cuenta de CANT",Tabla9,"PROV",[2]Tablas!$A$102,"SEFIS",L$52,"CANT",[2]Tablas!$A68),0)</f>
        <v>2</v>
      </c>
      <c r="M98" s="15">
        <f ca="1">IFERROR(GETPIVOTDATA("Cuenta de CANT",Tabla9,"PROV",[2]Tablas!$A$102,"SEFIS",M$52,"CANT",[2]Tablas!$A68),0)</f>
        <v>0</v>
      </c>
      <c r="N98" s="15">
        <f ca="1">IFERROR(GETPIVOTDATA("Cuenta de CANT",Tabla9,"PROV",[2]Tablas!$A$102,"SEFIS",N$52,"CANT",[2]Tablas!$A68),0)</f>
        <v>0</v>
      </c>
      <c r="O98" s="15">
        <f ca="1">IFERROR(GETPIVOTDATA("Cuenta de CANT",Tabla9,"PROV",[2]Tablas!$A$102,"SEFIS",O$52,"CANT",[2]Tablas!$A68),0)</f>
        <v>0</v>
      </c>
      <c r="P98" s="15">
        <f ca="1">IFERROR(GETPIVOTDATA("Cuenta de CANT",Tabla9,"PROV",[2]Tablas!$A$102,"SEFIS",P$52,"CANT",[2]Tablas!$A68),0)</f>
        <v>0</v>
      </c>
      <c r="Q98" s="15">
        <f ca="1">IFERROR(GETPIVOTDATA("Cuenta de CANT",Tabla9,"PROV",[2]Tablas!$A$102,"SEFIS",Q$52,"CANT",[2]Tablas!$A68),0)</f>
        <v>0</v>
      </c>
      <c r="R98" s="15">
        <f ca="1">IFERROR(GETPIVOTDATA("Cuenta de CANT",Tabla9,"PROV",[2]Tablas!$A$102,"SEFIS",R$52,"CANT",[2]Tablas!$A68),0)</f>
        <v>0</v>
      </c>
      <c r="S98" s="15">
        <f ca="1">IFERROR(GETPIVOTDATA("Cuenta de CANT",Tabla9,"PROV",[2]Tablas!$A$102,"SEFIS",S$52,"CANT",[2]Tablas!$A68),0)</f>
        <v>0</v>
      </c>
      <c r="T98" s="15">
        <f ca="1">IFERROR(GETPIVOTDATA("Cuenta de CANT",Tabla9,"PROV",[2]Tablas!$A$102,"SEFIS",T$52,"CANT",[2]Tablas!$A68),0)</f>
        <v>2</v>
      </c>
      <c r="U98" s="15">
        <f ca="1">IFERROR(GETPIVOTDATA("Cuenta de CANT",Tabla9,"PROV",[2]Tablas!$A$102,"SEFIS",U$52,"CANT",[2]Tablas!$A68),0)</f>
        <v>0</v>
      </c>
      <c r="V98" s="15">
        <f ca="1">IFERROR(GETPIVOTDATA("Cuenta de CANT",Tabla9,"PROV",[2]Tablas!$A$102,"SEFIS",V$52,"CANT",[2]Tablas!$A68),0)</f>
        <v>0</v>
      </c>
      <c r="W98" s="15">
        <f ca="1">IFERROR(GETPIVOTDATA("Cuenta de CANT",Tabla9,"PROV",[2]Tablas!$A$102,"SEFIS",W$52,"CANT",[2]Tablas!$A68),0)</f>
        <v>0</v>
      </c>
      <c r="X98" s="15">
        <f ca="1">IFERROR(GETPIVOTDATA("Cuenta de CANT",Tabla9,"PROV",[2]Tablas!$A$102,"SEFIS",X$52,"CANT",[2]Tablas!$A68),0)</f>
        <v>0</v>
      </c>
      <c r="Y98" s="15">
        <f ca="1">IFERROR(GETPIVOTDATA("Cuenta de CANT",Tabla9,"PROV",[2]Tablas!$A$102,"SEFIS",Y$52,"CANT",[2]Tablas!$A68),0)</f>
        <v>0</v>
      </c>
      <c r="Z98" s="15">
        <f ca="1">IFERROR(GETPIVOTDATA("Cuenta de CANT",Tabla9,"PROV",[2]Tablas!$A$102,"SEFIS",Z$52,"CANT",[2]Tablas!$A68),0)</f>
        <v>0</v>
      </c>
      <c r="AA98" s="15">
        <f ca="1">IFERROR(GETPIVOTDATA("Cuenta de CANT",Tabla9,"PROV",[2]Tablas!$A$102,"SEFIS",AA$52,"CANT",[2]Tablas!$A68),0)</f>
        <v>0</v>
      </c>
      <c r="AB98" s="15">
        <f ca="1">IFERROR(GETPIVOTDATA("Cuenta de CANT",Tabla9,"PROV",[2]Tablas!$A$102,"SEFIS",AB$52,"CANT",[2]Tablas!$A68),0)</f>
        <v>0</v>
      </c>
      <c r="AC98" s="15">
        <f ca="1">IFERROR(GETPIVOTDATA("Cuenta de CANT",Tabla9,"PROV",[2]Tablas!$A$102,"SEFIS",AC$52,"CANT",[2]Tablas!$A68),0)</f>
        <v>0</v>
      </c>
      <c r="AD98" s="15">
        <f ca="1">IFERROR(GETPIVOTDATA("Cuenta de CANT",Tabla9,"PROV",[2]Tablas!$A$102,"SEFIS",AD$52,"CANT",[2]Tablas!$A68),0)</f>
        <v>0</v>
      </c>
      <c r="AE98" s="15">
        <f ca="1">IFERROR(GETPIVOTDATA("Cuenta de CANT",Tabla9,"PROV",[2]Tablas!$A$102,"SEFIS",AE$52,"CANT",[2]Tablas!$A68),0)</f>
        <v>1</v>
      </c>
      <c r="AF98" s="15">
        <f ca="1">IFERROR(GETPIVOTDATA("Cuenta de CANT",Tabla9,"PROV",[2]Tablas!$A$102,"SEFIS",AF$52,"CANT",[2]Tablas!$A68),0)</f>
        <v>0</v>
      </c>
      <c r="AG98" s="15">
        <f ca="1">IFERROR(GETPIVOTDATA("Cuenta de CANT",Tabla9,"PROV",[2]Tablas!$A$102,"SEFIS",AG$52,"CANT",[2]Tablas!$A68),0)</f>
        <v>0</v>
      </c>
      <c r="AH98" s="15">
        <f ca="1">IFERROR(GETPIVOTDATA("Cuenta de CANT",Tabla9,"PROV",[2]Tablas!$A$102,"SEFIS",AH$52,"CANT",[2]Tablas!$A68),0)</f>
        <v>0</v>
      </c>
      <c r="AI98" s="15">
        <f ca="1">IFERROR(GETPIVOTDATA("Cuenta de CANT",Tabla9,"PROV",[2]Tablas!$A$102,"SEFIS",AI$52,"CANT",[2]Tablas!$A68),0)</f>
        <v>0</v>
      </c>
      <c r="AJ98" s="15">
        <f ca="1">IFERROR(GETPIVOTDATA("Cuenta de CANT",Tabla9,"PROV",[2]Tablas!$A$102,"SEFIS",AJ$52,"CANT",[2]Tablas!$A68),0)</f>
        <v>0</v>
      </c>
      <c r="AK98" s="15">
        <f ca="1">IFERROR(GETPIVOTDATA("Cuenta de CANT",Tabla9,"PROV",[2]Tablas!$A$102,"SEFIS",AK$52,"CANT",[2]Tablas!$A68),0)</f>
        <v>0</v>
      </c>
      <c r="AL98" s="15">
        <f ca="1">IFERROR(GETPIVOTDATA("Cuenta de CANT",Tabla9,"PROV",[2]Tablas!$A$102,"SEFIS",AL$52,"CANT",[2]Tablas!$A68),0)</f>
        <v>0</v>
      </c>
      <c r="AM98" s="15">
        <f ca="1">IFERROR(GETPIVOTDATA("Cuenta de CANT",Tabla9,"PROV",[2]Tablas!$A$102,"SEFIS",AM$52,"CANT",[2]Tablas!$A68),0)</f>
        <v>0</v>
      </c>
      <c r="AN98" s="15">
        <f ca="1">IFERROR(GETPIVOTDATA("Cuenta de CANT",Tabla9,"PROV",[2]Tablas!$A$102,"SEFIS",AN$52,"CANT",[2]Tablas!$A68),0)</f>
        <v>0</v>
      </c>
      <c r="AO98" s="15">
        <f ca="1">IFERROR(GETPIVOTDATA("Cuenta de CANT",Tabla9,"PROV",[2]Tablas!$A$102,"SEFIS",AO$52,"CANT",[2]Tablas!$A68),0)</f>
        <v>0</v>
      </c>
      <c r="AP98" s="15">
        <f ca="1">IFERROR(GETPIVOTDATA("Cuenta de CANT",Tabla9,"PROV",[2]Tablas!$A$102,"SEFIS",AP$52,"CANT",[2]Tablas!$A68),0)</f>
        <v>0</v>
      </c>
      <c r="AQ98" s="15">
        <f ca="1">IFERROR(GETPIVOTDATA("Cuenta de CANT",Tabla9,"PROV",[2]Tablas!$A$102,"SEFIS",AQ$52,"CANT",[2]Tablas!$A68),0)</f>
        <v>0</v>
      </c>
      <c r="AR98" s="15">
        <f ca="1">IFERROR(GETPIVOTDATA("Cuenta de CANT",Tabla9,"PROV",[2]Tablas!$A$102,"SEFIS",AR$52,"CANT",[2]Tablas!$A68),0)</f>
        <v>0</v>
      </c>
      <c r="AS98" s="15">
        <f ca="1">IFERROR(GETPIVOTDATA("Cuenta de CANT",Tabla9,"PROV",[2]Tablas!$A$102,"SEFIS",AS$52,"CANT",[2]Tablas!$A68),0)</f>
        <v>0</v>
      </c>
      <c r="AT98" s="15">
        <f ca="1">IFERROR(GETPIVOTDATA("Cuenta de CANT",Tabla9,"PROV",[2]Tablas!$A$102,"SEFIS",AT$52,"CANT",[2]Tablas!$A68),0)</f>
        <v>0</v>
      </c>
      <c r="AU98" s="15">
        <f ca="1">IFERROR(GETPIVOTDATA("Cuenta de CANT",Tabla9,"PROV",[2]Tablas!$A$102,"SEFIS",AU$52,"CANT",[2]Tablas!$A68),0)</f>
        <v>3</v>
      </c>
      <c r="AV98" s="15">
        <f ca="1">IFERROR(GETPIVOTDATA("Cuenta de CANT",Tabla9,"PROV",[2]Tablas!$A$102,"SEFIS",AV$52,"CANT",[2]Tablas!$A68),0)</f>
        <v>2</v>
      </c>
      <c r="AW98" s="15">
        <f ca="1">IFERROR(GETPIVOTDATA("Cuenta de CANT",Tabla9,"PROV",[2]Tablas!$A$102,"SEFIS",AW$52,"CANT",[2]Tablas!$A68),0)</f>
        <v>6</v>
      </c>
      <c r="AX98" s="15">
        <f ca="1">IFERROR(GETPIVOTDATA("Cuenta de CANT",Tabla9,"PROV",[2]Tablas!$A$102,"SEFIS",AX$52,"CANT",[2]Tablas!$A68),0)</f>
        <v>2</v>
      </c>
      <c r="AY98" s="15">
        <f ca="1">IFERROR(GETPIVOTDATA("Cuenta de CANT",Tabla9,"PROV",[2]Tablas!$A$102,"SEFIS",AY$52,"CANT",[2]Tablas!$A68),0)</f>
        <v>3</v>
      </c>
      <c r="AZ98" s="15">
        <f ca="1">IFERROR(GETPIVOTDATA("Cuenta de CANT",Tabla9,"PROV",[2]Tablas!$A$102,"SEFIS",AZ$52,"CANT",[2]Tablas!$A68),0)</f>
        <v>2</v>
      </c>
      <c r="BA98" s="15">
        <f ca="1">IFERROR(GETPIVOTDATA("Cuenta de CANT",Tabla9,"PROV",[2]Tablas!$A$102,"SEFIS",BA$52,"CANT",[2]Tablas!$A68),0)</f>
        <v>2</v>
      </c>
      <c r="BB98" s="15">
        <f ca="1">IFERROR(GETPIVOTDATA("Cuenta de CANT",Tabla9,"PROV",[2]Tablas!$A$102,"SEFIS",BB$52,"CANT",[2]Tablas!$A68),0)</f>
        <v>1</v>
      </c>
      <c r="BC98" s="15">
        <f ca="1">IFERROR(GETPIVOTDATA("Cuenta de CANT",Tabla9,"PROV",[2]Tablas!$A$102,"SEFIS",BC$52,"CANT",[2]Tablas!$A68),0)</f>
        <v>6</v>
      </c>
      <c r="BD98" s="15">
        <f ca="1">IFERROR(GETPIVOTDATA("Cuenta de CANT",Tabla9,"PROV",[2]Tablas!$A$102,"SEFIS",BD$52,"CANT",[2]Tablas!$A68),0)</f>
        <v>0</v>
      </c>
    </row>
    <row r="99" spans="1:56" x14ac:dyDescent="0.35">
      <c r="A99" s="14" t="s">
        <v>192</v>
      </c>
      <c r="B99" s="15">
        <v>3</v>
      </c>
      <c r="C99" s="16">
        <v>61.932287365813373</v>
      </c>
      <c r="D99" s="15">
        <v>0</v>
      </c>
      <c r="E99" s="15">
        <v>0</v>
      </c>
      <c r="F99" s="15">
        <v>0</v>
      </c>
      <c r="G99" s="15">
        <v>0</v>
      </c>
      <c r="H99" s="15">
        <v>0</v>
      </c>
      <c r="I99" s="15">
        <v>0</v>
      </c>
      <c r="J99" s="15">
        <v>0</v>
      </c>
      <c r="K99" s="15">
        <v>0</v>
      </c>
      <c r="L99" s="15">
        <v>0</v>
      </c>
      <c r="M99" s="15">
        <v>0</v>
      </c>
      <c r="N99" s="15">
        <v>0</v>
      </c>
      <c r="O99" s="15">
        <v>0</v>
      </c>
      <c r="P99" s="15">
        <v>0</v>
      </c>
      <c r="Q99" s="15">
        <v>0</v>
      </c>
      <c r="R99" s="15">
        <v>0</v>
      </c>
      <c r="S99" s="15">
        <v>0</v>
      </c>
      <c r="T99" s="15">
        <v>0</v>
      </c>
      <c r="U99" s="15">
        <v>0</v>
      </c>
      <c r="V99" s="15">
        <v>0</v>
      </c>
      <c r="W99" s="15">
        <v>0</v>
      </c>
      <c r="X99" s="15">
        <v>0</v>
      </c>
      <c r="Y99" s="15">
        <v>0</v>
      </c>
      <c r="Z99" s="15">
        <v>0</v>
      </c>
      <c r="AA99" s="15">
        <v>0</v>
      </c>
      <c r="AB99" s="15">
        <v>0</v>
      </c>
      <c r="AC99" s="15">
        <v>0</v>
      </c>
      <c r="AD99" s="15">
        <v>0</v>
      </c>
      <c r="AE99" s="15">
        <v>0</v>
      </c>
      <c r="AF99" s="15">
        <v>0</v>
      </c>
      <c r="AG99" s="15">
        <v>0</v>
      </c>
      <c r="AH99" s="15">
        <v>0</v>
      </c>
      <c r="AI99" s="15">
        <v>0</v>
      </c>
      <c r="AJ99" s="15">
        <v>0</v>
      </c>
      <c r="AK99" s="15">
        <v>0</v>
      </c>
      <c r="AL99" s="15">
        <v>1</v>
      </c>
      <c r="AM99" s="15">
        <v>0</v>
      </c>
      <c r="AN99" s="15">
        <v>0</v>
      </c>
      <c r="AO99" s="15">
        <v>0</v>
      </c>
      <c r="AP99" s="15">
        <v>0</v>
      </c>
      <c r="AQ99" s="15">
        <v>0</v>
      </c>
      <c r="AR99" s="15">
        <v>1</v>
      </c>
      <c r="AS99" s="15">
        <v>0</v>
      </c>
      <c r="AT99" s="15">
        <v>0</v>
      </c>
      <c r="AU99" s="15">
        <v>0</v>
      </c>
      <c r="AV99" s="15">
        <v>0</v>
      </c>
      <c r="AW99" s="15">
        <v>0</v>
      </c>
      <c r="AX99" s="15">
        <v>0</v>
      </c>
      <c r="AY99" s="15">
        <v>0</v>
      </c>
      <c r="AZ99" s="15">
        <v>0</v>
      </c>
      <c r="BA99" s="15">
        <v>0</v>
      </c>
      <c r="BB99" s="15">
        <v>1</v>
      </c>
      <c r="BC99" s="15">
        <v>0</v>
      </c>
      <c r="BD99" s="15">
        <v>0</v>
      </c>
    </row>
    <row r="100" spans="1:56" x14ac:dyDescent="0.35">
      <c r="A100" s="14" t="s">
        <v>201</v>
      </c>
      <c r="B100" s="15">
        <v>8</v>
      </c>
      <c r="C100" s="16">
        <v>57.102069950035691</v>
      </c>
      <c r="D100" s="15">
        <v>0</v>
      </c>
      <c r="E100" s="15">
        <v>0</v>
      </c>
      <c r="F100" s="15">
        <v>0</v>
      </c>
      <c r="G100" s="15">
        <v>0</v>
      </c>
      <c r="H100" s="15">
        <v>0</v>
      </c>
      <c r="I100" s="15">
        <v>0</v>
      </c>
      <c r="J100" s="15">
        <v>0</v>
      </c>
      <c r="K100" s="15">
        <v>0</v>
      </c>
      <c r="L100" s="15">
        <v>0</v>
      </c>
      <c r="M100" s="15">
        <v>0</v>
      </c>
      <c r="N100" s="15">
        <v>0</v>
      </c>
      <c r="O100" s="15">
        <v>0</v>
      </c>
      <c r="P100" s="15">
        <v>0</v>
      </c>
      <c r="Q100" s="15">
        <v>0</v>
      </c>
      <c r="R100" s="15">
        <v>0</v>
      </c>
      <c r="S100" s="15">
        <v>0</v>
      </c>
      <c r="T100" s="15">
        <v>0</v>
      </c>
      <c r="U100" s="15">
        <v>0</v>
      </c>
      <c r="V100" s="15">
        <v>0</v>
      </c>
      <c r="W100" s="15">
        <v>0</v>
      </c>
      <c r="X100" s="15">
        <v>0</v>
      </c>
      <c r="Y100" s="15">
        <v>0</v>
      </c>
      <c r="Z100" s="15">
        <v>1</v>
      </c>
      <c r="AA100" s="15">
        <v>0</v>
      </c>
      <c r="AB100" s="15">
        <v>0</v>
      </c>
      <c r="AC100" s="15">
        <v>0</v>
      </c>
      <c r="AD100" s="15">
        <v>0</v>
      </c>
      <c r="AE100" s="15">
        <v>0</v>
      </c>
      <c r="AF100" s="15">
        <v>0</v>
      </c>
      <c r="AG100" s="15">
        <v>1</v>
      </c>
      <c r="AH100" s="15">
        <v>2</v>
      </c>
      <c r="AI100" s="15">
        <v>0</v>
      </c>
      <c r="AJ100" s="15">
        <v>0</v>
      </c>
      <c r="AK100" s="15">
        <v>0</v>
      </c>
      <c r="AL100" s="15">
        <v>0</v>
      </c>
      <c r="AM100" s="15">
        <v>0</v>
      </c>
      <c r="AN100" s="15">
        <v>0</v>
      </c>
      <c r="AO100" s="15">
        <v>0</v>
      </c>
      <c r="AP100" s="15">
        <v>0</v>
      </c>
      <c r="AQ100" s="15">
        <v>0</v>
      </c>
      <c r="AR100" s="15">
        <v>2</v>
      </c>
      <c r="AS100" s="15">
        <v>0</v>
      </c>
      <c r="AT100" s="15">
        <v>0</v>
      </c>
      <c r="AU100" s="15">
        <v>0</v>
      </c>
      <c r="AV100" s="15">
        <v>0</v>
      </c>
      <c r="AW100" s="15">
        <v>0</v>
      </c>
      <c r="AX100" s="15">
        <v>1</v>
      </c>
      <c r="AY100" s="15">
        <v>0</v>
      </c>
      <c r="AZ100" s="15">
        <v>0</v>
      </c>
      <c r="BA100" s="15">
        <v>0</v>
      </c>
      <c r="BB100" s="15">
        <v>0</v>
      </c>
      <c r="BC100" s="15">
        <v>1</v>
      </c>
      <c r="BD100" s="15">
        <v>0</v>
      </c>
    </row>
    <row r="101" spans="1:56" x14ac:dyDescent="0.35">
      <c r="A101" s="19"/>
      <c r="B101" s="19"/>
      <c r="C101" s="19"/>
      <c r="D101" s="19"/>
      <c r="E101" s="19"/>
      <c r="F101" s="19"/>
      <c r="G101" s="19"/>
      <c r="H101" s="19"/>
      <c r="I101" s="19"/>
      <c r="J101" s="19"/>
      <c r="K101" s="19"/>
      <c r="L101" s="19"/>
      <c r="M101" s="19"/>
      <c r="N101" s="19"/>
      <c r="O101" s="19"/>
      <c r="P101" s="19"/>
      <c r="Q101" s="19"/>
      <c r="R101" s="19"/>
      <c r="S101" s="19"/>
      <c r="T101" s="19"/>
      <c r="U101" s="19"/>
      <c r="V101" s="19"/>
      <c r="W101" s="19"/>
      <c r="X101" s="19"/>
      <c r="Y101" s="19"/>
      <c r="Z101" s="19"/>
      <c r="AA101" s="19"/>
      <c r="AB101" s="19"/>
      <c r="AC101" s="19"/>
      <c r="AD101" s="19"/>
      <c r="AE101" s="19"/>
      <c r="AF101" s="19"/>
      <c r="AG101" s="19"/>
      <c r="AH101" s="19"/>
      <c r="AI101" s="19"/>
      <c r="AJ101" s="19"/>
      <c r="AK101" s="19"/>
      <c r="AL101" s="19"/>
      <c r="AM101" s="19"/>
      <c r="AN101" s="19"/>
      <c r="AO101" s="19"/>
      <c r="AP101" s="19"/>
      <c r="AQ101" s="19"/>
      <c r="AR101" s="19"/>
      <c r="AS101" s="19"/>
      <c r="AT101" s="19"/>
      <c r="AU101" s="19"/>
      <c r="AV101" s="19"/>
      <c r="AW101" s="19"/>
      <c r="AX101" s="19"/>
      <c r="AY101" s="19"/>
      <c r="AZ101" s="19"/>
      <c r="BA101" s="19"/>
      <c r="BB101" s="19"/>
      <c r="BC101" s="19"/>
      <c r="BD101" s="19"/>
    </row>
    <row r="102" spans="1:56" x14ac:dyDescent="0.35">
      <c r="A102" s="1" t="s">
        <v>193</v>
      </c>
      <c r="B102" s="10">
        <f t="shared" ref="B102:B108" ca="1" si="13">SUM(D102:BD102)</f>
        <v>284</v>
      </c>
      <c r="C102" s="11">
        <f ca="1">IFERROR(B102/[2]Tablas!$B72*100000,"N/D")</f>
        <v>62.307756438102508</v>
      </c>
      <c r="D102" s="10">
        <f ca="1">SUM(D103:D108)</f>
        <v>4</v>
      </c>
      <c r="E102" s="10">
        <f t="shared" ref="E102:BD102" ca="1" si="14">SUM(E103:E108)</f>
        <v>4</v>
      </c>
      <c r="F102" s="10">
        <f t="shared" ca="1" si="14"/>
        <v>7</v>
      </c>
      <c r="G102" s="10">
        <f t="shared" ca="1" si="14"/>
        <v>2</v>
      </c>
      <c r="H102" s="10">
        <f t="shared" ca="1" si="14"/>
        <v>1</v>
      </c>
      <c r="I102" s="10">
        <f t="shared" ca="1" si="14"/>
        <v>6</v>
      </c>
      <c r="J102" s="10">
        <f t="shared" ca="1" si="14"/>
        <v>4</v>
      </c>
      <c r="K102" s="10">
        <f t="shared" ca="1" si="14"/>
        <v>3</v>
      </c>
      <c r="L102" s="10">
        <f t="shared" ca="1" si="14"/>
        <v>3</v>
      </c>
      <c r="M102" s="10">
        <f t="shared" ca="1" si="14"/>
        <v>4</v>
      </c>
      <c r="N102" s="10">
        <f t="shared" ca="1" si="14"/>
        <v>4</v>
      </c>
      <c r="O102" s="10">
        <f t="shared" ca="1" si="14"/>
        <v>3</v>
      </c>
      <c r="P102" s="10">
        <f t="shared" ca="1" si="14"/>
        <v>3</v>
      </c>
      <c r="Q102" s="10">
        <f t="shared" ca="1" si="14"/>
        <v>6</v>
      </c>
      <c r="R102" s="10">
        <f t="shared" ca="1" si="14"/>
        <v>1</v>
      </c>
      <c r="S102" s="10">
        <f t="shared" ca="1" si="14"/>
        <v>5</v>
      </c>
      <c r="T102" s="10">
        <f t="shared" ca="1" si="14"/>
        <v>0</v>
      </c>
      <c r="U102" s="10">
        <f t="shared" ca="1" si="14"/>
        <v>3</v>
      </c>
      <c r="V102" s="10">
        <f t="shared" ca="1" si="14"/>
        <v>2</v>
      </c>
      <c r="W102" s="10">
        <f t="shared" ca="1" si="14"/>
        <v>1</v>
      </c>
      <c r="X102" s="10">
        <f t="shared" ca="1" si="14"/>
        <v>3</v>
      </c>
      <c r="Y102" s="10">
        <f t="shared" ca="1" si="14"/>
        <v>4</v>
      </c>
      <c r="Z102" s="10">
        <f t="shared" ca="1" si="14"/>
        <v>1</v>
      </c>
      <c r="AA102" s="10">
        <f t="shared" ca="1" si="14"/>
        <v>2</v>
      </c>
      <c r="AB102" s="10">
        <f t="shared" ca="1" si="14"/>
        <v>5</v>
      </c>
      <c r="AC102" s="10">
        <f t="shared" ca="1" si="14"/>
        <v>5</v>
      </c>
      <c r="AD102" s="10">
        <f t="shared" ca="1" si="14"/>
        <v>2</v>
      </c>
      <c r="AE102" s="10">
        <f t="shared" ca="1" si="14"/>
        <v>5</v>
      </c>
      <c r="AF102" s="10">
        <f t="shared" ca="1" si="14"/>
        <v>4</v>
      </c>
      <c r="AG102" s="10">
        <f t="shared" ca="1" si="14"/>
        <v>7</v>
      </c>
      <c r="AH102" s="10">
        <f t="shared" ca="1" si="14"/>
        <v>5</v>
      </c>
      <c r="AI102" s="10">
        <f t="shared" ca="1" si="14"/>
        <v>11</v>
      </c>
      <c r="AJ102" s="10">
        <f t="shared" ca="1" si="14"/>
        <v>7</v>
      </c>
      <c r="AK102" s="10">
        <f t="shared" ca="1" si="14"/>
        <v>4</v>
      </c>
      <c r="AL102" s="10">
        <f t="shared" ca="1" si="14"/>
        <v>11</v>
      </c>
      <c r="AM102" s="10">
        <f t="shared" ca="1" si="14"/>
        <v>12</v>
      </c>
      <c r="AN102" s="10">
        <f t="shared" ca="1" si="14"/>
        <v>6</v>
      </c>
      <c r="AO102" s="10">
        <f t="shared" ca="1" si="14"/>
        <v>8</v>
      </c>
      <c r="AP102" s="10">
        <f t="shared" ca="1" si="14"/>
        <v>8</v>
      </c>
      <c r="AQ102" s="10">
        <f t="shared" ca="1" si="14"/>
        <v>7</v>
      </c>
      <c r="AR102" s="10">
        <f t="shared" ca="1" si="14"/>
        <v>7</v>
      </c>
      <c r="AS102" s="10">
        <f t="shared" ca="1" si="14"/>
        <v>5</v>
      </c>
      <c r="AT102" s="10">
        <f t="shared" ca="1" si="14"/>
        <v>9</v>
      </c>
      <c r="AU102" s="10">
        <f t="shared" ca="1" si="14"/>
        <v>2</v>
      </c>
      <c r="AV102" s="10">
        <f t="shared" ca="1" si="14"/>
        <v>7</v>
      </c>
      <c r="AW102" s="10">
        <f t="shared" ca="1" si="14"/>
        <v>7</v>
      </c>
      <c r="AX102" s="10">
        <f t="shared" ca="1" si="14"/>
        <v>15</v>
      </c>
      <c r="AY102" s="10">
        <f t="shared" ca="1" si="14"/>
        <v>7</v>
      </c>
      <c r="AZ102" s="10">
        <f t="shared" ca="1" si="14"/>
        <v>8</v>
      </c>
      <c r="BA102" s="10">
        <f t="shared" ca="1" si="14"/>
        <v>22</v>
      </c>
      <c r="BB102" s="10">
        <f t="shared" ca="1" si="14"/>
        <v>8</v>
      </c>
      <c r="BC102" s="10">
        <f t="shared" ca="1" si="14"/>
        <v>4</v>
      </c>
      <c r="BD102" s="10">
        <f t="shared" ca="1" si="14"/>
        <v>0</v>
      </c>
    </row>
    <row r="103" spans="1:56" x14ac:dyDescent="0.35">
      <c r="A103" s="14" t="s">
        <v>194</v>
      </c>
      <c r="B103" s="15">
        <f t="shared" ca="1" si="13"/>
        <v>82</v>
      </c>
      <c r="C103" s="16">
        <f ca="1">IFERROR(B103/[2]Tablas!$B73*100000,"N/D")</f>
        <v>89.06653922186257</v>
      </c>
      <c r="D103" s="15">
        <f ca="1">IFERROR(GETPIVOTDATA("Cuenta de CANT",Tabla9,"PROV",[2]Tablas!$A$117,"SEFIS",D$52,"CANT",[2]Tablas!$A73),0)</f>
        <v>1</v>
      </c>
      <c r="E103" s="15">
        <f ca="1">IFERROR(GETPIVOTDATA("Cuenta de CANT",Tabla9,"PROV",[2]Tablas!$A$117,"SEFIS",E$52,"CANT",[2]Tablas!$A73),0)</f>
        <v>0</v>
      </c>
      <c r="F103" s="15">
        <f ca="1">IFERROR(GETPIVOTDATA("Cuenta de CANT",Tabla9,"PROV",[2]Tablas!$A$117,"SEFIS",F$52,"CANT",[2]Tablas!$A73),0)</f>
        <v>0</v>
      </c>
      <c r="G103" s="15">
        <f ca="1">IFERROR(GETPIVOTDATA("Cuenta de CANT",Tabla9,"PROV",[2]Tablas!$A$117,"SEFIS",G$52,"CANT",[2]Tablas!$A73),0)</f>
        <v>1</v>
      </c>
      <c r="H103" s="15">
        <f ca="1">IFERROR(GETPIVOTDATA("Cuenta de CANT",Tabla9,"PROV",[2]Tablas!$A$117,"SEFIS",H$52,"CANT",[2]Tablas!$A73),0)</f>
        <v>0</v>
      </c>
      <c r="I103" s="15">
        <f ca="1">IFERROR(GETPIVOTDATA("Cuenta de CANT",Tabla9,"PROV",[2]Tablas!$A$117,"SEFIS",I$52,"CANT",[2]Tablas!$A73),0)</f>
        <v>1</v>
      </c>
      <c r="J103" s="15">
        <f ca="1">IFERROR(GETPIVOTDATA("Cuenta de CANT",Tabla9,"PROV",[2]Tablas!$A$117,"SEFIS",J$52,"CANT",[2]Tablas!$A73),0)</f>
        <v>1</v>
      </c>
      <c r="K103" s="15">
        <f ca="1">IFERROR(GETPIVOTDATA("Cuenta de CANT",Tabla9,"PROV",[2]Tablas!$A$117,"SEFIS",K$52,"CANT",[2]Tablas!$A73),0)</f>
        <v>0</v>
      </c>
      <c r="L103" s="15">
        <f ca="1">IFERROR(GETPIVOTDATA("Cuenta de CANT",Tabla9,"PROV",[2]Tablas!$A$117,"SEFIS",L$52,"CANT",[2]Tablas!$A73),0)</f>
        <v>0</v>
      </c>
      <c r="M103" s="15">
        <f ca="1">IFERROR(GETPIVOTDATA("Cuenta de CANT",Tabla9,"PROV",[2]Tablas!$A$117,"SEFIS",M$52,"CANT",[2]Tablas!$A73),0)</f>
        <v>2</v>
      </c>
      <c r="N103" s="15">
        <f ca="1">IFERROR(GETPIVOTDATA("Cuenta de CANT",Tabla9,"PROV",[2]Tablas!$A$117,"SEFIS",N$52,"CANT",[2]Tablas!$A73),0)</f>
        <v>2</v>
      </c>
      <c r="O103" s="15">
        <f ca="1">IFERROR(GETPIVOTDATA("Cuenta de CANT",Tabla9,"PROV",[2]Tablas!$A$117,"SEFIS",O$52,"CANT",[2]Tablas!$A73),0)</f>
        <v>1</v>
      </c>
      <c r="P103" s="15">
        <f ca="1">IFERROR(GETPIVOTDATA("Cuenta de CANT",Tabla9,"PROV",[2]Tablas!$A$117,"SEFIS",P$52,"CANT",[2]Tablas!$A73),0)</f>
        <v>3</v>
      </c>
      <c r="Q103" s="15">
        <f ca="1">IFERROR(GETPIVOTDATA("Cuenta de CANT",Tabla9,"PROV",[2]Tablas!$A$117,"SEFIS",Q$52,"CANT",[2]Tablas!$A73),0)</f>
        <v>2</v>
      </c>
      <c r="R103" s="15">
        <f ca="1">IFERROR(GETPIVOTDATA("Cuenta de CANT",Tabla9,"PROV",[2]Tablas!$A$117,"SEFIS",R$52,"CANT",[2]Tablas!$A73),0)</f>
        <v>1</v>
      </c>
      <c r="S103" s="15">
        <f ca="1">IFERROR(GETPIVOTDATA("Cuenta de CANT",Tabla9,"PROV",[2]Tablas!$A$117,"SEFIS",S$52,"CANT",[2]Tablas!$A73),0)</f>
        <v>2</v>
      </c>
      <c r="T103" s="15">
        <f ca="1">IFERROR(GETPIVOTDATA("Cuenta de CANT",Tabla9,"PROV",[2]Tablas!$A$117,"SEFIS",T$52,"CANT",[2]Tablas!$A73),0)</f>
        <v>0</v>
      </c>
      <c r="U103" s="15">
        <f ca="1">IFERROR(GETPIVOTDATA("Cuenta de CANT",Tabla9,"PROV",[2]Tablas!$A$117,"SEFIS",U$52,"CANT",[2]Tablas!$A73),0)</f>
        <v>0</v>
      </c>
      <c r="V103" s="15">
        <f ca="1">IFERROR(GETPIVOTDATA("Cuenta de CANT",Tabla9,"PROV",[2]Tablas!$A$117,"SEFIS",V$52,"CANT",[2]Tablas!$A73),0)</f>
        <v>0</v>
      </c>
      <c r="W103" s="15">
        <f ca="1">IFERROR(GETPIVOTDATA("Cuenta de CANT",Tabla9,"PROV",[2]Tablas!$A$117,"SEFIS",W$52,"CANT",[2]Tablas!$A73),0)</f>
        <v>1</v>
      </c>
      <c r="X103" s="15">
        <f ca="1">IFERROR(GETPIVOTDATA("Cuenta de CANT",Tabla9,"PROV",[2]Tablas!$A$117,"SEFIS",X$52,"CANT",[2]Tablas!$A73),0)</f>
        <v>2</v>
      </c>
      <c r="Y103" s="15">
        <f ca="1">IFERROR(GETPIVOTDATA("Cuenta de CANT",Tabla9,"PROV",[2]Tablas!$A$117,"SEFIS",Y$52,"CANT",[2]Tablas!$A73),0)</f>
        <v>2</v>
      </c>
      <c r="Z103" s="15">
        <f ca="1">IFERROR(GETPIVOTDATA("Cuenta de CANT",Tabla9,"PROV",[2]Tablas!$A$117,"SEFIS",Z$52,"CANT",[2]Tablas!$A73),0)</f>
        <v>1</v>
      </c>
      <c r="AA103" s="15">
        <f ca="1">IFERROR(GETPIVOTDATA("Cuenta de CANT",Tabla9,"PROV",[2]Tablas!$A$117,"SEFIS",AA$52,"CANT",[2]Tablas!$A73),0)</f>
        <v>0</v>
      </c>
      <c r="AB103" s="15">
        <f ca="1">IFERROR(GETPIVOTDATA("Cuenta de CANT",Tabla9,"PROV",[2]Tablas!$A$117,"SEFIS",AB$52,"CANT",[2]Tablas!$A73),0)</f>
        <v>2</v>
      </c>
      <c r="AC103" s="15">
        <f ca="1">IFERROR(GETPIVOTDATA("Cuenta de CANT",Tabla9,"PROV",[2]Tablas!$A$117,"SEFIS",AC$52,"CANT",[2]Tablas!$A73),0)</f>
        <v>1</v>
      </c>
      <c r="AD103" s="15">
        <f ca="1">IFERROR(GETPIVOTDATA("Cuenta de CANT",Tabla9,"PROV",[2]Tablas!$A$117,"SEFIS",AD$52,"CANT",[2]Tablas!$A73),0)</f>
        <v>0</v>
      </c>
      <c r="AE103" s="15">
        <f ca="1">IFERROR(GETPIVOTDATA("Cuenta de CANT",Tabla9,"PROV",[2]Tablas!$A$117,"SEFIS",AE$52,"CANT",[2]Tablas!$A73),0)</f>
        <v>0</v>
      </c>
      <c r="AF103" s="15">
        <f ca="1">IFERROR(GETPIVOTDATA("Cuenta de CANT",Tabla9,"PROV",[2]Tablas!$A$117,"SEFIS",AF$52,"CANT",[2]Tablas!$A73),0)</f>
        <v>2</v>
      </c>
      <c r="AG103" s="15">
        <f ca="1">IFERROR(GETPIVOTDATA("Cuenta de CANT",Tabla9,"PROV",[2]Tablas!$A$117,"SEFIS",AG$52,"CANT",[2]Tablas!$A73),0)</f>
        <v>4</v>
      </c>
      <c r="AH103" s="15">
        <f ca="1">IFERROR(GETPIVOTDATA("Cuenta de CANT",Tabla9,"PROV",[2]Tablas!$A$117,"SEFIS",AH$52,"CANT",[2]Tablas!$A73),0)</f>
        <v>3</v>
      </c>
      <c r="AI103" s="15">
        <f ca="1">IFERROR(GETPIVOTDATA("Cuenta de CANT",Tabla9,"PROV",[2]Tablas!$A$117,"SEFIS",AI$52,"CANT",[2]Tablas!$A73),0)</f>
        <v>5</v>
      </c>
      <c r="AJ103" s="15">
        <f ca="1">IFERROR(GETPIVOTDATA("Cuenta de CANT",Tabla9,"PROV",[2]Tablas!$A$117,"SEFIS",AJ$52,"CANT",[2]Tablas!$A73),0)</f>
        <v>2</v>
      </c>
      <c r="AK103" s="15">
        <f ca="1">IFERROR(GETPIVOTDATA("Cuenta de CANT",Tabla9,"PROV",[2]Tablas!$A$117,"SEFIS",AK$52,"CANT",[2]Tablas!$A73),0)</f>
        <v>1</v>
      </c>
      <c r="AL103" s="15">
        <f ca="1">IFERROR(GETPIVOTDATA("Cuenta de CANT",Tabla9,"PROV",[2]Tablas!$A$117,"SEFIS",AL$52,"CANT",[2]Tablas!$A73),0)</f>
        <v>2</v>
      </c>
      <c r="AM103" s="15">
        <f ca="1">IFERROR(GETPIVOTDATA("Cuenta de CANT",Tabla9,"PROV",[2]Tablas!$A$117,"SEFIS",AM$52,"CANT",[2]Tablas!$A73),0)</f>
        <v>4</v>
      </c>
      <c r="AN103" s="15">
        <f ca="1">IFERROR(GETPIVOTDATA("Cuenta de CANT",Tabla9,"PROV",[2]Tablas!$A$117,"SEFIS",AN$52,"CANT",[2]Tablas!$A73),0)</f>
        <v>2</v>
      </c>
      <c r="AO103" s="15">
        <f ca="1">IFERROR(GETPIVOTDATA("Cuenta de CANT",Tabla9,"PROV",[2]Tablas!$A$117,"SEFIS",AO$52,"CANT",[2]Tablas!$A73),0)</f>
        <v>6</v>
      </c>
      <c r="AP103" s="15">
        <f ca="1">IFERROR(GETPIVOTDATA("Cuenta de CANT",Tabla9,"PROV",[2]Tablas!$A$117,"SEFIS",AP$52,"CANT",[2]Tablas!$A73),0)</f>
        <v>0</v>
      </c>
      <c r="AQ103" s="15">
        <f ca="1">IFERROR(GETPIVOTDATA("Cuenta de CANT",Tabla9,"PROV",[2]Tablas!$A$117,"SEFIS",AQ$52,"CANT",[2]Tablas!$A73),0)</f>
        <v>1</v>
      </c>
      <c r="AR103" s="15">
        <f ca="1">IFERROR(GETPIVOTDATA("Cuenta de CANT",Tabla9,"PROV",[2]Tablas!$A$117,"SEFIS",AR$52,"CANT",[2]Tablas!$A73),0)</f>
        <v>2</v>
      </c>
      <c r="AS103" s="15">
        <f ca="1">IFERROR(GETPIVOTDATA("Cuenta de CANT",Tabla9,"PROV",[2]Tablas!$A$117,"SEFIS",AS$52,"CANT",[2]Tablas!$A73),0)</f>
        <v>2</v>
      </c>
      <c r="AT103" s="15">
        <f ca="1">IFERROR(GETPIVOTDATA("Cuenta de CANT",Tabla9,"PROV",[2]Tablas!$A$117,"SEFIS",AT$52,"CANT",[2]Tablas!$A73),0)</f>
        <v>2</v>
      </c>
      <c r="AU103" s="15">
        <f ca="1">IFERROR(GETPIVOTDATA("Cuenta de CANT",Tabla9,"PROV",[2]Tablas!$A$117,"SEFIS",AU$52,"CANT",[2]Tablas!$A73),0)</f>
        <v>0</v>
      </c>
      <c r="AV103" s="15">
        <f ca="1">IFERROR(GETPIVOTDATA("Cuenta de CANT",Tabla9,"PROV",[2]Tablas!$A$117,"SEFIS",AV$52,"CANT",[2]Tablas!$A73),0)</f>
        <v>3</v>
      </c>
      <c r="AW103" s="15">
        <f ca="1">IFERROR(GETPIVOTDATA("Cuenta de CANT",Tabla9,"PROV",[2]Tablas!$A$117,"SEFIS",AW$52,"CANT",[2]Tablas!$A73),0)</f>
        <v>2</v>
      </c>
      <c r="AX103" s="15">
        <f ca="1">IFERROR(GETPIVOTDATA("Cuenta de CANT",Tabla9,"PROV",[2]Tablas!$A$117,"SEFIS",AX$52,"CANT",[2]Tablas!$A73),0)</f>
        <v>4</v>
      </c>
      <c r="AY103" s="15">
        <f ca="1">IFERROR(GETPIVOTDATA("Cuenta de CANT",Tabla9,"PROV",[2]Tablas!$A$117,"SEFIS",AY$52,"CANT",[2]Tablas!$A73),0)</f>
        <v>2</v>
      </c>
      <c r="AZ103" s="15">
        <f ca="1">IFERROR(GETPIVOTDATA("Cuenta de CANT",Tabla9,"PROV",[2]Tablas!$A$117,"SEFIS",AZ$52,"CANT",[2]Tablas!$A73),0)</f>
        <v>1</v>
      </c>
      <c r="BA103" s="15">
        <f ca="1">IFERROR(GETPIVOTDATA("Cuenta de CANT",Tabla9,"PROV",[2]Tablas!$A$117,"SEFIS",BA$52,"CANT",[2]Tablas!$A73),0)</f>
        <v>1</v>
      </c>
      <c r="BB103" s="15">
        <f ca="1">IFERROR(GETPIVOTDATA("Cuenta de CANT",Tabla9,"PROV",[2]Tablas!$A$117,"SEFIS",BB$52,"CANT",[2]Tablas!$A73),0)</f>
        <v>2</v>
      </c>
      <c r="BC103" s="15">
        <f ca="1">IFERROR(GETPIVOTDATA("Cuenta de CANT",Tabla9,"PROV",[2]Tablas!$A$117,"SEFIS",BC$52,"CANT",[2]Tablas!$A73),0)</f>
        <v>3</v>
      </c>
      <c r="BD103" s="15">
        <f ca="1">IFERROR(GETPIVOTDATA("Cuenta de CANT",Tabla9,"PROV",[2]Tablas!$A$117,"SEFIS",BD$52,"CANT",[2]Tablas!$A73),0)</f>
        <v>0</v>
      </c>
    </row>
    <row r="104" spans="1:56" x14ac:dyDescent="0.35">
      <c r="A104" s="14" t="s">
        <v>195</v>
      </c>
      <c r="B104" s="15">
        <f t="shared" ca="1" si="13"/>
        <v>83</v>
      </c>
      <c r="C104" s="16">
        <f ca="1">IFERROR(B104/[2]Tablas!$B74*100000,"N/D")</f>
        <v>53.143808426174921</v>
      </c>
      <c r="D104" s="15">
        <f ca="1">IFERROR(GETPIVOTDATA("Cuenta de CANT",Tabla9,"PROV",[2]Tablas!$A$117,"SEFIS",D$52,"CANT",[2]Tablas!$A74),0)</f>
        <v>0</v>
      </c>
      <c r="E104" s="15">
        <f ca="1">IFERROR(GETPIVOTDATA("Cuenta de CANT",Tabla9,"PROV",[2]Tablas!$A$117,"SEFIS",E$52,"CANT",[2]Tablas!$A74),0)</f>
        <v>0</v>
      </c>
      <c r="F104" s="15">
        <f ca="1">IFERROR(GETPIVOTDATA("Cuenta de CANT",Tabla9,"PROV",[2]Tablas!$A$117,"SEFIS",F$52,"CANT",[2]Tablas!$A74),0)</f>
        <v>1</v>
      </c>
      <c r="G104" s="15">
        <f ca="1">IFERROR(GETPIVOTDATA("Cuenta de CANT",Tabla9,"PROV",[2]Tablas!$A$117,"SEFIS",G$52,"CANT",[2]Tablas!$A74),0)</f>
        <v>0</v>
      </c>
      <c r="H104" s="15">
        <f ca="1">IFERROR(GETPIVOTDATA("Cuenta de CANT",Tabla9,"PROV",[2]Tablas!$A$117,"SEFIS",H$52,"CANT",[2]Tablas!$A74),0)</f>
        <v>1</v>
      </c>
      <c r="I104" s="15">
        <f ca="1">IFERROR(GETPIVOTDATA("Cuenta de CANT",Tabla9,"PROV",[2]Tablas!$A$117,"SEFIS",I$52,"CANT",[2]Tablas!$A74),0)</f>
        <v>0</v>
      </c>
      <c r="J104" s="15">
        <f ca="1">IFERROR(GETPIVOTDATA("Cuenta de CANT",Tabla9,"PROV",[2]Tablas!$A$117,"SEFIS",J$52,"CANT",[2]Tablas!$A74),0)</f>
        <v>1</v>
      </c>
      <c r="K104" s="15">
        <f ca="1">IFERROR(GETPIVOTDATA("Cuenta de CANT",Tabla9,"PROV",[2]Tablas!$A$117,"SEFIS",K$52,"CANT",[2]Tablas!$A74),0)</f>
        <v>1</v>
      </c>
      <c r="L104" s="15">
        <f ca="1">IFERROR(GETPIVOTDATA("Cuenta de CANT",Tabla9,"PROV",[2]Tablas!$A$117,"SEFIS",L$52,"CANT",[2]Tablas!$A74),0)</f>
        <v>3</v>
      </c>
      <c r="M104" s="15">
        <f ca="1">IFERROR(GETPIVOTDATA("Cuenta de CANT",Tabla9,"PROV",[2]Tablas!$A$117,"SEFIS",M$52,"CANT",[2]Tablas!$A74),0)</f>
        <v>1</v>
      </c>
      <c r="N104" s="15">
        <f ca="1">IFERROR(GETPIVOTDATA("Cuenta de CANT",Tabla9,"PROV",[2]Tablas!$A$117,"SEFIS",N$52,"CANT",[2]Tablas!$A74),0)</f>
        <v>0</v>
      </c>
      <c r="O104" s="15">
        <f ca="1">IFERROR(GETPIVOTDATA("Cuenta de CANT",Tabla9,"PROV",[2]Tablas!$A$117,"SEFIS",O$52,"CANT",[2]Tablas!$A74),0)</f>
        <v>2</v>
      </c>
      <c r="P104" s="15">
        <f ca="1">IFERROR(GETPIVOTDATA("Cuenta de CANT",Tabla9,"PROV",[2]Tablas!$A$117,"SEFIS",P$52,"CANT",[2]Tablas!$A74),0)</f>
        <v>0</v>
      </c>
      <c r="Q104" s="15">
        <f ca="1">IFERROR(GETPIVOTDATA("Cuenta de CANT",Tabla9,"PROV",[2]Tablas!$A$117,"SEFIS",Q$52,"CANT",[2]Tablas!$A74),0)</f>
        <v>3</v>
      </c>
      <c r="R104" s="15">
        <f ca="1">IFERROR(GETPIVOTDATA("Cuenta de CANT",Tabla9,"PROV",[2]Tablas!$A$117,"SEFIS",R$52,"CANT",[2]Tablas!$A74),0)</f>
        <v>0</v>
      </c>
      <c r="S104" s="15">
        <f ca="1">IFERROR(GETPIVOTDATA("Cuenta de CANT",Tabla9,"PROV",[2]Tablas!$A$117,"SEFIS",S$52,"CANT",[2]Tablas!$A74),0)</f>
        <v>0</v>
      </c>
      <c r="T104" s="15">
        <f ca="1">IFERROR(GETPIVOTDATA("Cuenta de CANT",Tabla9,"PROV",[2]Tablas!$A$117,"SEFIS",T$52,"CANT",[2]Tablas!$A74),0)</f>
        <v>0</v>
      </c>
      <c r="U104" s="15">
        <f ca="1">IFERROR(GETPIVOTDATA("Cuenta de CANT",Tabla9,"PROV",[2]Tablas!$A$117,"SEFIS",U$52,"CANT",[2]Tablas!$A74),0)</f>
        <v>2</v>
      </c>
      <c r="V104" s="15">
        <f ca="1">IFERROR(GETPIVOTDATA("Cuenta de CANT",Tabla9,"PROV",[2]Tablas!$A$117,"SEFIS",V$52,"CANT",[2]Tablas!$A74),0)</f>
        <v>2</v>
      </c>
      <c r="W104" s="15">
        <f ca="1">IFERROR(GETPIVOTDATA("Cuenta de CANT",Tabla9,"PROV",[2]Tablas!$A$117,"SEFIS",W$52,"CANT",[2]Tablas!$A74),0)</f>
        <v>0</v>
      </c>
      <c r="X104" s="15">
        <f ca="1">IFERROR(GETPIVOTDATA("Cuenta de CANT",Tabla9,"PROV",[2]Tablas!$A$117,"SEFIS",X$52,"CANT",[2]Tablas!$A74),0)</f>
        <v>1</v>
      </c>
      <c r="Y104" s="15">
        <f ca="1">IFERROR(GETPIVOTDATA("Cuenta de CANT",Tabla9,"PROV",[2]Tablas!$A$117,"SEFIS",Y$52,"CANT",[2]Tablas!$A74),0)</f>
        <v>1</v>
      </c>
      <c r="Z104" s="15">
        <f ca="1">IFERROR(GETPIVOTDATA("Cuenta de CANT",Tabla9,"PROV",[2]Tablas!$A$117,"SEFIS",Z$52,"CANT",[2]Tablas!$A74),0)</f>
        <v>0</v>
      </c>
      <c r="AA104" s="15">
        <f ca="1">IFERROR(GETPIVOTDATA("Cuenta de CANT",Tabla9,"PROV",[2]Tablas!$A$117,"SEFIS",AA$52,"CANT",[2]Tablas!$A74),0)</f>
        <v>1</v>
      </c>
      <c r="AB104" s="15">
        <f ca="1">IFERROR(GETPIVOTDATA("Cuenta de CANT",Tabla9,"PROV",[2]Tablas!$A$117,"SEFIS",AB$52,"CANT",[2]Tablas!$A74),0)</f>
        <v>1</v>
      </c>
      <c r="AC104" s="15">
        <f ca="1">IFERROR(GETPIVOTDATA("Cuenta de CANT",Tabla9,"PROV",[2]Tablas!$A$117,"SEFIS",AC$52,"CANT",[2]Tablas!$A74),0)</f>
        <v>3</v>
      </c>
      <c r="AD104" s="15">
        <f ca="1">IFERROR(GETPIVOTDATA("Cuenta de CANT",Tabla9,"PROV",[2]Tablas!$A$117,"SEFIS",AD$52,"CANT",[2]Tablas!$A74),0)</f>
        <v>1</v>
      </c>
      <c r="AE104" s="15">
        <f ca="1">IFERROR(GETPIVOTDATA("Cuenta de CANT",Tabla9,"PROV",[2]Tablas!$A$117,"SEFIS",AE$52,"CANT",[2]Tablas!$A74),0)</f>
        <v>2</v>
      </c>
      <c r="AF104" s="15">
        <f ca="1">IFERROR(GETPIVOTDATA("Cuenta de CANT",Tabla9,"PROV",[2]Tablas!$A$117,"SEFIS",AF$52,"CANT",[2]Tablas!$A74),0)</f>
        <v>0</v>
      </c>
      <c r="AG104" s="15">
        <f ca="1">IFERROR(GETPIVOTDATA("Cuenta de CANT",Tabla9,"PROV",[2]Tablas!$A$117,"SEFIS",AG$52,"CANT",[2]Tablas!$A74),0)</f>
        <v>0</v>
      </c>
      <c r="AH104" s="15">
        <f ca="1">IFERROR(GETPIVOTDATA("Cuenta de CANT",Tabla9,"PROV",[2]Tablas!$A$117,"SEFIS",AH$52,"CANT",[2]Tablas!$A74),0)</f>
        <v>0</v>
      </c>
      <c r="AI104" s="15">
        <f ca="1">IFERROR(GETPIVOTDATA("Cuenta de CANT",Tabla9,"PROV",[2]Tablas!$A$117,"SEFIS",AI$52,"CANT",[2]Tablas!$A74),0)</f>
        <v>3</v>
      </c>
      <c r="AJ104" s="15">
        <f ca="1">IFERROR(GETPIVOTDATA("Cuenta de CANT",Tabla9,"PROV",[2]Tablas!$A$117,"SEFIS",AJ$52,"CANT",[2]Tablas!$A74),0)</f>
        <v>2</v>
      </c>
      <c r="AK104" s="15">
        <f ca="1">IFERROR(GETPIVOTDATA("Cuenta de CANT",Tabla9,"PROV",[2]Tablas!$A$117,"SEFIS",AK$52,"CANT",[2]Tablas!$A74),0)</f>
        <v>2</v>
      </c>
      <c r="AL104" s="15">
        <f ca="1">IFERROR(GETPIVOTDATA("Cuenta de CANT",Tabla9,"PROV",[2]Tablas!$A$117,"SEFIS",AL$52,"CANT",[2]Tablas!$A74),0)</f>
        <v>3</v>
      </c>
      <c r="AM104" s="15">
        <f ca="1">IFERROR(GETPIVOTDATA("Cuenta de CANT",Tabla9,"PROV",[2]Tablas!$A$117,"SEFIS",AM$52,"CANT",[2]Tablas!$A74),0)</f>
        <v>2</v>
      </c>
      <c r="AN104" s="15">
        <f ca="1">IFERROR(GETPIVOTDATA("Cuenta de CANT",Tabla9,"PROV",[2]Tablas!$A$117,"SEFIS",AN$52,"CANT",[2]Tablas!$A74),0)</f>
        <v>3</v>
      </c>
      <c r="AO104" s="15">
        <f ca="1">IFERROR(GETPIVOTDATA("Cuenta de CANT",Tabla9,"PROV",[2]Tablas!$A$117,"SEFIS",AO$52,"CANT",[2]Tablas!$A74),0)</f>
        <v>1</v>
      </c>
      <c r="AP104" s="15">
        <f ca="1">IFERROR(GETPIVOTDATA("Cuenta de CANT",Tabla9,"PROV",[2]Tablas!$A$117,"SEFIS",AP$52,"CANT",[2]Tablas!$A74),0)</f>
        <v>3</v>
      </c>
      <c r="AQ104" s="15">
        <f ca="1">IFERROR(GETPIVOTDATA("Cuenta de CANT",Tabla9,"PROV",[2]Tablas!$A$117,"SEFIS",AQ$52,"CANT",[2]Tablas!$A74),0)</f>
        <v>4</v>
      </c>
      <c r="AR104" s="15">
        <f ca="1">IFERROR(GETPIVOTDATA("Cuenta de CANT",Tabla9,"PROV",[2]Tablas!$A$117,"SEFIS",AR$52,"CANT",[2]Tablas!$A74),0)</f>
        <v>1</v>
      </c>
      <c r="AS104" s="15">
        <f ca="1">IFERROR(GETPIVOTDATA("Cuenta de CANT",Tabla9,"PROV",[2]Tablas!$A$117,"SEFIS",AS$52,"CANT",[2]Tablas!$A74),0)</f>
        <v>1</v>
      </c>
      <c r="AT104" s="15">
        <f ca="1">IFERROR(GETPIVOTDATA("Cuenta de CANT",Tabla9,"PROV",[2]Tablas!$A$117,"SEFIS",AT$52,"CANT",[2]Tablas!$A74),0)</f>
        <v>3</v>
      </c>
      <c r="AU104" s="15">
        <f ca="1">IFERROR(GETPIVOTDATA("Cuenta de CANT",Tabla9,"PROV",[2]Tablas!$A$117,"SEFIS",AU$52,"CANT",[2]Tablas!$A74),0)</f>
        <v>2</v>
      </c>
      <c r="AV104" s="15">
        <f ca="1">IFERROR(GETPIVOTDATA("Cuenta de CANT",Tabla9,"PROV",[2]Tablas!$A$117,"SEFIS",AV$52,"CANT",[2]Tablas!$A74),0)</f>
        <v>1</v>
      </c>
      <c r="AW104" s="15">
        <f ca="1">IFERROR(GETPIVOTDATA("Cuenta de CANT",Tabla9,"PROV",[2]Tablas!$A$117,"SEFIS",AW$52,"CANT",[2]Tablas!$A74),0)</f>
        <v>2</v>
      </c>
      <c r="AX104" s="15">
        <f ca="1">IFERROR(GETPIVOTDATA("Cuenta de CANT",Tabla9,"PROV",[2]Tablas!$A$117,"SEFIS",AX$52,"CANT",[2]Tablas!$A74),0)</f>
        <v>5</v>
      </c>
      <c r="AY104" s="15">
        <f ca="1">IFERROR(GETPIVOTDATA("Cuenta de CANT",Tabla9,"PROV",[2]Tablas!$A$117,"SEFIS",AY$52,"CANT",[2]Tablas!$A74),0)</f>
        <v>3</v>
      </c>
      <c r="AZ104" s="15">
        <f ca="1">IFERROR(GETPIVOTDATA("Cuenta de CANT",Tabla9,"PROV",[2]Tablas!$A$117,"SEFIS",AZ$52,"CANT",[2]Tablas!$A74),0)</f>
        <v>4</v>
      </c>
      <c r="BA104" s="15">
        <f ca="1">IFERROR(GETPIVOTDATA("Cuenta de CANT",Tabla9,"PROV",[2]Tablas!$A$117,"SEFIS",BA$52,"CANT",[2]Tablas!$A74),0)</f>
        <v>11</v>
      </c>
      <c r="BB104" s="15">
        <f ca="1">IFERROR(GETPIVOTDATA("Cuenta de CANT",Tabla9,"PROV",[2]Tablas!$A$117,"SEFIS",BB$52,"CANT",[2]Tablas!$A74),0)</f>
        <v>0</v>
      </c>
      <c r="BC104" s="15">
        <f ca="1">IFERROR(GETPIVOTDATA("Cuenta de CANT",Tabla9,"PROV",[2]Tablas!$A$117,"SEFIS",BC$52,"CANT",[2]Tablas!$A74),0)</f>
        <v>0</v>
      </c>
      <c r="BD104" s="15">
        <f ca="1">IFERROR(GETPIVOTDATA("Cuenta de CANT",Tabla9,"PROV",[2]Tablas!$A$117,"SEFIS",BD$52,"CANT",[2]Tablas!$A74),0)</f>
        <v>0</v>
      </c>
    </row>
    <row r="105" spans="1:56" x14ac:dyDescent="0.35">
      <c r="A105" s="14" t="s">
        <v>196</v>
      </c>
      <c r="B105" s="15">
        <f t="shared" ca="1" si="13"/>
        <v>26</v>
      </c>
      <c r="C105" s="16">
        <f ca="1">IFERROR(B105/[2]Tablas!$B75*100000,"N/D")</f>
        <v>45.521395055676166</v>
      </c>
      <c r="D105" s="15">
        <f ca="1">IFERROR(GETPIVOTDATA("Cuenta de CANT",Tabla9,"PROV",[2]Tablas!$A$117,"SEFIS",D$52,"CANT",[2]Tablas!$A75),0)</f>
        <v>1</v>
      </c>
      <c r="E105" s="15">
        <f ca="1">IFERROR(GETPIVOTDATA("Cuenta de CANT",Tabla9,"PROV",[2]Tablas!$A$117,"SEFIS",E$52,"CANT",[2]Tablas!$A75),0)</f>
        <v>1</v>
      </c>
      <c r="F105" s="15">
        <f ca="1">IFERROR(GETPIVOTDATA("Cuenta de CANT",Tabla9,"PROV",[2]Tablas!$A$117,"SEFIS",F$52,"CANT",[2]Tablas!$A75),0)</f>
        <v>2</v>
      </c>
      <c r="G105" s="15">
        <f ca="1">IFERROR(GETPIVOTDATA("Cuenta de CANT",Tabla9,"PROV",[2]Tablas!$A$117,"SEFIS",G$52,"CANT",[2]Tablas!$A75),0)</f>
        <v>0</v>
      </c>
      <c r="H105" s="15">
        <f ca="1">IFERROR(GETPIVOTDATA("Cuenta de CANT",Tabla9,"PROV",[2]Tablas!$A$117,"SEFIS",H$52,"CANT",[2]Tablas!$A75),0)</f>
        <v>0</v>
      </c>
      <c r="I105" s="15">
        <f ca="1">IFERROR(GETPIVOTDATA("Cuenta de CANT",Tabla9,"PROV",[2]Tablas!$A$117,"SEFIS",I$52,"CANT",[2]Tablas!$A75),0)</f>
        <v>0</v>
      </c>
      <c r="J105" s="15">
        <f ca="1">IFERROR(GETPIVOTDATA("Cuenta de CANT",Tabla9,"PROV",[2]Tablas!$A$117,"SEFIS",J$52,"CANT",[2]Tablas!$A75),0)</f>
        <v>0</v>
      </c>
      <c r="K105" s="15">
        <f ca="1">IFERROR(GETPIVOTDATA("Cuenta de CANT",Tabla9,"PROV",[2]Tablas!$A$117,"SEFIS",K$52,"CANT",[2]Tablas!$A75),0)</f>
        <v>0</v>
      </c>
      <c r="L105" s="15">
        <f ca="1">IFERROR(GETPIVOTDATA("Cuenta de CANT",Tabla9,"PROV",[2]Tablas!$A$117,"SEFIS",L$52,"CANT",[2]Tablas!$A75),0)</f>
        <v>0</v>
      </c>
      <c r="M105" s="15">
        <f ca="1">IFERROR(GETPIVOTDATA("Cuenta de CANT",Tabla9,"PROV",[2]Tablas!$A$117,"SEFIS",M$52,"CANT",[2]Tablas!$A75),0)</f>
        <v>0</v>
      </c>
      <c r="N105" s="15">
        <f ca="1">IFERROR(GETPIVOTDATA("Cuenta de CANT",Tabla9,"PROV",[2]Tablas!$A$117,"SEFIS",N$52,"CANT",[2]Tablas!$A75),0)</f>
        <v>0</v>
      </c>
      <c r="O105" s="15">
        <f ca="1">IFERROR(GETPIVOTDATA("Cuenta de CANT",Tabla9,"PROV",[2]Tablas!$A$117,"SEFIS",O$52,"CANT",[2]Tablas!$A75),0)</f>
        <v>0</v>
      </c>
      <c r="P105" s="15">
        <f ca="1">IFERROR(GETPIVOTDATA("Cuenta de CANT",Tabla9,"PROV",[2]Tablas!$A$117,"SEFIS",P$52,"CANT",[2]Tablas!$A75),0)</f>
        <v>0</v>
      </c>
      <c r="Q105" s="15">
        <f ca="1">IFERROR(GETPIVOTDATA("Cuenta de CANT",Tabla9,"PROV",[2]Tablas!$A$117,"SEFIS",Q$52,"CANT",[2]Tablas!$A75),0)</f>
        <v>0</v>
      </c>
      <c r="R105" s="15">
        <f ca="1">IFERROR(GETPIVOTDATA("Cuenta de CANT",Tabla9,"PROV",[2]Tablas!$A$117,"SEFIS",R$52,"CANT",[2]Tablas!$A75),0)</f>
        <v>0</v>
      </c>
      <c r="S105" s="15">
        <f ca="1">IFERROR(GETPIVOTDATA("Cuenta de CANT",Tabla9,"PROV",[2]Tablas!$A$117,"SEFIS",S$52,"CANT",[2]Tablas!$A75),0)</f>
        <v>0</v>
      </c>
      <c r="T105" s="15">
        <f ca="1">IFERROR(GETPIVOTDATA("Cuenta de CANT",Tabla9,"PROV",[2]Tablas!$A$117,"SEFIS",T$52,"CANT",[2]Tablas!$A75),0)</f>
        <v>0</v>
      </c>
      <c r="U105" s="15">
        <f ca="1">IFERROR(GETPIVOTDATA("Cuenta de CANT",Tabla9,"PROV",[2]Tablas!$A$117,"SEFIS",U$52,"CANT",[2]Tablas!$A75),0)</f>
        <v>0</v>
      </c>
      <c r="V105" s="15">
        <f ca="1">IFERROR(GETPIVOTDATA("Cuenta de CANT",Tabla9,"PROV",[2]Tablas!$A$117,"SEFIS",V$52,"CANT",[2]Tablas!$A75),0)</f>
        <v>0</v>
      </c>
      <c r="W105" s="15">
        <f ca="1">IFERROR(GETPIVOTDATA("Cuenta de CANT",Tabla9,"PROV",[2]Tablas!$A$117,"SEFIS",W$52,"CANT",[2]Tablas!$A75),0)</f>
        <v>0</v>
      </c>
      <c r="X105" s="15">
        <f ca="1">IFERROR(GETPIVOTDATA("Cuenta de CANT",Tabla9,"PROV",[2]Tablas!$A$117,"SEFIS",X$52,"CANT",[2]Tablas!$A75),0)</f>
        <v>0</v>
      </c>
      <c r="Y105" s="15">
        <f ca="1">IFERROR(GETPIVOTDATA("Cuenta de CANT",Tabla9,"PROV",[2]Tablas!$A$117,"SEFIS",Y$52,"CANT",[2]Tablas!$A75),0)</f>
        <v>0</v>
      </c>
      <c r="Z105" s="15">
        <f ca="1">IFERROR(GETPIVOTDATA("Cuenta de CANT",Tabla9,"PROV",[2]Tablas!$A$117,"SEFIS",Z$52,"CANT",[2]Tablas!$A75),0)</f>
        <v>0</v>
      </c>
      <c r="AA105" s="15">
        <f ca="1">IFERROR(GETPIVOTDATA("Cuenta de CANT",Tabla9,"PROV",[2]Tablas!$A$117,"SEFIS",AA$52,"CANT",[2]Tablas!$A75),0)</f>
        <v>0</v>
      </c>
      <c r="AB105" s="15">
        <f ca="1">IFERROR(GETPIVOTDATA("Cuenta de CANT",Tabla9,"PROV",[2]Tablas!$A$117,"SEFIS",AB$52,"CANT",[2]Tablas!$A75),0)</f>
        <v>0</v>
      </c>
      <c r="AC105" s="15">
        <f ca="1">IFERROR(GETPIVOTDATA("Cuenta de CANT",Tabla9,"PROV",[2]Tablas!$A$117,"SEFIS",AC$52,"CANT",[2]Tablas!$A75),0)</f>
        <v>0</v>
      </c>
      <c r="AD105" s="15">
        <f ca="1">IFERROR(GETPIVOTDATA("Cuenta de CANT",Tabla9,"PROV",[2]Tablas!$A$117,"SEFIS",AD$52,"CANT",[2]Tablas!$A75),0)</f>
        <v>0</v>
      </c>
      <c r="AE105" s="15">
        <f ca="1">IFERROR(GETPIVOTDATA("Cuenta de CANT",Tabla9,"PROV",[2]Tablas!$A$117,"SEFIS",AE$52,"CANT",[2]Tablas!$A75),0)</f>
        <v>0</v>
      </c>
      <c r="AF105" s="15">
        <f ca="1">IFERROR(GETPIVOTDATA("Cuenta de CANT",Tabla9,"PROV",[2]Tablas!$A$117,"SEFIS",AF$52,"CANT",[2]Tablas!$A75),0)</f>
        <v>0</v>
      </c>
      <c r="AG105" s="15">
        <f ca="1">IFERROR(GETPIVOTDATA("Cuenta de CANT",Tabla9,"PROV",[2]Tablas!$A$117,"SEFIS",AG$52,"CANT",[2]Tablas!$A75),0)</f>
        <v>1</v>
      </c>
      <c r="AH105" s="15">
        <f ca="1">IFERROR(GETPIVOTDATA("Cuenta de CANT",Tabla9,"PROV",[2]Tablas!$A$117,"SEFIS",AH$52,"CANT",[2]Tablas!$A75),0)</f>
        <v>0</v>
      </c>
      <c r="AI105" s="15">
        <f ca="1">IFERROR(GETPIVOTDATA("Cuenta de CANT",Tabla9,"PROV",[2]Tablas!$A$117,"SEFIS",AI$52,"CANT",[2]Tablas!$A75),0)</f>
        <v>1</v>
      </c>
      <c r="AJ105" s="15">
        <f ca="1">IFERROR(GETPIVOTDATA("Cuenta de CANT",Tabla9,"PROV",[2]Tablas!$A$117,"SEFIS",AJ$52,"CANT",[2]Tablas!$A75),0)</f>
        <v>2</v>
      </c>
      <c r="AK105" s="15">
        <f ca="1">IFERROR(GETPIVOTDATA("Cuenta de CANT",Tabla9,"PROV",[2]Tablas!$A$117,"SEFIS",AK$52,"CANT",[2]Tablas!$A75),0)</f>
        <v>1</v>
      </c>
      <c r="AL105" s="15">
        <f ca="1">IFERROR(GETPIVOTDATA("Cuenta de CANT",Tabla9,"PROV",[2]Tablas!$A$117,"SEFIS",AL$52,"CANT",[2]Tablas!$A75),0)</f>
        <v>2</v>
      </c>
      <c r="AM105" s="15">
        <f ca="1">IFERROR(GETPIVOTDATA("Cuenta de CANT",Tabla9,"PROV",[2]Tablas!$A$117,"SEFIS",AM$52,"CANT",[2]Tablas!$A75),0)</f>
        <v>1</v>
      </c>
      <c r="AN105" s="15">
        <f ca="1">IFERROR(GETPIVOTDATA("Cuenta de CANT",Tabla9,"PROV",[2]Tablas!$A$117,"SEFIS",AN$52,"CANT",[2]Tablas!$A75),0)</f>
        <v>0</v>
      </c>
      <c r="AO105" s="15">
        <f ca="1">IFERROR(GETPIVOTDATA("Cuenta de CANT",Tabla9,"PROV",[2]Tablas!$A$117,"SEFIS",AO$52,"CANT",[2]Tablas!$A75),0)</f>
        <v>1</v>
      </c>
      <c r="AP105" s="15">
        <f ca="1">IFERROR(GETPIVOTDATA("Cuenta de CANT",Tabla9,"PROV",[2]Tablas!$A$117,"SEFIS",AP$52,"CANT",[2]Tablas!$A75),0)</f>
        <v>1</v>
      </c>
      <c r="AQ105" s="15">
        <f ca="1">IFERROR(GETPIVOTDATA("Cuenta de CANT",Tabla9,"PROV",[2]Tablas!$A$117,"SEFIS",AQ$52,"CANT",[2]Tablas!$A75),0)</f>
        <v>0</v>
      </c>
      <c r="AR105" s="15">
        <f ca="1">IFERROR(GETPIVOTDATA("Cuenta de CANT",Tabla9,"PROV",[2]Tablas!$A$117,"SEFIS",AR$52,"CANT",[2]Tablas!$A75),0)</f>
        <v>1</v>
      </c>
      <c r="AS105" s="15">
        <f ca="1">IFERROR(GETPIVOTDATA("Cuenta de CANT",Tabla9,"PROV",[2]Tablas!$A$117,"SEFIS",AS$52,"CANT",[2]Tablas!$A75),0)</f>
        <v>0</v>
      </c>
      <c r="AT105" s="15">
        <f ca="1">IFERROR(GETPIVOTDATA("Cuenta de CANT",Tabla9,"PROV",[2]Tablas!$A$117,"SEFIS",AT$52,"CANT",[2]Tablas!$A75),0)</f>
        <v>1</v>
      </c>
      <c r="AU105" s="15">
        <f ca="1">IFERROR(GETPIVOTDATA("Cuenta de CANT",Tabla9,"PROV",[2]Tablas!$A$117,"SEFIS",AU$52,"CANT",[2]Tablas!$A75),0)</f>
        <v>0</v>
      </c>
      <c r="AV105" s="15">
        <f ca="1">IFERROR(GETPIVOTDATA("Cuenta de CANT",Tabla9,"PROV",[2]Tablas!$A$117,"SEFIS",AV$52,"CANT",[2]Tablas!$A75),0)</f>
        <v>2</v>
      </c>
      <c r="AW105" s="15">
        <f ca="1">IFERROR(GETPIVOTDATA("Cuenta de CANT",Tabla9,"PROV",[2]Tablas!$A$117,"SEFIS",AW$52,"CANT",[2]Tablas!$A75),0)</f>
        <v>2</v>
      </c>
      <c r="AX105" s="15">
        <f ca="1">IFERROR(GETPIVOTDATA("Cuenta de CANT",Tabla9,"PROV",[2]Tablas!$A$117,"SEFIS",AX$52,"CANT",[2]Tablas!$A75),0)</f>
        <v>1</v>
      </c>
      <c r="AY105" s="15">
        <f ca="1">IFERROR(GETPIVOTDATA("Cuenta de CANT",Tabla9,"PROV",[2]Tablas!$A$117,"SEFIS",AY$52,"CANT",[2]Tablas!$A75),0)</f>
        <v>1</v>
      </c>
      <c r="AZ105" s="15">
        <f ca="1">IFERROR(GETPIVOTDATA("Cuenta de CANT",Tabla9,"PROV",[2]Tablas!$A$117,"SEFIS",AZ$52,"CANT",[2]Tablas!$A75),0)</f>
        <v>1</v>
      </c>
      <c r="BA105" s="15">
        <f ca="1">IFERROR(GETPIVOTDATA("Cuenta de CANT",Tabla9,"PROV",[2]Tablas!$A$117,"SEFIS",BA$52,"CANT",[2]Tablas!$A75),0)</f>
        <v>2</v>
      </c>
      <c r="BB105" s="15">
        <f ca="1">IFERROR(GETPIVOTDATA("Cuenta de CANT",Tabla9,"PROV",[2]Tablas!$A$117,"SEFIS",BB$52,"CANT",[2]Tablas!$A75),0)</f>
        <v>1</v>
      </c>
      <c r="BC105" s="15">
        <f ca="1">IFERROR(GETPIVOTDATA("Cuenta de CANT",Tabla9,"PROV",[2]Tablas!$A$117,"SEFIS",BC$52,"CANT",[2]Tablas!$A75),0)</f>
        <v>0</v>
      </c>
      <c r="BD105" s="15">
        <f ca="1">IFERROR(GETPIVOTDATA("Cuenta de CANT",Tabla9,"PROV",[2]Tablas!$A$117,"SEFIS",BD$52,"CANT",[2]Tablas!$A75),0)</f>
        <v>0</v>
      </c>
    </row>
    <row r="106" spans="1:56" x14ac:dyDescent="0.35">
      <c r="A106" s="14" t="s">
        <v>197</v>
      </c>
      <c r="B106" s="15">
        <f t="shared" ca="1" si="13"/>
        <v>35</v>
      </c>
      <c r="C106" s="16">
        <f ca="1">IFERROR(B106/[2]Tablas!$B76*100000,"N/D")</f>
        <v>75.872534142640362</v>
      </c>
      <c r="D106" s="15">
        <f ca="1">IFERROR(GETPIVOTDATA("Cuenta de CANT",Tabla9,"PROV",[2]Tablas!$A$117,"SEFIS",D$52,"CANT",[2]Tablas!$A76),0)</f>
        <v>1</v>
      </c>
      <c r="E106" s="15">
        <f ca="1">IFERROR(GETPIVOTDATA("Cuenta de CANT",Tabla9,"PROV",[2]Tablas!$A$117,"SEFIS",E$52,"CANT",[2]Tablas!$A76),0)</f>
        <v>3</v>
      </c>
      <c r="F106" s="15">
        <f ca="1">IFERROR(GETPIVOTDATA("Cuenta de CANT",Tabla9,"PROV",[2]Tablas!$A$117,"SEFIS",F$52,"CANT",[2]Tablas!$A76),0)</f>
        <v>2</v>
      </c>
      <c r="G106" s="15">
        <f ca="1">IFERROR(GETPIVOTDATA("Cuenta de CANT",Tabla9,"PROV",[2]Tablas!$A$117,"SEFIS",G$52,"CANT",[2]Tablas!$A76),0)</f>
        <v>1</v>
      </c>
      <c r="H106" s="15">
        <f ca="1">IFERROR(GETPIVOTDATA("Cuenta de CANT",Tabla9,"PROV",[2]Tablas!$A$117,"SEFIS",H$52,"CANT",[2]Tablas!$A76),0)</f>
        <v>0</v>
      </c>
      <c r="I106" s="15">
        <f ca="1">IFERROR(GETPIVOTDATA("Cuenta de CANT",Tabla9,"PROV",[2]Tablas!$A$117,"SEFIS",I$52,"CANT",[2]Tablas!$A76),0)</f>
        <v>1</v>
      </c>
      <c r="J106" s="15">
        <f ca="1">IFERROR(GETPIVOTDATA("Cuenta de CANT",Tabla9,"PROV",[2]Tablas!$A$117,"SEFIS",J$52,"CANT",[2]Tablas!$A76),0)</f>
        <v>0</v>
      </c>
      <c r="K106" s="15">
        <f ca="1">IFERROR(GETPIVOTDATA("Cuenta de CANT",Tabla9,"PROV",[2]Tablas!$A$117,"SEFIS",K$52,"CANT",[2]Tablas!$A76),0)</f>
        <v>1</v>
      </c>
      <c r="L106" s="15">
        <f ca="1">IFERROR(GETPIVOTDATA("Cuenta de CANT",Tabla9,"PROV",[2]Tablas!$A$117,"SEFIS",L$52,"CANT",[2]Tablas!$A76),0)</f>
        <v>0</v>
      </c>
      <c r="M106" s="15">
        <f ca="1">IFERROR(GETPIVOTDATA("Cuenta de CANT",Tabla9,"PROV",[2]Tablas!$A$117,"SEFIS",M$52,"CANT",[2]Tablas!$A76),0)</f>
        <v>0</v>
      </c>
      <c r="N106" s="15">
        <f ca="1">IFERROR(GETPIVOTDATA("Cuenta de CANT",Tabla9,"PROV",[2]Tablas!$A$117,"SEFIS",N$52,"CANT",[2]Tablas!$A76),0)</f>
        <v>0</v>
      </c>
      <c r="O106" s="15">
        <f ca="1">IFERROR(GETPIVOTDATA("Cuenta de CANT",Tabla9,"PROV",[2]Tablas!$A$117,"SEFIS",O$52,"CANT",[2]Tablas!$A76),0)</f>
        <v>0</v>
      </c>
      <c r="P106" s="15">
        <f ca="1">IFERROR(GETPIVOTDATA("Cuenta de CANT",Tabla9,"PROV",[2]Tablas!$A$117,"SEFIS",P$52,"CANT",[2]Tablas!$A76),0)</f>
        <v>0</v>
      </c>
      <c r="Q106" s="15">
        <f ca="1">IFERROR(GETPIVOTDATA("Cuenta de CANT",Tabla9,"PROV",[2]Tablas!$A$117,"SEFIS",Q$52,"CANT",[2]Tablas!$A76),0)</f>
        <v>1</v>
      </c>
      <c r="R106" s="15">
        <f ca="1">IFERROR(GETPIVOTDATA("Cuenta de CANT",Tabla9,"PROV",[2]Tablas!$A$117,"SEFIS",R$52,"CANT",[2]Tablas!$A76),0)</f>
        <v>0</v>
      </c>
      <c r="S106" s="15">
        <f ca="1">IFERROR(GETPIVOTDATA("Cuenta de CANT",Tabla9,"PROV",[2]Tablas!$A$117,"SEFIS",S$52,"CANT",[2]Tablas!$A76),0)</f>
        <v>0</v>
      </c>
      <c r="T106" s="15">
        <f ca="1">IFERROR(GETPIVOTDATA("Cuenta de CANT",Tabla9,"PROV",[2]Tablas!$A$117,"SEFIS",T$52,"CANT",[2]Tablas!$A76),0)</f>
        <v>0</v>
      </c>
      <c r="U106" s="15">
        <f ca="1">IFERROR(GETPIVOTDATA("Cuenta de CANT",Tabla9,"PROV",[2]Tablas!$A$117,"SEFIS",U$52,"CANT",[2]Tablas!$A76),0)</f>
        <v>0</v>
      </c>
      <c r="V106" s="15">
        <f ca="1">IFERROR(GETPIVOTDATA("Cuenta de CANT",Tabla9,"PROV",[2]Tablas!$A$117,"SEFIS",V$52,"CANT",[2]Tablas!$A76),0)</f>
        <v>0</v>
      </c>
      <c r="W106" s="15">
        <f ca="1">IFERROR(GETPIVOTDATA("Cuenta de CANT",Tabla9,"PROV",[2]Tablas!$A$117,"SEFIS",W$52,"CANT",[2]Tablas!$A76),0)</f>
        <v>0</v>
      </c>
      <c r="X106" s="15">
        <f ca="1">IFERROR(GETPIVOTDATA("Cuenta de CANT",Tabla9,"PROV",[2]Tablas!$A$117,"SEFIS",X$52,"CANT",[2]Tablas!$A76),0)</f>
        <v>0</v>
      </c>
      <c r="Y106" s="15">
        <f ca="1">IFERROR(GETPIVOTDATA("Cuenta de CANT",Tabla9,"PROV",[2]Tablas!$A$117,"SEFIS",Y$52,"CANT",[2]Tablas!$A76),0)</f>
        <v>0</v>
      </c>
      <c r="Z106" s="15">
        <f ca="1">IFERROR(GETPIVOTDATA("Cuenta de CANT",Tabla9,"PROV",[2]Tablas!$A$117,"SEFIS",Z$52,"CANT",[2]Tablas!$A76),0)</f>
        <v>0</v>
      </c>
      <c r="AA106" s="15">
        <f ca="1">IFERROR(GETPIVOTDATA("Cuenta de CANT",Tabla9,"PROV",[2]Tablas!$A$117,"SEFIS",AA$52,"CANT",[2]Tablas!$A76),0)</f>
        <v>0</v>
      </c>
      <c r="AB106" s="15">
        <f ca="1">IFERROR(GETPIVOTDATA("Cuenta de CANT",Tabla9,"PROV",[2]Tablas!$A$117,"SEFIS",AB$52,"CANT",[2]Tablas!$A76),0)</f>
        <v>0</v>
      </c>
      <c r="AC106" s="15">
        <f ca="1">IFERROR(GETPIVOTDATA("Cuenta de CANT",Tabla9,"PROV",[2]Tablas!$A$117,"SEFIS",AC$52,"CANT",[2]Tablas!$A76),0)</f>
        <v>0</v>
      </c>
      <c r="AD106" s="15">
        <f ca="1">IFERROR(GETPIVOTDATA("Cuenta de CANT",Tabla9,"PROV",[2]Tablas!$A$117,"SEFIS",AD$52,"CANT",[2]Tablas!$A76),0)</f>
        <v>0</v>
      </c>
      <c r="AE106" s="15">
        <f ca="1">IFERROR(GETPIVOTDATA("Cuenta de CANT",Tabla9,"PROV",[2]Tablas!$A$117,"SEFIS",AE$52,"CANT",[2]Tablas!$A76),0)</f>
        <v>0</v>
      </c>
      <c r="AF106" s="15">
        <f ca="1">IFERROR(GETPIVOTDATA("Cuenta de CANT",Tabla9,"PROV",[2]Tablas!$A$117,"SEFIS",AF$52,"CANT",[2]Tablas!$A76),0)</f>
        <v>1</v>
      </c>
      <c r="AG106" s="15">
        <f ca="1">IFERROR(GETPIVOTDATA("Cuenta de CANT",Tabla9,"PROV",[2]Tablas!$A$117,"SEFIS",AG$52,"CANT",[2]Tablas!$A76),0)</f>
        <v>0</v>
      </c>
      <c r="AH106" s="15">
        <f ca="1">IFERROR(GETPIVOTDATA("Cuenta de CANT",Tabla9,"PROV",[2]Tablas!$A$117,"SEFIS",AH$52,"CANT",[2]Tablas!$A76),0)</f>
        <v>0</v>
      </c>
      <c r="AI106" s="15">
        <f ca="1">IFERROR(GETPIVOTDATA("Cuenta de CANT",Tabla9,"PROV",[2]Tablas!$A$117,"SEFIS",AI$52,"CANT",[2]Tablas!$A76),0)</f>
        <v>0</v>
      </c>
      <c r="AJ106" s="15">
        <f ca="1">IFERROR(GETPIVOTDATA("Cuenta de CANT",Tabla9,"PROV",[2]Tablas!$A$117,"SEFIS",AJ$52,"CANT",[2]Tablas!$A76),0)</f>
        <v>0</v>
      </c>
      <c r="AK106" s="15">
        <f ca="1">IFERROR(GETPIVOTDATA("Cuenta de CANT",Tabla9,"PROV",[2]Tablas!$A$117,"SEFIS",AK$52,"CANT",[2]Tablas!$A76),0)</f>
        <v>0</v>
      </c>
      <c r="AL106" s="15">
        <f ca="1">IFERROR(GETPIVOTDATA("Cuenta de CANT",Tabla9,"PROV",[2]Tablas!$A$117,"SEFIS",AL$52,"CANT",[2]Tablas!$A76),0)</f>
        <v>3</v>
      </c>
      <c r="AM106" s="15">
        <f ca="1">IFERROR(GETPIVOTDATA("Cuenta de CANT",Tabla9,"PROV",[2]Tablas!$A$117,"SEFIS",AM$52,"CANT",[2]Tablas!$A76),0)</f>
        <v>3</v>
      </c>
      <c r="AN106" s="15">
        <f ca="1">IFERROR(GETPIVOTDATA("Cuenta de CANT",Tabla9,"PROV",[2]Tablas!$A$117,"SEFIS",AN$52,"CANT",[2]Tablas!$A76),0)</f>
        <v>1</v>
      </c>
      <c r="AO106" s="15">
        <f ca="1">IFERROR(GETPIVOTDATA("Cuenta de CANT",Tabla9,"PROV",[2]Tablas!$A$117,"SEFIS",AO$52,"CANT",[2]Tablas!$A76),0)</f>
        <v>0</v>
      </c>
      <c r="AP106" s="15">
        <f ca="1">IFERROR(GETPIVOTDATA("Cuenta de CANT",Tabla9,"PROV",[2]Tablas!$A$117,"SEFIS",AP$52,"CANT",[2]Tablas!$A76),0)</f>
        <v>2</v>
      </c>
      <c r="AQ106" s="15">
        <f ca="1">IFERROR(GETPIVOTDATA("Cuenta de CANT",Tabla9,"PROV",[2]Tablas!$A$117,"SEFIS",AQ$52,"CANT",[2]Tablas!$A76),0)</f>
        <v>0</v>
      </c>
      <c r="AR106" s="15">
        <f ca="1">IFERROR(GETPIVOTDATA("Cuenta de CANT",Tabla9,"PROV",[2]Tablas!$A$117,"SEFIS",AR$52,"CANT",[2]Tablas!$A76),0)</f>
        <v>2</v>
      </c>
      <c r="AS106" s="15">
        <f ca="1">IFERROR(GETPIVOTDATA("Cuenta de CANT",Tabla9,"PROV",[2]Tablas!$A$117,"SEFIS",AS$52,"CANT",[2]Tablas!$A76),0)</f>
        <v>1</v>
      </c>
      <c r="AT106" s="15">
        <f ca="1">IFERROR(GETPIVOTDATA("Cuenta de CANT",Tabla9,"PROV",[2]Tablas!$A$117,"SEFIS",AT$52,"CANT",[2]Tablas!$A76),0)</f>
        <v>1</v>
      </c>
      <c r="AU106" s="15">
        <f ca="1">IFERROR(GETPIVOTDATA("Cuenta de CANT",Tabla9,"PROV",[2]Tablas!$A$117,"SEFIS",AU$52,"CANT",[2]Tablas!$A76),0)</f>
        <v>0</v>
      </c>
      <c r="AV106" s="15">
        <f ca="1">IFERROR(GETPIVOTDATA("Cuenta de CANT",Tabla9,"PROV",[2]Tablas!$A$117,"SEFIS",AV$52,"CANT",[2]Tablas!$A76),0)</f>
        <v>1</v>
      </c>
      <c r="AW106" s="15">
        <f ca="1">IFERROR(GETPIVOTDATA("Cuenta de CANT",Tabla9,"PROV",[2]Tablas!$A$117,"SEFIS",AW$52,"CANT",[2]Tablas!$A76),0)</f>
        <v>1</v>
      </c>
      <c r="AX106" s="15">
        <f ca="1">IFERROR(GETPIVOTDATA("Cuenta de CANT",Tabla9,"PROV",[2]Tablas!$A$117,"SEFIS",AX$52,"CANT",[2]Tablas!$A76),0)</f>
        <v>1</v>
      </c>
      <c r="AY106" s="15">
        <f ca="1">IFERROR(GETPIVOTDATA("Cuenta de CANT",Tabla9,"PROV",[2]Tablas!$A$117,"SEFIS",AY$52,"CANT",[2]Tablas!$A76),0)</f>
        <v>0</v>
      </c>
      <c r="AZ106" s="15">
        <f ca="1">IFERROR(GETPIVOTDATA("Cuenta de CANT",Tabla9,"PROV",[2]Tablas!$A$117,"SEFIS",AZ$52,"CANT",[2]Tablas!$A76),0)</f>
        <v>0</v>
      </c>
      <c r="BA106" s="15">
        <f ca="1">IFERROR(GETPIVOTDATA("Cuenta de CANT",Tabla9,"PROV",[2]Tablas!$A$117,"SEFIS",BA$52,"CANT",[2]Tablas!$A76),0)</f>
        <v>4</v>
      </c>
      <c r="BB106" s="15">
        <f ca="1">IFERROR(GETPIVOTDATA("Cuenta de CANT",Tabla9,"PROV",[2]Tablas!$A$117,"SEFIS",BB$52,"CANT",[2]Tablas!$A76),0)</f>
        <v>3</v>
      </c>
      <c r="BC106" s="15">
        <f ca="1">IFERROR(GETPIVOTDATA("Cuenta de CANT",Tabla9,"PROV",[2]Tablas!$A$117,"SEFIS",BC$52,"CANT",[2]Tablas!$A76),0)</f>
        <v>1</v>
      </c>
      <c r="BD106" s="15">
        <f ca="1">IFERROR(GETPIVOTDATA("Cuenta de CANT",Tabla9,"PROV",[2]Tablas!$A$117,"SEFIS",BD$52,"CANT",[2]Tablas!$A76),0)</f>
        <v>0</v>
      </c>
    </row>
    <row r="107" spans="1:56" x14ac:dyDescent="0.35">
      <c r="A107" s="14" t="s">
        <v>198</v>
      </c>
      <c r="B107" s="15">
        <f t="shared" ca="1" si="13"/>
        <v>32</v>
      </c>
      <c r="C107" s="16">
        <f ca="1">IFERROR(B107/[2]Tablas!$B77*100000,"N/D")</f>
        <v>70.348223707351394</v>
      </c>
      <c r="D107" s="15">
        <f ca="1">IFERROR(GETPIVOTDATA("Cuenta de CANT",Tabla9,"PROV",[2]Tablas!$A$117,"SEFIS",D$52,"CANT",[2]Tablas!$A77),0)</f>
        <v>1</v>
      </c>
      <c r="E107" s="15">
        <f ca="1">IFERROR(GETPIVOTDATA("Cuenta de CANT",Tabla9,"PROV",[2]Tablas!$A$117,"SEFIS",E$52,"CANT",[2]Tablas!$A77),0)</f>
        <v>0</v>
      </c>
      <c r="F107" s="15">
        <f ca="1">IFERROR(GETPIVOTDATA("Cuenta de CANT",Tabla9,"PROV",[2]Tablas!$A$117,"SEFIS",F$52,"CANT",[2]Tablas!$A77),0)</f>
        <v>2</v>
      </c>
      <c r="G107" s="15">
        <f ca="1">IFERROR(GETPIVOTDATA("Cuenta de CANT",Tabla9,"PROV",[2]Tablas!$A$117,"SEFIS",G$52,"CANT",[2]Tablas!$A77),0)</f>
        <v>0</v>
      </c>
      <c r="H107" s="15">
        <f ca="1">IFERROR(GETPIVOTDATA("Cuenta de CANT",Tabla9,"PROV",[2]Tablas!$A$117,"SEFIS",H$52,"CANT",[2]Tablas!$A77),0)</f>
        <v>0</v>
      </c>
      <c r="I107" s="15">
        <f ca="1">IFERROR(GETPIVOTDATA("Cuenta de CANT",Tabla9,"PROV",[2]Tablas!$A$117,"SEFIS",I$52,"CANT",[2]Tablas!$A77),0)</f>
        <v>2</v>
      </c>
      <c r="J107" s="15">
        <f ca="1">IFERROR(GETPIVOTDATA("Cuenta de CANT",Tabla9,"PROV",[2]Tablas!$A$117,"SEFIS",J$52,"CANT",[2]Tablas!$A77),0)</f>
        <v>1</v>
      </c>
      <c r="K107" s="15">
        <f ca="1">IFERROR(GETPIVOTDATA("Cuenta de CANT",Tabla9,"PROV",[2]Tablas!$A$117,"SEFIS",K$52,"CANT",[2]Tablas!$A77),0)</f>
        <v>0</v>
      </c>
      <c r="L107" s="15">
        <f ca="1">IFERROR(GETPIVOTDATA("Cuenta de CANT",Tabla9,"PROV",[2]Tablas!$A$117,"SEFIS",L$52,"CANT",[2]Tablas!$A77),0)</f>
        <v>0</v>
      </c>
      <c r="M107" s="15">
        <f ca="1">IFERROR(GETPIVOTDATA("Cuenta de CANT",Tabla9,"PROV",[2]Tablas!$A$117,"SEFIS",M$52,"CANT",[2]Tablas!$A77),0)</f>
        <v>0</v>
      </c>
      <c r="N107" s="15">
        <f ca="1">IFERROR(GETPIVOTDATA("Cuenta de CANT",Tabla9,"PROV",[2]Tablas!$A$117,"SEFIS",N$52,"CANT",[2]Tablas!$A77),0)</f>
        <v>2</v>
      </c>
      <c r="O107" s="15">
        <f ca="1">IFERROR(GETPIVOTDATA("Cuenta de CANT",Tabla9,"PROV",[2]Tablas!$A$117,"SEFIS",O$52,"CANT",[2]Tablas!$A77),0)</f>
        <v>0</v>
      </c>
      <c r="P107" s="15">
        <f ca="1">IFERROR(GETPIVOTDATA("Cuenta de CANT",Tabla9,"PROV",[2]Tablas!$A$117,"SEFIS",P$52,"CANT",[2]Tablas!$A77),0)</f>
        <v>0</v>
      </c>
      <c r="Q107" s="15">
        <f ca="1">IFERROR(GETPIVOTDATA("Cuenta de CANT",Tabla9,"PROV",[2]Tablas!$A$117,"SEFIS",Q$52,"CANT",[2]Tablas!$A77),0)</f>
        <v>0</v>
      </c>
      <c r="R107" s="15">
        <f ca="1">IFERROR(GETPIVOTDATA("Cuenta de CANT",Tabla9,"PROV",[2]Tablas!$A$117,"SEFIS",R$52,"CANT",[2]Tablas!$A77),0)</f>
        <v>0</v>
      </c>
      <c r="S107" s="15">
        <f ca="1">IFERROR(GETPIVOTDATA("Cuenta de CANT",Tabla9,"PROV",[2]Tablas!$A$117,"SEFIS",S$52,"CANT",[2]Tablas!$A77),0)</f>
        <v>0</v>
      </c>
      <c r="T107" s="15">
        <f ca="1">IFERROR(GETPIVOTDATA("Cuenta de CANT",Tabla9,"PROV",[2]Tablas!$A$117,"SEFIS",T$52,"CANT",[2]Tablas!$A77),0)</f>
        <v>0</v>
      </c>
      <c r="U107" s="15">
        <f ca="1">IFERROR(GETPIVOTDATA("Cuenta de CANT",Tabla9,"PROV",[2]Tablas!$A$117,"SEFIS",U$52,"CANT",[2]Tablas!$A77),0)</f>
        <v>0</v>
      </c>
      <c r="V107" s="15">
        <f ca="1">IFERROR(GETPIVOTDATA("Cuenta de CANT",Tabla9,"PROV",[2]Tablas!$A$117,"SEFIS",V$52,"CANT",[2]Tablas!$A77),0)</f>
        <v>0</v>
      </c>
      <c r="W107" s="15">
        <f ca="1">IFERROR(GETPIVOTDATA("Cuenta de CANT",Tabla9,"PROV",[2]Tablas!$A$117,"SEFIS",W$52,"CANT",[2]Tablas!$A77),0)</f>
        <v>0</v>
      </c>
      <c r="X107" s="15">
        <f ca="1">IFERROR(GETPIVOTDATA("Cuenta de CANT",Tabla9,"PROV",[2]Tablas!$A$117,"SEFIS",X$52,"CANT",[2]Tablas!$A77),0)</f>
        <v>0</v>
      </c>
      <c r="Y107" s="15">
        <f ca="1">IFERROR(GETPIVOTDATA("Cuenta de CANT",Tabla9,"PROV",[2]Tablas!$A$117,"SEFIS",Y$52,"CANT",[2]Tablas!$A77),0)</f>
        <v>1</v>
      </c>
      <c r="Z107" s="15">
        <f ca="1">IFERROR(GETPIVOTDATA("Cuenta de CANT",Tabla9,"PROV",[2]Tablas!$A$117,"SEFIS",Z$52,"CANT",[2]Tablas!$A77),0)</f>
        <v>0</v>
      </c>
      <c r="AA107" s="15">
        <f ca="1">IFERROR(GETPIVOTDATA("Cuenta de CANT",Tabla9,"PROV",[2]Tablas!$A$117,"SEFIS",AA$52,"CANT",[2]Tablas!$A77),0)</f>
        <v>0</v>
      </c>
      <c r="AB107" s="15">
        <f ca="1">IFERROR(GETPIVOTDATA("Cuenta de CANT",Tabla9,"PROV",[2]Tablas!$A$117,"SEFIS",AB$52,"CANT",[2]Tablas!$A77),0)</f>
        <v>1</v>
      </c>
      <c r="AC107" s="15">
        <f ca="1">IFERROR(GETPIVOTDATA("Cuenta de CANT",Tabla9,"PROV",[2]Tablas!$A$117,"SEFIS",AC$52,"CANT",[2]Tablas!$A77),0)</f>
        <v>0</v>
      </c>
      <c r="AD107" s="15">
        <f ca="1">IFERROR(GETPIVOTDATA("Cuenta de CANT",Tabla9,"PROV",[2]Tablas!$A$117,"SEFIS",AD$52,"CANT",[2]Tablas!$A77),0)</f>
        <v>0</v>
      </c>
      <c r="AE107" s="15">
        <f ca="1">IFERROR(GETPIVOTDATA("Cuenta de CANT",Tabla9,"PROV",[2]Tablas!$A$117,"SEFIS",AE$52,"CANT",[2]Tablas!$A77),0)</f>
        <v>1</v>
      </c>
      <c r="AF107" s="15">
        <f ca="1">IFERROR(GETPIVOTDATA("Cuenta de CANT",Tabla9,"PROV",[2]Tablas!$A$117,"SEFIS",AF$52,"CANT",[2]Tablas!$A77),0)</f>
        <v>0</v>
      </c>
      <c r="AG107" s="15">
        <f ca="1">IFERROR(GETPIVOTDATA("Cuenta de CANT",Tabla9,"PROV",[2]Tablas!$A$117,"SEFIS",AG$52,"CANT",[2]Tablas!$A77),0)</f>
        <v>0</v>
      </c>
      <c r="AH107" s="15">
        <f ca="1">IFERROR(GETPIVOTDATA("Cuenta de CANT",Tabla9,"PROV",[2]Tablas!$A$117,"SEFIS",AH$52,"CANT",[2]Tablas!$A77),0)</f>
        <v>1</v>
      </c>
      <c r="AI107" s="15">
        <f ca="1">IFERROR(GETPIVOTDATA("Cuenta de CANT",Tabla9,"PROV",[2]Tablas!$A$117,"SEFIS",AI$52,"CANT",[2]Tablas!$A77),0)</f>
        <v>2</v>
      </c>
      <c r="AJ107" s="15">
        <f ca="1">IFERROR(GETPIVOTDATA("Cuenta de CANT",Tabla9,"PROV",[2]Tablas!$A$117,"SEFIS",AJ$52,"CANT",[2]Tablas!$A77),0)</f>
        <v>1</v>
      </c>
      <c r="AK107" s="15">
        <f ca="1">IFERROR(GETPIVOTDATA("Cuenta de CANT",Tabla9,"PROV",[2]Tablas!$A$117,"SEFIS",AK$52,"CANT",[2]Tablas!$A77),0)</f>
        <v>0</v>
      </c>
      <c r="AL107" s="15">
        <f ca="1">IFERROR(GETPIVOTDATA("Cuenta de CANT",Tabla9,"PROV",[2]Tablas!$A$117,"SEFIS",AL$52,"CANT",[2]Tablas!$A77),0)</f>
        <v>0</v>
      </c>
      <c r="AM107" s="15">
        <f ca="1">IFERROR(GETPIVOTDATA("Cuenta de CANT",Tabla9,"PROV",[2]Tablas!$A$117,"SEFIS",AM$52,"CANT",[2]Tablas!$A77),0)</f>
        <v>2</v>
      </c>
      <c r="AN107" s="15">
        <f ca="1">IFERROR(GETPIVOTDATA("Cuenta de CANT",Tabla9,"PROV",[2]Tablas!$A$117,"SEFIS",AN$52,"CANT",[2]Tablas!$A77),0)</f>
        <v>0</v>
      </c>
      <c r="AO107" s="15">
        <f ca="1">IFERROR(GETPIVOTDATA("Cuenta de CANT",Tabla9,"PROV",[2]Tablas!$A$117,"SEFIS",AO$52,"CANT",[2]Tablas!$A77),0)</f>
        <v>0</v>
      </c>
      <c r="AP107" s="15">
        <f ca="1">IFERROR(GETPIVOTDATA("Cuenta de CANT",Tabla9,"PROV",[2]Tablas!$A$117,"SEFIS",AP$52,"CANT",[2]Tablas!$A77),0)</f>
        <v>2</v>
      </c>
      <c r="AQ107" s="15">
        <f ca="1">IFERROR(GETPIVOTDATA("Cuenta de CANT",Tabla9,"PROV",[2]Tablas!$A$117,"SEFIS",AQ$52,"CANT",[2]Tablas!$A77),0)</f>
        <v>1</v>
      </c>
      <c r="AR107" s="15">
        <f ca="1">IFERROR(GETPIVOTDATA("Cuenta de CANT",Tabla9,"PROV",[2]Tablas!$A$117,"SEFIS",AR$52,"CANT",[2]Tablas!$A77),0)</f>
        <v>1</v>
      </c>
      <c r="AS107" s="15">
        <f ca="1">IFERROR(GETPIVOTDATA("Cuenta de CANT",Tabla9,"PROV",[2]Tablas!$A$117,"SEFIS",AS$52,"CANT",[2]Tablas!$A77),0)</f>
        <v>1</v>
      </c>
      <c r="AT107" s="15">
        <f ca="1">IFERROR(GETPIVOTDATA("Cuenta de CANT",Tabla9,"PROV",[2]Tablas!$A$117,"SEFIS",AT$52,"CANT",[2]Tablas!$A77),0)</f>
        <v>1</v>
      </c>
      <c r="AU107" s="15">
        <f ca="1">IFERROR(GETPIVOTDATA("Cuenta de CANT",Tabla9,"PROV",[2]Tablas!$A$117,"SEFIS",AU$52,"CANT",[2]Tablas!$A77),0)</f>
        <v>0</v>
      </c>
      <c r="AV107" s="15">
        <f ca="1">IFERROR(GETPIVOTDATA("Cuenta de CANT",Tabla9,"PROV",[2]Tablas!$A$117,"SEFIS",AV$52,"CANT",[2]Tablas!$A77),0)</f>
        <v>0</v>
      </c>
      <c r="AW107" s="15">
        <f ca="1">IFERROR(GETPIVOTDATA("Cuenta de CANT",Tabla9,"PROV",[2]Tablas!$A$117,"SEFIS",AW$52,"CANT",[2]Tablas!$A77),0)</f>
        <v>0</v>
      </c>
      <c r="AX107" s="15">
        <f ca="1">IFERROR(GETPIVOTDATA("Cuenta de CANT",Tabla9,"PROV",[2]Tablas!$A$117,"SEFIS",AX$52,"CANT",[2]Tablas!$A77),0)</f>
        <v>2</v>
      </c>
      <c r="AY107" s="15">
        <f ca="1">IFERROR(GETPIVOTDATA("Cuenta de CANT",Tabla9,"PROV",[2]Tablas!$A$117,"SEFIS",AY$52,"CANT",[2]Tablas!$A77),0)</f>
        <v>0</v>
      </c>
      <c r="AZ107" s="15">
        <f ca="1">IFERROR(GETPIVOTDATA("Cuenta de CANT",Tabla9,"PROV",[2]Tablas!$A$117,"SEFIS",AZ$52,"CANT",[2]Tablas!$A77),0)</f>
        <v>1</v>
      </c>
      <c r="BA107" s="15">
        <f ca="1">IFERROR(GETPIVOTDATA("Cuenta de CANT",Tabla9,"PROV",[2]Tablas!$A$117,"SEFIS",BA$52,"CANT",[2]Tablas!$A77),0)</f>
        <v>4</v>
      </c>
      <c r="BB107" s="15">
        <f ca="1">IFERROR(GETPIVOTDATA("Cuenta de CANT",Tabla9,"PROV",[2]Tablas!$A$117,"SEFIS",BB$52,"CANT",[2]Tablas!$A77),0)</f>
        <v>2</v>
      </c>
      <c r="BC107" s="15">
        <f ca="1">IFERROR(GETPIVOTDATA("Cuenta de CANT",Tabla9,"PROV",[2]Tablas!$A$117,"SEFIS",BC$52,"CANT",[2]Tablas!$A77),0)</f>
        <v>0</v>
      </c>
      <c r="BD107" s="15">
        <f ca="1">IFERROR(GETPIVOTDATA("Cuenta de CANT",Tabla9,"PROV",[2]Tablas!$A$117,"SEFIS",BD$52,"CANT",[2]Tablas!$A77),0)</f>
        <v>0</v>
      </c>
    </row>
    <row r="108" spans="1:56" x14ac:dyDescent="0.35">
      <c r="A108" s="14" t="s">
        <v>199</v>
      </c>
      <c r="B108" s="15">
        <f t="shared" ca="1" si="13"/>
        <v>26</v>
      </c>
      <c r="C108" s="16">
        <f ca="1">IFERROR(B108/[2]Tablas!$B78*100000,"N/D")</f>
        <v>44.201149229879981</v>
      </c>
      <c r="D108" s="15">
        <f ca="1">IFERROR(GETPIVOTDATA("Cuenta de CANT",Tabla9,"PROV",[2]Tablas!$A$117,"SEFIS",D$52,"CANT",[2]Tablas!$A78),0)</f>
        <v>0</v>
      </c>
      <c r="E108" s="15">
        <f ca="1">IFERROR(GETPIVOTDATA("Cuenta de CANT",Tabla9,"PROV",[2]Tablas!$A$117,"SEFIS",E$52,"CANT",[2]Tablas!$A78),0)</f>
        <v>0</v>
      </c>
      <c r="F108" s="15">
        <f ca="1">IFERROR(GETPIVOTDATA("Cuenta de CANT",Tabla9,"PROV",[2]Tablas!$A$117,"SEFIS",F$52,"CANT",[2]Tablas!$A78),0)</f>
        <v>0</v>
      </c>
      <c r="G108" s="15">
        <f ca="1">IFERROR(GETPIVOTDATA("Cuenta de CANT",Tabla9,"PROV",[2]Tablas!$A$117,"SEFIS",G$52,"CANT",[2]Tablas!$A78),0)</f>
        <v>0</v>
      </c>
      <c r="H108" s="15">
        <f ca="1">IFERROR(GETPIVOTDATA("Cuenta de CANT",Tabla9,"PROV",[2]Tablas!$A$117,"SEFIS",H$52,"CANT",[2]Tablas!$A78),0)</f>
        <v>0</v>
      </c>
      <c r="I108" s="15">
        <f ca="1">IFERROR(GETPIVOTDATA("Cuenta de CANT",Tabla9,"PROV",[2]Tablas!$A$117,"SEFIS",I$52,"CANT",[2]Tablas!$A78),0)</f>
        <v>2</v>
      </c>
      <c r="J108" s="15">
        <f ca="1">IFERROR(GETPIVOTDATA("Cuenta de CANT",Tabla9,"PROV",[2]Tablas!$A$117,"SEFIS",J$52,"CANT",[2]Tablas!$A78),0)</f>
        <v>1</v>
      </c>
      <c r="K108" s="15">
        <f ca="1">IFERROR(GETPIVOTDATA("Cuenta de CANT",Tabla9,"PROV",[2]Tablas!$A$117,"SEFIS",K$52,"CANT",[2]Tablas!$A78),0)</f>
        <v>1</v>
      </c>
      <c r="L108" s="15">
        <f ca="1">IFERROR(GETPIVOTDATA("Cuenta de CANT",Tabla9,"PROV",[2]Tablas!$A$117,"SEFIS",L$52,"CANT",[2]Tablas!$A78),0)</f>
        <v>0</v>
      </c>
      <c r="M108" s="15">
        <f ca="1">IFERROR(GETPIVOTDATA("Cuenta de CANT",Tabla9,"PROV",[2]Tablas!$A$117,"SEFIS",M$52,"CANT",[2]Tablas!$A78),0)</f>
        <v>1</v>
      </c>
      <c r="N108" s="15">
        <f ca="1">IFERROR(GETPIVOTDATA("Cuenta de CANT",Tabla9,"PROV",[2]Tablas!$A$117,"SEFIS",N$52,"CANT",[2]Tablas!$A78),0)</f>
        <v>0</v>
      </c>
      <c r="O108" s="15">
        <f ca="1">IFERROR(GETPIVOTDATA("Cuenta de CANT",Tabla9,"PROV",[2]Tablas!$A$117,"SEFIS",O$52,"CANT",[2]Tablas!$A78),0)</f>
        <v>0</v>
      </c>
      <c r="P108" s="15">
        <f ca="1">IFERROR(GETPIVOTDATA("Cuenta de CANT",Tabla9,"PROV",[2]Tablas!$A$117,"SEFIS",P$52,"CANT",[2]Tablas!$A78),0)</f>
        <v>0</v>
      </c>
      <c r="Q108" s="15">
        <f ca="1">IFERROR(GETPIVOTDATA("Cuenta de CANT",Tabla9,"PROV",[2]Tablas!$A$117,"SEFIS",Q$52,"CANT",[2]Tablas!$A78),0)</f>
        <v>0</v>
      </c>
      <c r="R108" s="15">
        <f ca="1">IFERROR(GETPIVOTDATA("Cuenta de CANT",Tabla9,"PROV",[2]Tablas!$A$117,"SEFIS",R$52,"CANT",[2]Tablas!$A78),0)</f>
        <v>0</v>
      </c>
      <c r="S108" s="15">
        <f ca="1">IFERROR(GETPIVOTDATA("Cuenta de CANT",Tabla9,"PROV",[2]Tablas!$A$117,"SEFIS",S$52,"CANT",[2]Tablas!$A78),0)</f>
        <v>3</v>
      </c>
      <c r="T108" s="15">
        <f ca="1">IFERROR(GETPIVOTDATA("Cuenta de CANT",Tabla9,"PROV",[2]Tablas!$A$117,"SEFIS",T$52,"CANT",[2]Tablas!$A78),0)</f>
        <v>0</v>
      </c>
      <c r="U108" s="15">
        <f ca="1">IFERROR(GETPIVOTDATA("Cuenta de CANT",Tabla9,"PROV",[2]Tablas!$A$117,"SEFIS",U$52,"CANT",[2]Tablas!$A78),0)</f>
        <v>1</v>
      </c>
      <c r="V108" s="15">
        <f ca="1">IFERROR(GETPIVOTDATA("Cuenta de CANT",Tabla9,"PROV",[2]Tablas!$A$117,"SEFIS",V$52,"CANT",[2]Tablas!$A78),0)</f>
        <v>0</v>
      </c>
      <c r="W108" s="15">
        <f ca="1">IFERROR(GETPIVOTDATA("Cuenta de CANT",Tabla9,"PROV",[2]Tablas!$A$117,"SEFIS",W$52,"CANT",[2]Tablas!$A78),0)</f>
        <v>0</v>
      </c>
      <c r="X108" s="15">
        <f ca="1">IFERROR(GETPIVOTDATA("Cuenta de CANT",Tabla9,"PROV",[2]Tablas!$A$117,"SEFIS",X$52,"CANT",[2]Tablas!$A78),0)</f>
        <v>0</v>
      </c>
      <c r="Y108" s="15">
        <f ca="1">IFERROR(GETPIVOTDATA("Cuenta de CANT",Tabla9,"PROV",[2]Tablas!$A$117,"SEFIS",Y$52,"CANT",[2]Tablas!$A78),0)</f>
        <v>0</v>
      </c>
      <c r="Z108" s="15">
        <f ca="1">IFERROR(GETPIVOTDATA("Cuenta de CANT",Tabla9,"PROV",[2]Tablas!$A$117,"SEFIS",Z$52,"CANT",[2]Tablas!$A78),0)</f>
        <v>0</v>
      </c>
      <c r="AA108" s="15">
        <f ca="1">IFERROR(GETPIVOTDATA("Cuenta de CANT",Tabla9,"PROV",[2]Tablas!$A$117,"SEFIS",AA$52,"CANT",[2]Tablas!$A78),0)</f>
        <v>1</v>
      </c>
      <c r="AB108" s="15">
        <f ca="1">IFERROR(GETPIVOTDATA("Cuenta de CANT",Tabla9,"PROV",[2]Tablas!$A$117,"SEFIS",AB$52,"CANT",[2]Tablas!$A78),0)</f>
        <v>1</v>
      </c>
      <c r="AC108" s="15">
        <f ca="1">IFERROR(GETPIVOTDATA("Cuenta de CANT",Tabla9,"PROV",[2]Tablas!$A$117,"SEFIS",AC$52,"CANT",[2]Tablas!$A78),0)</f>
        <v>1</v>
      </c>
      <c r="AD108" s="15">
        <f ca="1">IFERROR(GETPIVOTDATA("Cuenta de CANT",Tabla9,"PROV",[2]Tablas!$A$117,"SEFIS",AD$52,"CANT",[2]Tablas!$A78),0)</f>
        <v>1</v>
      </c>
      <c r="AE108" s="15">
        <f ca="1">IFERROR(GETPIVOTDATA("Cuenta de CANT",Tabla9,"PROV",[2]Tablas!$A$117,"SEFIS",AE$52,"CANT",[2]Tablas!$A78),0)</f>
        <v>2</v>
      </c>
      <c r="AF108" s="15">
        <f ca="1">IFERROR(GETPIVOTDATA("Cuenta de CANT",Tabla9,"PROV",[2]Tablas!$A$117,"SEFIS",AF$52,"CANT",[2]Tablas!$A78),0)</f>
        <v>1</v>
      </c>
      <c r="AG108" s="15">
        <f ca="1">IFERROR(GETPIVOTDATA("Cuenta de CANT",Tabla9,"PROV",[2]Tablas!$A$117,"SEFIS",AG$52,"CANT",[2]Tablas!$A78),0)</f>
        <v>2</v>
      </c>
      <c r="AH108" s="15">
        <f ca="1">IFERROR(GETPIVOTDATA("Cuenta de CANT",Tabla9,"PROV",[2]Tablas!$A$117,"SEFIS",AH$52,"CANT",[2]Tablas!$A78),0)</f>
        <v>1</v>
      </c>
      <c r="AI108" s="15">
        <f ca="1">IFERROR(GETPIVOTDATA("Cuenta de CANT",Tabla9,"PROV",[2]Tablas!$A$117,"SEFIS",AI$52,"CANT",[2]Tablas!$A78),0)</f>
        <v>0</v>
      </c>
      <c r="AJ108" s="15">
        <f ca="1">IFERROR(GETPIVOTDATA("Cuenta de CANT",Tabla9,"PROV",[2]Tablas!$A$117,"SEFIS",AJ$52,"CANT",[2]Tablas!$A78),0)</f>
        <v>0</v>
      </c>
      <c r="AK108" s="15">
        <f ca="1">IFERROR(GETPIVOTDATA("Cuenta de CANT",Tabla9,"PROV",[2]Tablas!$A$117,"SEFIS",AK$52,"CANT",[2]Tablas!$A78),0)</f>
        <v>0</v>
      </c>
      <c r="AL108" s="15">
        <f ca="1">IFERROR(GETPIVOTDATA("Cuenta de CANT",Tabla9,"PROV",[2]Tablas!$A$117,"SEFIS",AL$52,"CANT",[2]Tablas!$A78),0)</f>
        <v>1</v>
      </c>
      <c r="AM108" s="15">
        <f ca="1">IFERROR(GETPIVOTDATA("Cuenta de CANT",Tabla9,"PROV",[2]Tablas!$A$117,"SEFIS",AM$52,"CANT",[2]Tablas!$A78),0)</f>
        <v>0</v>
      </c>
      <c r="AN108" s="15">
        <f ca="1">IFERROR(GETPIVOTDATA("Cuenta de CANT",Tabla9,"PROV",[2]Tablas!$A$117,"SEFIS",AN$52,"CANT",[2]Tablas!$A78),0)</f>
        <v>0</v>
      </c>
      <c r="AO108" s="15">
        <f ca="1">IFERROR(GETPIVOTDATA("Cuenta de CANT",Tabla9,"PROV",[2]Tablas!$A$117,"SEFIS",AO$52,"CANT",[2]Tablas!$A78),0)</f>
        <v>0</v>
      </c>
      <c r="AP108" s="15">
        <f ca="1">IFERROR(GETPIVOTDATA("Cuenta de CANT",Tabla9,"PROV",[2]Tablas!$A$117,"SEFIS",AP$52,"CANT",[2]Tablas!$A78),0)</f>
        <v>0</v>
      </c>
      <c r="AQ108" s="15">
        <f ca="1">IFERROR(GETPIVOTDATA("Cuenta de CANT",Tabla9,"PROV",[2]Tablas!$A$117,"SEFIS",AQ$52,"CANT",[2]Tablas!$A78),0)</f>
        <v>1</v>
      </c>
      <c r="AR108" s="15">
        <f ca="1">IFERROR(GETPIVOTDATA("Cuenta de CANT",Tabla9,"PROV",[2]Tablas!$A$117,"SEFIS",AR$52,"CANT",[2]Tablas!$A78),0)</f>
        <v>0</v>
      </c>
      <c r="AS108" s="15">
        <f ca="1">IFERROR(GETPIVOTDATA("Cuenta de CANT",Tabla9,"PROV",[2]Tablas!$A$117,"SEFIS",AS$52,"CANT",[2]Tablas!$A78),0)</f>
        <v>0</v>
      </c>
      <c r="AT108" s="15">
        <f ca="1">IFERROR(GETPIVOTDATA("Cuenta de CANT",Tabla9,"PROV",[2]Tablas!$A$117,"SEFIS",AT$52,"CANT",[2]Tablas!$A78),0)</f>
        <v>1</v>
      </c>
      <c r="AU108" s="15">
        <f ca="1">IFERROR(GETPIVOTDATA("Cuenta de CANT",Tabla9,"PROV",[2]Tablas!$A$117,"SEFIS",AU$52,"CANT",[2]Tablas!$A78),0)</f>
        <v>0</v>
      </c>
      <c r="AV108" s="15">
        <f ca="1">IFERROR(GETPIVOTDATA("Cuenta de CANT",Tabla9,"PROV",[2]Tablas!$A$117,"SEFIS",AV$52,"CANT",[2]Tablas!$A78),0)</f>
        <v>0</v>
      </c>
      <c r="AW108" s="15">
        <f ca="1">IFERROR(GETPIVOTDATA("Cuenta de CANT",Tabla9,"PROV",[2]Tablas!$A$117,"SEFIS",AW$52,"CANT",[2]Tablas!$A78),0)</f>
        <v>0</v>
      </c>
      <c r="AX108" s="15">
        <f ca="1">IFERROR(GETPIVOTDATA("Cuenta de CANT",Tabla9,"PROV",[2]Tablas!$A$117,"SEFIS",AX$52,"CANT",[2]Tablas!$A78),0)</f>
        <v>2</v>
      </c>
      <c r="AY108" s="15">
        <f ca="1">IFERROR(GETPIVOTDATA("Cuenta de CANT",Tabla9,"PROV",[2]Tablas!$A$117,"SEFIS",AY$52,"CANT",[2]Tablas!$A78),0)</f>
        <v>1</v>
      </c>
      <c r="AZ108" s="15">
        <f ca="1">IFERROR(GETPIVOTDATA("Cuenta de CANT",Tabla9,"PROV",[2]Tablas!$A$117,"SEFIS",AZ$52,"CANT",[2]Tablas!$A78),0)</f>
        <v>1</v>
      </c>
      <c r="BA108" s="15">
        <f ca="1">IFERROR(GETPIVOTDATA("Cuenta de CANT",Tabla9,"PROV",[2]Tablas!$A$117,"SEFIS",BA$52,"CANT",[2]Tablas!$A78),0)</f>
        <v>0</v>
      </c>
      <c r="BB108" s="15">
        <f ca="1">IFERROR(GETPIVOTDATA("Cuenta de CANT",Tabla9,"PROV",[2]Tablas!$A$117,"SEFIS",BB$52,"CANT",[2]Tablas!$A78),0)</f>
        <v>0</v>
      </c>
      <c r="BC108" s="15">
        <f ca="1">IFERROR(GETPIVOTDATA("Cuenta de CANT",Tabla9,"PROV",[2]Tablas!$A$117,"SEFIS",BC$52,"CANT",[2]Tablas!$A78),0)</f>
        <v>0</v>
      </c>
      <c r="BD108" s="15">
        <f ca="1">IFERROR(GETPIVOTDATA("Cuenta de CANT",Tabla9,"PROV",[2]Tablas!$A$117,"SEFIS",BD$52,"CANT",[2]Tablas!$A78),0)</f>
        <v>0</v>
      </c>
    </row>
    <row r="109" spans="1:56" x14ac:dyDescent="0.35">
      <c r="A109" s="14"/>
      <c r="B109" s="12"/>
      <c r="C109" s="13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  <c r="BC109" s="2"/>
      <c r="BD109" s="2"/>
    </row>
    <row r="110" spans="1:56" x14ac:dyDescent="0.35">
      <c r="A110" s="14" t="s">
        <v>98</v>
      </c>
      <c r="B110" s="10">
        <f ca="1">SUM(D110:BD110)</f>
        <v>0</v>
      </c>
      <c r="C110" s="13"/>
      <c r="D110" s="15">
        <f ca="1">IFERROR(GETPIVOTDATA("Cuenta de CANT",Tabla9,"PROV",[2]Tablas!$A$27,"SEFIS",D$52,"CANT",[2]Tablas!$A81),0)+IFERROR(GETPIVOTDATA("Cuenta de CANT",Tabla9,"PROV",[2]Tablas!$A$49,"SEFIS",D$52,"CANT",[2]Tablas!$A81),0)+IFERROR(GETPIVOTDATA("Cuenta de CANT",Tabla9,"PROV",[2]Tablas!$A$67,"SEFIS",D$52,"CANT",[2]Tablas!$A81),0)+IFERROR(GETPIVOTDATA("Cuenta de CANT",Tabla9,"PROV",[2]Tablas!$A$77,"SEFIS",D$52,"CANT",[2]Tablas!$A81),0)+IFERROR(GETPIVOTDATA("Cuenta de CANT",Tabla9,"PROV",[2]Tablas!$A$89,"SEFIS",D$52,"CANT",[2]Tablas!$A81),0)+IFERROR(GETPIVOTDATA("Cuenta de CANT",Tabla9,"PROV",[2]Tablas!$A$102,"SEFIS",D$52,"CANT",[2]Tablas!$A81),0)+IFERROR(GETPIVOTDATA("Cuenta de CANT",Tabla9,"PROV",[2]Tablas!$A$117,"SEFIS",D$52,"CANT",[2]Tablas!$A81),0)</f>
        <v>0</v>
      </c>
      <c r="E110" s="15">
        <f ca="1">IFERROR(GETPIVOTDATA("Cuenta de CANT",Tabla9,"PROV",[2]Tablas!$A$27,"SEFIS",E$52,"CANT",[2]Tablas!$A81),0)+IFERROR(GETPIVOTDATA("Cuenta de CANT",Tabla9,"PROV",[2]Tablas!$A$49,"SEFIS",E$52,"CANT",[2]Tablas!$A81),0)+IFERROR(GETPIVOTDATA("Cuenta de CANT",Tabla9,"PROV",[2]Tablas!$A$67,"SEFIS",E$52,"CANT",[2]Tablas!$A81),0)+IFERROR(GETPIVOTDATA("Cuenta de CANT",Tabla9,"PROV",[2]Tablas!$A$77,"SEFIS",E$52,"CANT",[2]Tablas!$A81),0)+IFERROR(GETPIVOTDATA("Cuenta de CANT",Tabla9,"PROV",[2]Tablas!$A$89,"SEFIS",E$52,"CANT",[2]Tablas!$A81),0)+IFERROR(GETPIVOTDATA("Cuenta de CANT",Tabla9,"PROV",[2]Tablas!$A$102,"SEFIS",E$52,"CANT",[2]Tablas!$A81),0)+IFERROR(GETPIVOTDATA("Cuenta de CANT",Tabla9,"PROV",[2]Tablas!$A$117,"SEFIS",E$52,"CANT",[2]Tablas!$A81),0)</f>
        <v>0</v>
      </c>
      <c r="F110" s="15">
        <f ca="1">IFERROR(GETPIVOTDATA("Cuenta de CANT",Tabla9,"PROV",[2]Tablas!$A$27,"SEFIS",F$52,"CANT",[2]Tablas!$A81),0)+IFERROR(GETPIVOTDATA("Cuenta de CANT",Tabla9,"PROV",[2]Tablas!$A$49,"SEFIS",F$52,"CANT",[2]Tablas!$A81),0)+IFERROR(GETPIVOTDATA("Cuenta de CANT",Tabla9,"PROV",[2]Tablas!$A$67,"SEFIS",F$52,"CANT",[2]Tablas!$A81),0)+IFERROR(GETPIVOTDATA("Cuenta de CANT",Tabla9,"PROV",[2]Tablas!$A$77,"SEFIS",F$52,"CANT",[2]Tablas!$A81),0)+IFERROR(GETPIVOTDATA("Cuenta de CANT",Tabla9,"PROV",[2]Tablas!$A$89,"SEFIS",F$52,"CANT",[2]Tablas!$A81),0)+IFERROR(GETPIVOTDATA("Cuenta de CANT",Tabla9,"PROV",[2]Tablas!$A$102,"SEFIS",F$52,"CANT",[2]Tablas!$A81),0)+IFERROR(GETPIVOTDATA("Cuenta de CANT",Tabla9,"PROV",[2]Tablas!$A$117,"SEFIS",F$52,"CANT",[2]Tablas!$A81),0)</f>
        <v>0</v>
      </c>
      <c r="G110" s="15">
        <f ca="1">IFERROR(GETPIVOTDATA("Cuenta de CANT",Tabla9,"PROV",[2]Tablas!$A$27,"SEFIS",G$52,"CANT",[2]Tablas!$A81),0)+IFERROR(GETPIVOTDATA("Cuenta de CANT",Tabla9,"PROV",[2]Tablas!$A$49,"SEFIS",G$52,"CANT",[2]Tablas!$A81),0)+IFERROR(GETPIVOTDATA("Cuenta de CANT",Tabla9,"PROV",[2]Tablas!$A$67,"SEFIS",G$52,"CANT",[2]Tablas!$A81),0)+IFERROR(GETPIVOTDATA("Cuenta de CANT",Tabla9,"PROV",[2]Tablas!$A$77,"SEFIS",G$52,"CANT",[2]Tablas!$A81),0)+IFERROR(GETPIVOTDATA("Cuenta de CANT",Tabla9,"PROV",[2]Tablas!$A$89,"SEFIS",G$52,"CANT",[2]Tablas!$A81),0)+IFERROR(GETPIVOTDATA("Cuenta de CANT",Tabla9,"PROV",[2]Tablas!$A$102,"SEFIS",G$52,"CANT",[2]Tablas!$A81),0)+IFERROR(GETPIVOTDATA("Cuenta de CANT",Tabla9,"PROV",[2]Tablas!$A$117,"SEFIS",G$52,"CANT",[2]Tablas!$A81),0)</f>
        <v>0</v>
      </c>
      <c r="H110" s="15">
        <f ca="1">IFERROR(GETPIVOTDATA("Cuenta de CANT",Tabla9,"PROV",[2]Tablas!$A$27,"SEFIS",H$52,"CANT",[2]Tablas!$A81),0)+IFERROR(GETPIVOTDATA("Cuenta de CANT",Tabla9,"PROV",[2]Tablas!$A$49,"SEFIS",H$52,"CANT",[2]Tablas!$A81),0)+IFERROR(GETPIVOTDATA("Cuenta de CANT",Tabla9,"PROV",[2]Tablas!$A$67,"SEFIS",H$52,"CANT",[2]Tablas!$A81),0)+IFERROR(GETPIVOTDATA("Cuenta de CANT",Tabla9,"PROV",[2]Tablas!$A$77,"SEFIS",H$52,"CANT",[2]Tablas!$A81),0)+IFERROR(GETPIVOTDATA("Cuenta de CANT",Tabla9,"PROV",[2]Tablas!$A$89,"SEFIS",H$52,"CANT",[2]Tablas!$A81),0)+IFERROR(GETPIVOTDATA("Cuenta de CANT",Tabla9,"PROV",[2]Tablas!$A$102,"SEFIS",H$52,"CANT",[2]Tablas!$A81),0)+IFERROR(GETPIVOTDATA("Cuenta de CANT",Tabla9,"PROV",[2]Tablas!$A$117,"SEFIS",H$52,"CANT",[2]Tablas!$A81),0)</f>
        <v>0</v>
      </c>
      <c r="I110" s="15">
        <f ca="1">IFERROR(GETPIVOTDATA("Cuenta de CANT",Tabla9,"PROV",[2]Tablas!$A$27,"SEFIS",I$52,"CANT",[2]Tablas!$A81),0)+IFERROR(GETPIVOTDATA("Cuenta de CANT",Tabla9,"PROV",[2]Tablas!$A$49,"SEFIS",I$52,"CANT",[2]Tablas!$A81),0)+IFERROR(GETPIVOTDATA("Cuenta de CANT",Tabla9,"PROV",[2]Tablas!$A$67,"SEFIS",I$52,"CANT",[2]Tablas!$A81),0)+IFERROR(GETPIVOTDATA("Cuenta de CANT",Tabla9,"PROV",[2]Tablas!$A$77,"SEFIS",I$52,"CANT",[2]Tablas!$A81),0)+IFERROR(GETPIVOTDATA("Cuenta de CANT",Tabla9,"PROV",[2]Tablas!$A$89,"SEFIS",I$52,"CANT",[2]Tablas!$A81),0)+IFERROR(GETPIVOTDATA("Cuenta de CANT",Tabla9,"PROV",[2]Tablas!$A$102,"SEFIS",I$52,"CANT",[2]Tablas!$A81),0)+IFERROR(GETPIVOTDATA("Cuenta de CANT",Tabla9,"PROV",[2]Tablas!$A$117,"SEFIS",I$52,"CANT",[2]Tablas!$A81),0)</f>
        <v>0</v>
      </c>
      <c r="J110" s="15">
        <f ca="1">IFERROR(GETPIVOTDATA("Cuenta de CANT",Tabla9,"PROV",[2]Tablas!$A$27,"SEFIS",J$52,"CANT",[2]Tablas!$A81),0)+IFERROR(GETPIVOTDATA("Cuenta de CANT",Tabla9,"PROV",[2]Tablas!$A$49,"SEFIS",J$52,"CANT",[2]Tablas!$A81),0)+IFERROR(GETPIVOTDATA("Cuenta de CANT",Tabla9,"PROV",[2]Tablas!$A$67,"SEFIS",J$52,"CANT",[2]Tablas!$A81),0)+IFERROR(GETPIVOTDATA("Cuenta de CANT",Tabla9,"PROV",[2]Tablas!$A$77,"SEFIS",J$52,"CANT",[2]Tablas!$A81),0)+IFERROR(GETPIVOTDATA("Cuenta de CANT",Tabla9,"PROV",[2]Tablas!$A$89,"SEFIS",J$52,"CANT",[2]Tablas!$A81),0)+IFERROR(GETPIVOTDATA("Cuenta de CANT",Tabla9,"PROV",[2]Tablas!$A$102,"SEFIS",J$52,"CANT",[2]Tablas!$A81),0)+IFERROR(GETPIVOTDATA("Cuenta de CANT",Tabla9,"PROV",[2]Tablas!$A$117,"SEFIS",J$52,"CANT",[2]Tablas!$A81),0)</f>
        <v>0</v>
      </c>
      <c r="K110" s="15">
        <f ca="1">IFERROR(GETPIVOTDATA("Cuenta de CANT",Tabla9,"PROV",[2]Tablas!$A$27,"SEFIS",K$52,"CANT",[2]Tablas!$A81),0)+IFERROR(GETPIVOTDATA("Cuenta de CANT",Tabla9,"PROV",[2]Tablas!$A$49,"SEFIS",K$52,"CANT",[2]Tablas!$A81),0)+IFERROR(GETPIVOTDATA("Cuenta de CANT",Tabla9,"PROV",[2]Tablas!$A$67,"SEFIS",K$52,"CANT",[2]Tablas!$A81),0)+IFERROR(GETPIVOTDATA("Cuenta de CANT",Tabla9,"PROV",[2]Tablas!$A$77,"SEFIS",K$52,"CANT",[2]Tablas!$A81),0)+IFERROR(GETPIVOTDATA("Cuenta de CANT",Tabla9,"PROV",[2]Tablas!$A$89,"SEFIS",K$52,"CANT",[2]Tablas!$A81),0)+IFERROR(GETPIVOTDATA("Cuenta de CANT",Tabla9,"PROV",[2]Tablas!$A$102,"SEFIS",K$52,"CANT",[2]Tablas!$A81),0)+IFERROR(GETPIVOTDATA("Cuenta de CANT",Tabla9,"PROV",[2]Tablas!$A$117,"SEFIS",K$52,"CANT",[2]Tablas!$A81),0)</f>
        <v>0</v>
      </c>
      <c r="L110" s="15">
        <f ca="1">IFERROR(GETPIVOTDATA("Cuenta de CANT",Tabla9,"PROV",[2]Tablas!$A$27,"SEFIS",L$52,"CANT",[2]Tablas!$A81),0)+IFERROR(GETPIVOTDATA("Cuenta de CANT",Tabla9,"PROV",[2]Tablas!$A$49,"SEFIS",L$52,"CANT",[2]Tablas!$A81),0)+IFERROR(GETPIVOTDATA("Cuenta de CANT",Tabla9,"PROV",[2]Tablas!$A$67,"SEFIS",L$52,"CANT",[2]Tablas!$A81),0)+IFERROR(GETPIVOTDATA("Cuenta de CANT",Tabla9,"PROV",[2]Tablas!$A$77,"SEFIS",L$52,"CANT",[2]Tablas!$A81),0)+IFERROR(GETPIVOTDATA("Cuenta de CANT",Tabla9,"PROV",[2]Tablas!$A$89,"SEFIS",L$52,"CANT",[2]Tablas!$A81),0)+IFERROR(GETPIVOTDATA("Cuenta de CANT",Tabla9,"PROV",[2]Tablas!$A$102,"SEFIS",L$52,"CANT",[2]Tablas!$A81),0)+IFERROR(GETPIVOTDATA("Cuenta de CANT",Tabla9,"PROV",[2]Tablas!$A$117,"SEFIS",L$52,"CANT",[2]Tablas!$A81),0)</f>
        <v>0</v>
      </c>
      <c r="M110" s="15">
        <f ca="1">IFERROR(GETPIVOTDATA("Cuenta de CANT",Tabla9,"PROV",[2]Tablas!$A$27,"SEFIS",M$52,"CANT",[2]Tablas!$A81),0)+IFERROR(GETPIVOTDATA("Cuenta de CANT",Tabla9,"PROV",[2]Tablas!$A$49,"SEFIS",M$52,"CANT",[2]Tablas!$A81),0)+IFERROR(GETPIVOTDATA("Cuenta de CANT",Tabla9,"PROV",[2]Tablas!$A$67,"SEFIS",M$52,"CANT",[2]Tablas!$A81),0)+IFERROR(GETPIVOTDATA("Cuenta de CANT",Tabla9,"PROV",[2]Tablas!$A$77,"SEFIS",M$52,"CANT",[2]Tablas!$A81),0)+IFERROR(GETPIVOTDATA("Cuenta de CANT",Tabla9,"PROV",[2]Tablas!$A$89,"SEFIS",M$52,"CANT",[2]Tablas!$A81),0)+IFERROR(GETPIVOTDATA("Cuenta de CANT",Tabla9,"PROV",[2]Tablas!$A$102,"SEFIS",M$52,"CANT",[2]Tablas!$A81),0)+IFERROR(GETPIVOTDATA("Cuenta de CANT",Tabla9,"PROV",[2]Tablas!$A$117,"SEFIS",M$52,"CANT",[2]Tablas!$A81),0)</f>
        <v>0</v>
      </c>
      <c r="N110" s="15">
        <f ca="1">IFERROR(GETPIVOTDATA("Cuenta de CANT",Tabla9,"PROV",[2]Tablas!$A$27,"SEFIS",N$52,"CANT",[2]Tablas!$A81),0)+IFERROR(GETPIVOTDATA("Cuenta de CANT",Tabla9,"PROV",[2]Tablas!$A$49,"SEFIS",N$52,"CANT",[2]Tablas!$A81),0)+IFERROR(GETPIVOTDATA("Cuenta de CANT",Tabla9,"PROV",[2]Tablas!$A$67,"SEFIS",N$52,"CANT",[2]Tablas!$A81),0)+IFERROR(GETPIVOTDATA("Cuenta de CANT",Tabla9,"PROV",[2]Tablas!$A$77,"SEFIS",N$52,"CANT",[2]Tablas!$A81),0)+IFERROR(GETPIVOTDATA("Cuenta de CANT",Tabla9,"PROV",[2]Tablas!$A$89,"SEFIS",N$52,"CANT",[2]Tablas!$A81),0)+IFERROR(GETPIVOTDATA("Cuenta de CANT",Tabla9,"PROV",[2]Tablas!$A$102,"SEFIS",N$52,"CANT",[2]Tablas!$A81),0)+IFERROR(GETPIVOTDATA("Cuenta de CANT",Tabla9,"PROV",[2]Tablas!$A$117,"SEFIS",N$52,"CANT",[2]Tablas!$A81),0)</f>
        <v>0</v>
      </c>
      <c r="O110" s="15">
        <f ca="1">IFERROR(GETPIVOTDATA("Cuenta de CANT",Tabla9,"PROV",[2]Tablas!$A$27,"SEFIS",O$52,"CANT",[2]Tablas!$A81),0)+IFERROR(GETPIVOTDATA("Cuenta de CANT",Tabla9,"PROV",[2]Tablas!$A$49,"SEFIS",O$52,"CANT",[2]Tablas!$A81),0)+IFERROR(GETPIVOTDATA("Cuenta de CANT",Tabla9,"PROV",[2]Tablas!$A$67,"SEFIS",O$52,"CANT",[2]Tablas!$A81),0)+IFERROR(GETPIVOTDATA("Cuenta de CANT",Tabla9,"PROV",[2]Tablas!$A$77,"SEFIS",O$52,"CANT",[2]Tablas!$A81),0)+IFERROR(GETPIVOTDATA("Cuenta de CANT",Tabla9,"PROV",[2]Tablas!$A$89,"SEFIS",O$52,"CANT",[2]Tablas!$A81),0)+IFERROR(GETPIVOTDATA("Cuenta de CANT",Tabla9,"PROV",[2]Tablas!$A$102,"SEFIS",O$52,"CANT",[2]Tablas!$A81),0)+IFERROR(GETPIVOTDATA("Cuenta de CANT",Tabla9,"PROV",[2]Tablas!$A$117,"SEFIS",O$52,"CANT",[2]Tablas!$A81),0)</f>
        <v>0</v>
      </c>
      <c r="P110" s="15">
        <f ca="1">IFERROR(GETPIVOTDATA("Cuenta de CANT",Tabla9,"PROV",[2]Tablas!$A$27,"SEFIS",P$52,"CANT",[2]Tablas!$A81),0)+IFERROR(GETPIVOTDATA("Cuenta de CANT",Tabla9,"PROV",[2]Tablas!$A$49,"SEFIS",P$52,"CANT",[2]Tablas!$A81),0)+IFERROR(GETPIVOTDATA("Cuenta de CANT",Tabla9,"PROV",[2]Tablas!$A$67,"SEFIS",P$52,"CANT",[2]Tablas!$A81),0)+IFERROR(GETPIVOTDATA("Cuenta de CANT",Tabla9,"PROV",[2]Tablas!$A$77,"SEFIS",P$52,"CANT",[2]Tablas!$A81),0)+IFERROR(GETPIVOTDATA("Cuenta de CANT",Tabla9,"PROV",[2]Tablas!$A$89,"SEFIS",P$52,"CANT",[2]Tablas!$A81),0)+IFERROR(GETPIVOTDATA("Cuenta de CANT",Tabla9,"PROV",[2]Tablas!$A$102,"SEFIS",P$52,"CANT",[2]Tablas!$A81),0)+IFERROR(GETPIVOTDATA("Cuenta de CANT",Tabla9,"PROV",[2]Tablas!$A$117,"SEFIS",P$52,"CANT",[2]Tablas!$A81),0)</f>
        <v>0</v>
      </c>
      <c r="Q110" s="15">
        <f ca="1">IFERROR(GETPIVOTDATA("Cuenta de CANT",Tabla9,"PROV",[2]Tablas!$A$27,"SEFIS",Q$52,"CANT",[2]Tablas!$A81),0)+IFERROR(GETPIVOTDATA("Cuenta de CANT",Tabla9,"PROV",[2]Tablas!$A$49,"SEFIS",Q$52,"CANT",[2]Tablas!$A81),0)+IFERROR(GETPIVOTDATA("Cuenta de CANT",Tabla9,"PROV",[2]Tablas!$A$67,"SEFIS",Q$52,"CANT",[2]Tablas!$A81),0)+IFERROR(GETPIVOTDATA("Cuenta de CANT",Tabla9,"PROV",[2]Tablas!$A$77,"SEFIS",Q$52,"CANT",[2]Tablas!$A81),0)+IFERROR(GETPIVOTDATA("Cuenta de CANT",Tabla9,"PROV",[2]Tablas!$A$89,"SEFIS",Q$52,"CANT",[2]Tablas!$A81),0)+IFERROR(GETPIVOTDATA("Cuenta de CANT",Tabla9,"PROV",[2]Tablas!$A$102,"SEFIS",Q$52,"CANT",[2]Tablas!$A81),0)+IFERROR(GETPIVOTDATA("Cuenta de CANT",Tabla9,"PROV",[2]Tablas!$A$117,"SEFIS",Q$52,"CANT",[2]Tablas!$A81),0)</f>
        <v>0</v>
      </c>
      <c r="R110" s="15">
        <f ca="1">IFERROR(GETPIVOTDATA("Cuenta de CANT",Tabla9,"PROV",[2]Tablas!$A$27,"SEFIS",R$52,"CANT",[2]Tablas!$A81),0)+IFERROR(GETPIVOTDATA("Cuenta de CANT",Tabla9,"PROV",[2]Tablas!$A$49,"SEFIS",R$52,"CANT",[2]Tablas!$A81),0)+IFERROR(GETPIVOTDATA("Cuenta de CANT",Tabla9,"PROV",[2]Tablas!$A$67,"SEFIS",R$52,"CANT",[2]Tablas!$A81),0)+IFERROR(GETPIVOTDATA("Cuenta de CANT",Tabla9,"PROV",[2]Tablas!$A$77,"SEFIS",R$52,"CANT",[2]Tablas!$A81),0)+IFERROR(GETPIVOTDATA("Cuenta de CANT",Tabla9,"PROV",[2]Tablas!$A$89,"SEFIS",R$52,"CANT",[2]Tablas!$A81),0)+IFERROR(GETPIVOTDATA("Cuenta de CANT",Tabla9,"PROV",[2]Tablas!$A$102,"SEFIS",R$52,"CANT",[2]Tablas!$A81),0)+IFERROR(GETPIVOTDATA("Cuenta de CANT",Tabla9,"PROV",[2]Tablas!$A$117,"SEFIS",R$52,"CANT",[2]Tablas!$A81),0)</f>
        <v>0</v>
      </c>
      <c r="S110" s="15">
        <f ca="1">IFERROR(GETPIVOTDATA("Cuenta de CANT",Tabla9,"PROV",[2]Tablas!$A$27,"SEFIS",S$52,"CANT",[2]Tablas!$A81),0)+IFERROR(GETPIVOTDATA("Cuenta de CANT",Tabla9,"PROV",[2]Tablas!$A$49,"SEFIS",S$52,"CANT",[2]Tablas!$A81),0)+IFERROR(GETPIVOTDATA("Cuenta de CANT",Tabla9,"PROV",[2]Tablas!$A$67,"SEFIS",S$52,"CANT",[2]Tablas!$A81),0)+IFERROR(GETPIVOTDATA("Cuenta de CANT",Tabla9,"PROV",[2]Tablas!$A$77,"SEFIS",S$52,"CANT",[2]Tablas!$A81),0)+IFERROR(GETPIVOTDATA("Cuenta de CANT",Tabla9,"PROV",[2]Tablas!$A$89,"SEFIS",S$52,"CANT",[2]Tablas!$A81),0)+IFERROR(GETPIVOTDATA("Cuenta de CANT",Tabla9,"PROV",[2]Tablas!$A$102,"SEFIS",S$52,"CANT",[2]Tablas!$A81),0)+IFERROR(GETPIVOTDATA("Cuenta de CANT",Tabla9,"PROV",[2]Tablas!$A$117,"SEFIS",S$52,"CANT",[2]Tablas!$A81),0)</f>
        <v>0</v>
      </c>
      <c r="T110" s="15">
        <f ca="1">IFERROR(GETPIVOTDATA("Cuenta de CANT",Tabla9,"PROV",[2]Tablas!$A$27,"SEFIS",T$52,"CANT",[2]Tablas!$A81),0)+IFERROR(GETPIVOTDATA("Cuenta de CANT",Tabla9,"PROV",[2]Tablas!$A$49,"SEFIS",T$52,"CANT",[2]Tablas!$A81),0)+IFERROR(GETPIVOTDATA("Cuenta de CANT",Tabla9,"PROV",[2]Tablas!$A$67,"SEFIS",T$52,"CANT",[2]Tablas!$A81),0)+IFERROR(GETPIVOTDATA("Cuenta de CANT",Tabla9,"PROV",[2]Tablas!$A$77,"SEFIS",T$52,"CANT",[2]Tablas!$A81),0)+IFERROR(GETPIVOTDATA("Cuenta de CANT",Tabla9,"PROV",[2]Tablas!$A$89,"SEFIS",T$52,"CANT",[2]Tablas!$A81),0)+IFERROR(GETPIVOTDATA("Cuenta de CANT",Tabla9,"PROV",[2]Tablas!$A$102,"SEFIS",T$52,"CANT",[2]Tablas!$A81),0)+IFERROR(GETPIVOTDATA("Cuenta de CANT",Tabla9,"PROV",[2]Tablas!$A$117,"SEFIS",T$52,"CANT",[2]Tablas!$A81),0)</f>
        <v>0</v>
      </c>
      <c r="U110" s="15">
        <f ca="1">IFERROR(GETPIVOTDATA("Cuenta de CANT",Tabla9,"PROV",[2]Tablas!$A$27,"SEFIS",U$52,"CANT",[2]Tablas!$A81),0)+IFERROR(GETPIVOTDATA("Cuenta de CANT",Tabla9,"PROV",[2]Tablas!$A$49,"SEFIS",U$52,"CANT",[2]Tablas!$A81),0)+IFERROR(GETPIVOTDATA("Cuenta de CANT",Tabla9,"PROV",[2]Tablas!$A$67,"SEFIS",U$52,"CANT",[2]Tablas!$A81),0)+IFERROR(GETPIVOTDATA("Cuenta de CANT",Tabla9,"PROV",[2]Tablas!$A$77,"SEFIS",U$52,"CANT",[2]Tablas!$A81),0)+IFERROR(GETPIVOTDATA("Cuenta de CANT",Tabla9,"PROV",[2]Tablas!$A$89,"SEFIS",U$52,"CANT",[2]Tablas!$A81),0)+IFERROR(GETPIVOTDATA("Cuenta de CANT",Tabla9,"PROV",[2]Tablas!$A$102,"SEFIS",U$52,"CANT",[2]Tablas!$A81),0)+IFERROR(GETPIVOTDATA("Cuenta de CANT",Tabla9,"PROV",[2]Tablas!$A$117,"SEFIS",U$52,"CANT",[2]Tablas!$A81),0)</f>
        <v>0</v>
      </c>
      <c r="V110" s="15">
        <f ca="1">IFERROR(GETPIVOTDATA("Cuenta de CANT",Tabla9,"PROV",[2]Tablas!$A$27,"SEFIS",V$52,"CANT",[2]Tablas!$A81),0)+IFERROR(GETPIVOTDATA("Cuenta de CANT",Tabla9,"PROV",[2]Tablas!$A$49,"SEFIS",V$52,"CANT",[2]Tablas!$A81),0)+IFERROR(GETPIVOTDATA("Cuenta de CANT",Tabla9,"PROV",[2]Tablas!$A$67,"SEFIS",V$52,"CANT",[2]Tablas!$A81),0)+IFERROR(GETPIVOTDATA("Cuenta de CANT",Tabla9,"PROV",[2]Tablas!$A$77,"SEFIS",V$52,"CANT",[2]Tablas!$A81),0)+IFERROR(GETPIVOTDATA("Cuenta de CANT",Tabla9,"PROV",[2]Tablas!$A$89,"SEFIS",V$52,"CANT",[2]Tablas!$A81),0)+IFERROR(GETPIVOTDATA("Cuenta de CANT",Tabla9,"PROV",[2]Tablas!$A$102,"SEFIS",V$52,"CANT",[2]Tablas!$A81),0)+IFERROR(GETPIVOTDATA("Cuenta de CANT",Tabla9,"PROV",[2]Tablas!$A$117,"SEFIS",V$52,"CANT",[2]Tablas!$A81),0)</f>
        <v>0</v>
      </c>
      <c r="W110" s="15">
        <f ca="1">IFERROR(GETPIVOTDATA("Cuenta de CANT",Tabla9,"PROV",[2]Tablas!$A$27,"SEFIS",W$52,"CANT",[2]Tablas!$A81),0)+IFERROR(GETPIVOTDATA("Cuenta de CANT",Tabla9,"PROV",[2]Tablas!$A$49,"SEFIS",W$52,"CANT",[2]Tablas!$A81),0)+IFERROR(GETPIVOTDATA("Cuenta de CANT",Tabla9,"PROV",[2]Tablas!$A$67,"SEFIS",W$52,"CANT",[2]Tablas!$A81),0)+IFERROR(GETPIVOTDATA("Cuenta de CANT",Tabla9,"PROV",[2]Tablas!$A$77,"SEFIS",W$52,"CANT",[2]Tablas!$A81),0)+IFERROR(GETPIVOTDATA("Cuenta de CANT",Tabla9,"PROV",[2]Tablas!$A$89,"SEFIS",W$52,"CANT",[2]Tablas!$A81),0)+IFERROR(GETPIVOTDATA("Cuenta de CANT",Tabla9,"PROV",[2]Tablas!$A$102,"SEFIS",W$52,"CANT",[2]Tablas!$A81),0)+IFERROR(GETPIVOTDATA("Cuenta de CANT",Tabla9,"PROV",[2]Tablas!$A$117,"SEFIS",W$52,"CANT",[2]Tablas!$A81),0)</f>
        <v>0</v>
      </c>
      <c r="X110" s="15">
        <f ca="1">IFERROR(GETPIVOTDATA("Cuenta de CANT",Tabla9,"PROV",[2]Tablas!$A$27,"SEFIS",X$52,"CANT",[2]Tablas!$A81),0)+IFERROR(GETPIVOTDATA("Cuenta de CANT",Tabla9,"PROV",[2]Tablas!$A$49,"SEFIS",X$52,"CANT",[2]Tablas!$A81),0)+IFERROR(GETPIVOTDATA("Cuenta de CANT",Tabla9,"PROV",[2]Tablas!$A$67,"SEFIS",X$52,"CANT",[2]Tablas!$A81),0)+IFERROR(GETPIVOTDATA("Cuenta de CANT",Tabla9,"PROV",[2]Tablas!$A$77,"SEFIS",X$52,"CANT",[2]Tablas!$A81),0)+IFERROR(GETPIVOTDATA("Cuenta de CANT",Tabla9,"PROV",[2]Tablas!$A$89,"SEFIS",X$52,"CANT",[2]Tablas!$A81),0)+IFERROR(GETPIVOTDATA("Cuenta de CANT",Tabla9,"PROV",[2]Tablas!$A$102,"SEFIS",X$52,"CANT",[2]Tablas!$A81),0)+IFERROR(GETPIVOTDATA("Cuenta de CANT",Tabla9,"PROV",[2]Tablas!$A$117,"SEFIS",X$52,"CANT",[2]Tablas!$A81),0)</f>
        <v>0</v>
      </c>
      <c r="Y110" s="15">
        <f ca="1">IFERROR(GETPIVOTDATA("Cuenta de CANT",Tabla9,"PROV",[2]Tablas!$A$27,"SEFIS",Y$52,"CANT",[2]Tablas!$A81),0)+IFERROR(GETPIVOTDATA("Cuenta de CANT",Tabla9,"PROV",[2]Tablas!$A$49,"SEFIS",Y$52,"CANT",[2]Tablas!$A81),0)+IFERROR(GETPIVOTDATA("Cuenta de CANT",Tabla9,"PROV",[2]Tablas!$A$67,"SEFIS",Y$52,"CANT",[2]Tablas!$A81),0)+IFERROR(GETPIVOTDATA("Cuenta de CANT",Tabla9,"PROV",[2]Tablas!$A$77,"SEFIS",Y$52,"CANT",[2]Tablas!$A81),0)+IFERROR(GETPIVOTDATA("Cuenta de CANT",Tabla9,"PROV",[2]Tablas!$A$89,"SEFIS",Y$52,"CANT",[2]Tablas!$A81),0)+IFERROR(GETPIVOTDATA("Cuenta de CANT",Tabla9,"PROV",[2]Tablas!$A$102,"SEFIS",Y$52,"CANT",[2]Tablas!$A81),0)+IFERROR(GETPIVOTDATA("Cuenta de CANT",Tabla9,"PROV",[2]Tablas!$A$117,"SEFIS",Y$52,"CANT",[2]Tablas!$A81),0)</f>
        <v>0</v>
      </c>
      <c r="Z110" s="15">
        <f ca="1">IFERROR(GETPIVOTDATA("Cuenta de CANT",Tabla9,"PROV",[2]Tablas!$A$27,"SEFIS",Z$52,"CANT",[2]Tablas!$A81),0)+IFERROR(GETPIVOTDATA("Cuenta de CANT",Tabla9,"PROV",[2]Tablas!$A$49,"SEFIS",Z$52,"CANT",[2]Tablas!$A81),0)+IFERROR(GETPIVOTDATA("Cuenta de CANT",Tabla9,"PROV",[2]Tablas!$A$67,"SEFIS",Z$52,"CANT",[2]Tablas!$A81),0)+IFERROR(GETPIVOTDATA("Cuenta de CANT",Tabla9,"PROV",[2]Tablas!$A$77,"SEFIS",Z$52,"CANT",[2]Tablas!$A81),0)+IFERROR(GETPIVOTDATA("Cuenta de CANT",Tabla9,"PROV",[2]Tablas!$A$89,"SEFIS",Z$52,"CANT",[2]Tablas!$A81),0)+IFERROR(GETPIVOTDATA("Cuenta de CANT",Tabla9,"PROV",[2]Tablas!$A$102,"SEFIS",Z$52,"CANT",[2]Tablas!$A81),0)+IFERROR(GETPIVOTDATA("Cuenta de CANT",Tabla9,"PROV",[2]Tablas!$A$117,"SEFIS",Z$52,"CANT",[2]Tablas!$A81),0)</f>
        <v>0</v>
      </c>
      <c r="AA110" s="15">
        <f ca="1">IFERROR(GETPIVOTDATA("Cuenta de CANT",Tabla9,"PROV",[2]Tablas!$A$27,"SEFIS",AA$52,"CANT",[2]Tablas!$A81),0)+IFERROR(GETPIVOTDATA("Cuenta de CANT",Tabla9,"PROV",[2]Tablas!$A$49,"SEFIS",AA$52,"CANT",[2]Tablas!$A81),0)+IFERROR(GETPIVOTDATA("Cuenta de CANT",Tabla9,"PROV",[2]Tablas!$A$67,"SEFIS",AA$52,"CANT",[2]Tablas!$A81),0)+IFERROR(GETPIVOTDATA("Cuenta de CANT",Tabla9,"PROV",[2]Tablas!$A$77,"SEFIS",AA$52,"CANT",[2]Tablas!$A81),0)+IFERROR(GETPIVOTDATA("Cuenta de CANT",Tabla9,"PROV",[2]Tablas!$A$89,"SEFIS",AA$52,"CANT",[2]Tablas!$A81),0)+IFERROR(GETPIVOTDATA("Cuenta de CANT",Tabla9,"PROV",[2]Tablas!$A$102,"SEFIS",AA$52,"CANT",[2]Tablas!$A81),0)+IFERROR(GETPIVOTDATA("Cuenta de CANT",Tabla9,"PROV",[2]Tablas!$A$117,"SEFIS",AA$52,"CANT",[2]Tablas!$A81),0)</f>
        <v>0</v>
      </c>
      <c r="AB110" s="15">
        <f ca="1">IFERROR(GETPIVOTDATA("Cuenta de CANT",Tabla9,"PROV",[2]Tablas!$A$27,"SEFIS",AB$52,"CANT",[2]Tablas!$A81),0)+IFERROR(GETPIVOTDATA("Cuenta de CANT",Tabla9,"PROV",[2]Tablas!$A$49,"SEFIS",AB$52,"CANT",[2]Tablas!$A81),0)+IFERROR(GETPIVOTDATA("Cuenta de CANT",Tabla9,"PROV",[2]Tablas!$A$67,"SEFIS",AB$52,"CANT",[2]Tablas!$A81),0)+IFERROR(GETPIVOTDATA("Cuenta de CANT",Tabla9,"PROV",[2]Tablas!$A$77,"SEFIS",AB$52,"CANT",[2]Tablas!$A81),0)+IFERROR(GETPIVOTDATA("Cuenta de CANT",Tabla9,"PROV",[2]Tablas!$A$89,"SEFIS",AB$52,"CANT",[2]Tablas!$A81),0)+IFERROR(GETPIVOTDATA("Cuenta de CANT",Tabla9,"PROV",[2]Tablas!$A$102,"SEFIS",AB$52,"CANT",[2]Tablas!$A81),0)+IFERROR(GETPIVOTDATA("Cuenta de CANT",Tabla9,"PROV",[2]Tablas!$A$117,"SEFIS",AB$52,"CANT",[2]Tablas!$A81),0)</f>
        <v>0</v>
      </c>
      <c r="AC110" s="15">
        <f ca="1">IFERROR(GETPIVOTDATA("Cuenta de CANT",Tabla9,"PROV",[2]Tablas!$A$27,"SEFIS",AC$52,"CANT",[2]Tablas!$A81),0)+IFERROR(GETPIVOTDATA("Cuenta de CANT",Tabla9,"PROV",[2]Tablas!$A$49,"SEFIS",AC$52,"CANT",[2]Tablas!$A81),0)+IFERROR(GETPIVOTDATA("Cuenta de CANT",Tabla9,"PROV",[2]Tablas!$A$67,"SEFIS",AC$52,"CANT",[2]Tablas!$A81),0)+IFERROR(GETPIVOTDATA("Cuenta de CANT",Tabla9,"PROV",[2]Tablas!$A$77,"SEFIS",AC$52,"CANT",[2]Tablas!$A81),0)+IFERROR(GETPIVOTDATA("Cuenta de CANT",Tabla9,"PROV",[2]Tablas!$A$89,"SEFIS",AC$52,"CANT",[2]Tablas!$A81),0)+IFERROR(GETPIVOTDATA("Cuenta de CANT",Tabla9,"PROV",[2]Tablas!$A$102,"SEFIS",AC$52,"CANT",[2]Tablas!$A81),0)+IFERROR(GETPIVOTDATA("Cuenta de CANT",Tabla9,"PROV",[2]Tablas!$A$117,"SEFIS",AC$52,"CANT",[2]Tablas!$A81),0)</f>
        <v>0</v>
      </c>
      <c r="AD110" s="15">
        <f ca="1">IFERROR(GETPIVOTDATA("Cuenta de CANT",Tabla9,"PROV",[2]Tablas!$A$27,"SEFIS",AD$52,"CANT",[2]Tablas!$A81),0)+IFERROR(GETPIVOTDATA("Cuenta de CANT",Tabla9,"PROV",[2]Tablas!$A$49,"SEFIS",AD$52,"CANT",[2]Tablas!$A81),0)+IFERROR(GETPIVOTDATA("Cuenta de CANT",Tabla9,"PROV",[2]Tablas!$A$67,"SEFIS",AD$52,"CANT",[2]Tablas!$A81),0)+IFERROR(GETPIVOTDATA("Cuenta de CANT",Tabla9,"PROV",[2]Tablas!$A$77,"SEFIS",AD$52,"CANT",[2]Tablas!$A81),0)+IFERROR(GETPIVOTDATA("Cuenta de CANT",Tabla9,"PROV",[2]Tablas!$A$89,"SEFIS",AD$52,"CANT",[2]Tablas!$A81),0)+IFERROR(GETPIVOTDATA("Cuenta de CANT",Tabla9,"PROV",[2]Tablas!$A$102,"SEFIS",AD$52,"CANT",[2]Tablas!$A81),0)+IFERROR(GETPIVOTDATA("Cuenta de CANT",Tabla9,"PROV",[2]Tablas!$A$117,"SEFIS",AD$52,"CANT",[2]Tablas!$A81),0)</f>
        <v>0</v>
      </c>
      <c r="AE110" s="15">
        <f ca="1">IFERROR(GETPIVOTDATA("Cuenta de CANT",Tabla9,"PROV",[2]Tablas!$A$27,"SEFIS",AE$52,"CANT",[2]Tablas!$A81),0)+IFERROR(GETPIVOTDATA("Cuenta de CANT",Tabla9,"PROV",[2]Tablas!$A$49,"SEFIS",AE$52,"CANT",[2]Tablas!$A81),0)+IFERROR(GETPIVOTDATA("Cuenta de CANT",Tabla9,"PROV",[2]Tablas!$A$67,"SEFIS",AE$52,"CANT",[2]Tablas!$A81),0)+IFERROR(GETPIVOTDATA("Cuenta de CANT",Tabla9,"PROV",[2]Tablas!$A$77,"SEFIS",AE$52,"CANT",[2]Tablas!$A81),0)+IFERROR(GETPIVOTDATA("Cuenta de CANT",Tabla9,"PROV",[2]Tablas!$A$89,"SEFIS",AE$52,"CANT",[2]Tablas!$A81),0)+IFERROR(GETPIVOTDATA("Cuenta de CANT",Tabla9,"PROV",[2]Tablas!$A$102,"SEFIS",AE$52,"CANT",[2]Tablas!$A81),0)+IFERROR(GETPIVOTDATA("Cuenta de CANT",Tabla9,"PROV",[2]Tablas!$A$117,"SEFIS",AE$52,"CANT",[2]Tablas!$A81),0)</f>
        <v>0</v>
      </c>
      <c r="AF110" s="15">
        <f ca="1">IFERROR(GETPIVOTDATA("Cuenta de CANT",Tabla9,"PROV",[2]Tablas!$A$27,"SEFIS",AF$52,"CANT",[2]Tablas!$A81),0)+IFERROR(GETPIVOTDATA("Cuenta de CANT",Tabla9,"PROV",[2]Tablas!$A$49,"SEFIS",AF$52,"CANT",[2]Tablas!$A81),0)+IFERROR(GETPIVOTDATA("Cuenta de CANT",Tabla9,"PROV",[2]Tablas!$A$67,"SEFIS",AF$52,"CANT",[2]Tablas!$A81),0)+IFERROR(GETPIVOTDATA("Cuenta de CANT",Tabla9,"PROV",[2]Tablas!$A$77,"SEFIS",AF$52,"CANT",[2]Tablas!$A81),0)+IFERROR(GETPIVOTDATA("Cuenta de CANT",Tabla9,"PROV",[2]Tablas!$A$89,"SEFIS",AF$52,"CANT",[2]Tablas!$A81),0)+IFERROR(GETPIVOTDATA("Cuenta de CANT",Tabla9,"PROV",[2]Tablas!$A$102,"SEFIS",AF$52,"CANT",[2]Tablas!$A81),0)+IFERROR(GETPIVOTDATA("Cuenta de CANT",Tabla9,"PROV",[2]Tablas!$A$117,"SEFIS",AF$52,"CANT",[2]Tablas!$A81),0)</f>
        <v>0</v>
      </c>
      <c r="AG110" s="15">
        <f ca="1">IFERROR(GETPIVOTDATA("Cuenta de CANT",Tabla9,"PROV",[2]Tablas!$A$27,"SEFIS",AG$52,"CANT",[2]Tablas!$A81),0)+IFERROR(GETPIVOTDATA("Cuenta de CANT",Tabla9,"PROV",[2]Tablas!$A$49,"SEFIS",AG$52,"CANT",[2]Tablas!$A81),0)+IFERROR(GETPIVOTDATA("Cuenta de CANT",Tabla9,"PROV",[2]Tablas!$A$67,"SEFIS",AG$52,"CANT",[2]Tablas!$A81),0)+IFERROR(GETPIVOTDATA("Cuenta de CANT",Tabla9,"PROV",[2]Tablas!$A$77,"SEFIS",AG$52,"CANT",[2]Tablas!$A81),0)+IFERROR(GETPIVOTDATA("Cuenta de CANT",Tabla9,"PROV",[2]Tablas!$A$89,"SEFIS",AG$52,"CANT",[2]Tablas!$A81),0)+IFERROR(GETPIVOTDATA("Cuenta de CANT",Tabla9,"PROV",[2]Tablas!$A$102,"SEFIS",AG$52,"CANT",[2]Tablas!$A81),0)+IFERROR(GETPIVOTDATA("Cuenta de CANT",Tabla9,"PROV",[2]Tablas!$A$117,"SEFIS",AG$52,"CANT",[2]Tablas!$A81),0)</f>
        <v>0</v>
      </c>
      <c r="AH110" s="15">
        <f ca="1">IFERROR(GETPIVOTDATA("Cuenta de CANT",Tabla9,"PROV",[2]Tablas!$A$27,"SEFIS",AH$52,"CANT",[2]Tablas!$A81),0)+IFERROR(GETPIVOTDATA("Cuenta de CANT",Tabla9,"PROV",[2]Tablas!$A$49,"SEFIS",AH$52,"CANT",[2]Tablas!$A81),0)+IFERROR(GETPIVOTDATA("Cuenta de CANT",Tabla9,"PROV",[2]Tablas!$A$67,"SEFIS",AH$52,"CANT",[2]Tablas!$A81),0)+IFERROR(GETPIVOTDATA("Cuenta de CANT",Tabla9,"PROV",[2]Tablas!$A$77,"SEFIS",AH$52,"CANT",[2]Tablas!$A81),0)+IFERROR(GETPIVOTDATA("Cuenta de CANT",Tabla9,"PROV",[2]Tablas!$A$89,"SEFIS",AH$52,"CANT",[2]Tablas!$A81),0)+IFERROR(GETPIVOTDATA("Cuenta de CANT",Tabla9,"PROV",[2]Tablas!$A$102,"SEFIS",AH$52,"CANT",[2]Tablas!$A81),0)+IFERROR(GETPIVOTDATA("Cuenta de CANT",Tabla9,"PROV",[2]Tablas!$A$117,"SEFIS",AH$52,"CANT",[2]Tablas!$A81),0)</f>
        <v>0</v>
      </c>
      <c r="AI110" s="15">
        <f ca="1">IFERROR(GETPIVOTDATA("Cuenta de CANT",Tabla9,"PROV",[2]Tablas!$A$27,"SEFIS",AI$52,"CANT",[2]Tablas!$A81),0)+IFERROR(GETPIVOTDATA("Cuenta de CANT",Tabla9,"PROV",[2]Tablas!$A$49,"SEFIS",AI$52,"CANT",[2]Tablas!$A81),0)+IFERROR(GETPIVOTDATA("Cuenta de CANT",Tabla9,"PROV",[2]Tablas!$A$67,"SEFIS",AI$52,"CANT",[2]Tablas!$A81),0)+IFERROR(GETPIVOTDATA("Cuenta de CANT",Tabla9,"PROV",[2]Tablas!$A$77,"SEFIS",AI$52,"CANT",[2]Tablas!$A81),0)+IFERROR(GETPIVOTDATA("Cuenta de CANT",Tabla9,"PROV",[2]Tablas!$A$89,"SEFIS",AI$52,"CANT",[2]Tablas!$A81),0)+IFERROR(GETPIVOTDATA("Cuenta de CANT",Tabla9,"PROV",[2]Tablas!$A$102,"SEFIS",AI$52,"CANT",[2]Tablas!$A81),0)+IFERROR(GETPIVOTDATA("Cuenta de CANT",Tabla9,"PROV",[2]Tablas!$A$117,"SEFIS",AI$52,"CANT",[2]Tablas!$A81),0)</f>
        <v>0</v>
      </c>
      <c r="AJ110" s="15">
        <f ca="1">IFERROR(GETPIVOTDATA("Cuenta de CANT",Tabla9,"PROV",[2]Tablas!$A$27,"SEFIS",AJ$52,"CANT",[2]Tablas!$A81),0)+IFERROR(GETPIVOTDATA("Cuenta de CANT",Tabla9,"PROV",[2]Tablas!$A$49,"SEFIS",AJ$52,"CANT",[2]Tablas!$A81),0)+IFERROR(GETPIVOTDATA("Cuenta de CANT",Tabla9,"PROV",[2]Tablas!$A$67,"SEFIS",AJ$52,"CANT",[2]Tablas!$A81),0)+IFERROR(GETPIVOTDATA("Cuenta de CANT",Tabla9,"PROV",[2]Tablas!$A$77,"SEFIS",AJ$52,"CANT",[2]Tablas!$A81),0)+IFERROR(GETPIVOTDATA("Cuenta de CANT",Tabla9,"PROV",[2]Tablas!$A$89,"SEFIS",AJ$52,"CANT",[2]Tablas!$A81),0)+IFERROR(GETPIVOTDATA("Cuenta de CANT",Tabla9,"PROV",[2]Tablas!$A$102,"SEFIS",AJ$52,"CANT",[2]Tablas!$A81),0)+IFERROR(GETPIVOTDATA("Cuenta de CANT",Tabla9,"PROV",[2]Tablas!$A$117,"SEFIS",AJ$52,"CANT",[2]Tablas!$A81),0)</f>
        <v>0</v>
      </c>
      <c r="AK110" s="15">
        <f ca="1">IFERROR(GETPIVOTDATA("Cuenta de CANT",Tabla9,"PROV",[2]Tablas!$A$27,"SEFIS",AK$52,"CANT",[2]Tablas!$A81),0)+IFERROR(GETPIVOTDATA("Cuenta de CANT",Tabla9,"PROV",[2]Tablas!$A$49,"SEFIS",AK$52,"CANT",[2]Tablas!$A81),0)+IFERROR(GETPIVOTDATA("Cuenta de CANT",Tabla9,"PROV",[2]Tablas!$A$67,"SEFIS",AK$52,"CANT",[2]Tablas!$A81),0)+IFERROR(GETPIVOTDATA("Cuenta de CANT",Tabla9,"PROV",[2]Tablas!$A$77,"SEFIS",AK$52,"CANT",[2]Tablas!$A81),0)+IFERROR(GETPIVOTDATA("Cuenta de CANT",Tabla9,"PROV",[2]Tablas!$A$89,"SEFIS",AK$52,"CANT",[2]Tablas!$A81),0)+IFERROR(GETPIVOTDATA("Cuenta de CANT",Tabla9,"PROV",[2]Tablas!$A$102,"SEFIS",AK$52,"CANT",[2]Tablas!$A81),0)+IFERROR(GETPIVOTDATA("Cuenta de CANT",Tabla9,"PROV",[2]Tablas!$A$117,"SEFIS",AK$52,"CANT",[2]Tablas!$A81),0)</f>
        <v>0</v>
      </c>
      <c r="AL110" s="15">
        <f ca="1">IFERROR(GETPIVOTDATA("Cuenta de CANT",Tabla9,"PROV",[2]Tablas!$A$27,"SEFIS",AL$52,"CANT",[2]Tablas!$A81),0)+IFERROR(GETPIVOTDATA("Cuenta de CANT",Tabla9,"PROV",[2]Tablas!$A$49,"SEFIS",AL$52,"CANT",[2]Tablas!$A81),0)+IFERROR(GETPIVOTDATA("Cuenta de CANT",Tabla9,"PROV",[2]Tablas!$A$67,"SEFIS",AL$52,"CANT",[2]Tablas!$A81),0)+IFERROR(GETPIVOTDATA("Cuenta de CANT",Tabla9,"PROV",[2]Tablas!$A$77,"SEFIS",AL$52,"CANT",[2]Tablas!$A81),0)+IFERROR(GETPIVOTDATA("Cuenta de CANT",Tabla9,"PROV",[2]Tablas!$A$89,"SEFIS",AL$52,"CANT",[2]Tablas!$A81),0)+IFERROR(GETPIVOTDATA("Cuenta de CANT",Tabla9,"PROV",[2]Tablas!$A$102,"SEFIS",AL$52,"CANT",[2]Tablas!$A81),0)+IFERROR(GETPIVOTDATA("Cuenta de CANT",Tabla9,"PROV",[2]Tablas!$A$117,"SEFIS",AL$52,"CANT",[2]Tablas!$A81),0)</f>
        <v>0</v>
      </c>
      <c r="AM110" s="15">
        <f ca="1">IFERROR(GETPIVOTDATA("Cuenta de CANT",Tabla9,"PROV",[2]Tablas!$A$27,"SEFIS",AM$52,"CANT",[2]Tablas!$A81),0)+IFERROR(GETPIVOTDATA("Cuenta de CANT",Tabla9,"PROV",[2]Tablas!$A$49,"SEFIS",AM$52,"CANT",[2]Tablas!$A81),0)+IFERROR(GETPIVOTDATA("Cuenta de CANT",Tabla9,"PROV",[2]Tablas!$A$67,"SEFIS",AM$52,"CANT",[2]Tablas!$A81),0)+IFERROR(GETPIVOTDATA("Cuenta de CANT",Tabla9,"PROV",[2]Tablas!$A$77,"SEFIS",AM$52,"CANT",[2]Tablas!$A81),0)+IFERROR(GETPIVOTDATA("Cuenta de CANT",Tabla9,"PROV",[2]Tablas!$A$89,"SEFIS",AM$52,"CANT",[2]Tablas!$A81),0)+IFERROR(GETPIVOTDATA("Cuenta de CANT",Tabla9,"PROV",[2]Tablas!$A$102,"SEFIS",AM$52,"CANT",[2]Tablas!$A81),0)+IFERROR(GETPIVOTDATA("Cuenta de CANT",Tabla9,"PROV",[2]Tablas!$A$117,"SEFIS",AM$52,"CANT",[2]Tablas!$A81),0)</f>
        <v>0</v>
      </c>
      <c r="AN110" s="15">
        <f ca="1">IFERROR(GETPIVOTDATA("Cuenta de CANT",Tabla9,"PROV",[2]Tablas!$A$27,"SEFIS",AN$52,"CANT",[2]Tablas!$A81),0)+IFERROR(GETPIVOTDATA("Cuenta de CANT",Tabla9,"PROV",[2]Tablas!$A$49,"SEFIS",AN$52,"CANT",[2]Tablas!$A81),0)+IFERROR(GETPIVOTDATA("Cuenta de CANT",Tabla9,"PROV",[2]Tablas!$A$67,"SEFIS",AN$52,"CANT",[2]Tablas!$A81),0)+IFERROR(GETPIVOTDATA("Cuenta de CANT",Tabla9,"PROV",[2]Tablas!$A$77,"SEFIS",AN$52,"CANT",[2]Tablas!$A81),0)+IFERROR(GETPIVOTDATA("Cuenta de CANT",Tabla9,"PROV",[2]Tablas!$A$89,"SEFIS",AN$52,"CANT",[2]Tablas!$A81),0)+IFERROR(GETPIVOTDATA("Cuenta de CANT",Tabla9,"PROV",[2]Tablas!$A$102,"SEFIS",AN$52,"CANT",[2]Tablas!$A81),0)+IFERROR(GETPIVOTDATA("Cuenta de CANT",Tabla9,"PROV",[2]Tablas!$A$117,"SEFIS",AN$52,"CANT",[2]Tablas!$A81),0)</f>
        <v>0</v>
      </c>
      <c r="AO110" s="15">
        <f ca="1">IFERROR(GETPIVOTDATA("Cuenta de CANT",Tabla9,"PROV",[2]Tablas!$A$27,"SEFIS",AO$52,"CANT",[2]Tablas!$A81),0)+IFERROR(GETPIVOTDATA("Cuenta de CANT",Tabla9,"PROV",[2]Tablas!$A$49,"SEFIS",AO$52,"CANT",[2]Tablas!$A81),0)+IFERROR(GETPIVOTDATA("Cuenta de CANT",Tabla9,"PROV",[2]Tablas!$A$67,"SEFIS",AO$52,"CANT",[2]Tablas!$A81),0)+IFERROR(GETPIVOTDATA("Cuenta de CANT",Tabla9,"PROV",[2]Tablas!$A$77,"SEFIS",AO$52,"CANT",[2]Tablas!$A81),0)+IFERROR(GETPIVOTDATA("Cuenta de CANT",Tabla9,"PROV",[2]Tablas!$A$89,"SEFIS",AO$52,"CANT",[2]Tablas!$A81),0)+IFERROR(GETPIVOTDATA("Cuenta de CANT",Tabla9,"PROV",[2]Tablas!$A$102,"SEFIS",AO$52,"CANT",[2]Tablas!$A81),0)+IFERROR(GETPIVOTDATA("Cuenta de CANT",Tabla9,"PROV",[2]Tablas!$A$117,"SEFIS",AO$52,"CANT",[2]Tablas!$A81),0)</f>
        <v>0</v>
      </c>
      <c r="AP110" s="15">
        <f ca="1">IFERROR(GETPIVOTDATA("Cuenta de CANT",Tabla9,"PROV",[2]Tablas!$A$27,"SEFIS",AP$52,"CANT",[2]Tablas!$A81),0)+IFERROR(GETPIVOTDATA("Cuenta de CANT",Tabla9,"PROV",[2]Tablas!$A$49,"SEFIS",AP$52,"CANT",[2]Tablas!$A81),0)+IFERROR(GETPIVOTDATA("Cuenta de CANT",Tabla9,"PROV",[2]Tablas!$A$67,"SEFIS",AP$52,"CANT",[2]Tablas!$A81),0)+IFERROR(GETPIVOTDATA("Cuenta de CANT",Tabla9,"PROV",[2]Tablas!$A$77,"SEFIS",AP$52,"CANT",[2]Tablas!$A81),0)+IFERROR(GETPIVOTDATA("Cuenta de CANT",Tabla9,"PROV",[2]Tablas!$A$89,"SEFIS",AP$52,"CANT",[2]Tablas!$A81),0)+IFERROR(GETPIVOTDATA("Cuenta de CANT",Tabla9,"PROV",[2]Tablas!$A$102,"SEFIS",AP$52,"CANT",[2]Tablas!$A81),0)+IFERROR(GETPIVOTDATA("Cuenta de CANT",Tabla9,"PROV",[2]Tablas!$A$117,"SEFIS",AP$52,"CANT",[2]Tablas!$A81),0)</f>
        <v>0</v>
      </c>
      <c r="AQ110" s="15">
        <f ca="1">IFERROR(GETPIVOTDATA("Cuenta de CANT",Tabla9,"PROV",[2]Tablas!$A$27,"SEFIS",AQ$52,"CANT",[2]Tablas!$A81),0)+IFERROR(GETPIVOTDATA("Cuenta de CANT",Tabla9,"PROV",[2]Tablas!$A$49,"SEFIS",AQ$52,"CANT",[2]Tablas!$A81),0)+IFERROR(GETPIVOTDATA("Cuenta de CANT",Tabla9,"PROV",[2]Tablas!$A$67,"SEFIS",AQ$52,"CANT",[2]Tablas!$A81),0)+IFERROR(GETPIVOTDATA("Cuenta de CANT",Tabla9,"PROV",[2]Tablas!$A$77,"SEFIS",AQ$52,"CANT",[2]Tablas!$A81),0)+IFERROR(GETPIVOTDATA("Cuenta de CANT",Tabla9,"PROV",[2]Tablas!$A$89,"SEFIS",AQ$52,"CANT",[2]Tablas!$A81),0)+IFERROR(GETPIVOTDATA("Cuenta de CANT",Tabla9,"PROV",[2]Tablas!$A$102,"SEFIS",AQ$52,"CANT",[2]Tablas!$A81),0)+IFERROR(GETPIVOTDATA("Cuenta de CANT",Tabla9,"PROV",[2]Tablas!$A$117,"SEFIS",AQ$52,"CANT",[2]Tablas!$A81),0)</f>
        <v>0</v>
      </c>
      <c r="AR110" s="15">
        <f ca="1">IFERROR(GETPIVOTDATA("Cuenta de CANT",Tabla9,"PROV",[2]Tablas!$A$27,"SEFIS",AR$52,"CANT",[2]Tablas!$A81),0)+IFERROR(GETPIVOTDATA("Cuenta de CANT",Tabla9,"PROV",[2]Tablas!$A$49,"SEFIS",AR$52,"CANT",[2]Tablas!$A81),0)+IFERROR(GETPIVOTDATA("Cuenta de CANT",Tabla9,"PROV",[2]Tablas!$A$67,"SEFIS",AR$52,"CANT",[2]Tablas!$A81),0)+IFERROR(GETPIVOTDATA("Cuenta de CANT",Tabla9,"PROV",[2]Tablas!$A$77,"SEFIS",AR$52,"CANT",[2]Tablas!$A81),0)+IFERROR(GETPIVOTDATA("Cuenta de CANT",Tabla9,"PROV",[2]Tablas!$A$89,"SEFIS",AR$52,"CANT",[2]Tablas!$A81),0)+IFERROR(GETPIVOTDATA("Cuenta de CANT",Tabla9,"PROV",[2]Tablas!$A$102,"SEFIS",AR$52,"CANT",[2]Tablas!$A81),0)+IFERROR(GETPIVOTDATA("Cuenta de CANT",Tabla9,"PROV",[2]Tablas!$A$117,"SEFIS",AR$52,"CANT",[2]Tablas!$A81),0)</f>
        <v>0</v>
      </c>
      <c r="AS110" s="15">
        <f ca="1">IFERROR(GETPIVOTDATA("Cuenta de CANT",Tabla9,"PROV",[2]Tablas!$A$27,"SEFIS",AS$52,"CANT",[2]Tablas!$A81),0)+IFERROR(GETPIVOTDATA("Cuenta de CANT",Tabla9,"PROV",[2]Tablas!$A$49,"SEFIS",AS$52,"CANT",[2]Tablas!$A81),0)+IFERROR(GETPIVOTDATA("Cuenta de CANT",Tabla9,"PROV",[2]Tablas!$A$67,"SEFIS",AS$52,"CANT",[2]Tablas!$A81),0)+IFERROR(GETPIVOTDATA("Cuenta de CANT",Tabla9,"PROV",[2]Tablas!$A$77,"SEFIS",AS$52,"CANT",[2]Tablas!$A81),0)+IFERROR(GETPIVOTDATA("Cuenta de CANT",Tabla9,"PROV",[2]Tablas!$A$89,"SEFIS",AS$52,"CANT",[2]Tablas!$A81),0)+IFERROR(GETPIVOTDATA("Cuenta de CANT",Tabla9,"PROV",[2]Tablas!$A$102,"SEFIS",AS$52,"CANT",[2]Tablas!$A81),0)+IFERROR(GETPIVOTDATA("Cuenta de CANT",Tabla9,"PROV",[2]Tablas!$A$117,"SEFIS",AS$52,"CANT",[2]Tablas!$A81),0)</f>
        <v>0</v>
      </c>
      <c r="AT110" s="15">
        <f ca="1">IFERROR(GETPIVOTDATA("Cuenta de CANT",Tabla9,"PROV",[2]Tablas!$A$27,"SEFIS",AT$52,"CANT",[2]Tablas!$A81),0)+IFERROR(GETPIVOTDATA("Cuenta de CANT",Tabla9,"PROV",[2]Tablas!$A$49,"SEFIS",AT$52,"CANT",[2]Tablas!$A81),0)+IFERROR(GETPIVOTDATA("Cuenta de CANT",Tabla9,"PROV",[2]Tablas!$A$67,"SEFIS",AT$52,"CANT",[2]Tablas!$A81),0)+IFERROR(GETPIVOTDATA("Cuenta de CANT",Tabla9,"PROV",[2]Tablas!$A$77,"SEFIS",AT$52,"CANT",[2]Tablas!$A81),0)+IFERROR(GETPIVOTDATA("Cuenta de CANT",Tabla9,"PROV",[2]Tablas!$A$89,"SEFIS",AT$52,"CANT",[2]Tablas!$A81),0)+IFERROR(GETPIVOTDATA("Cuenta de CANT",Tabla9,"PROV",[2]Tablas!$A$102,"SEFIS",AT$52,"CANT",[2]Tablas!$A81),0)+IFERROR(GETPIVOTDATA("Cuenta de CANT",Tabla9,"PROV",[2]Tablas!$A$117,"SEFIS",AT$52,"CANT",[2]Tablas!$A81),0)</f>
        <v>0</v>
      </c>
      <c r="AU110" s="15">
        <f ca="1">IFERROR(GETPIVOTDATA("Cuenta de CANT",Tabla9,"PROV",[2]Tablas!$A$27,"SEFIS",AU$52,"CANT",[2]Tablas!$A81),0)+IFERROR(GETPIVOTDATA("Cuenta de CANT",Tabla9,"PROV",[2]Tablas!$A$49,"SEFIS",AU$52,"CANT",[2]Tablas!$A81),0)+IFERROR(GETPIVOTDATA("Cuenta de CANT",Tabla9,"PROV",[2]Tablas!$A$67,"SEFIS",AU$52,"CANT",[2]Tablas!$A81),0)+IFERROR(GETPIVOTDATA("Cuenta de CANT",Tabla9,"PROV",[2]Tablas!$A$77,"SEFIS",AU$52,"CANT",[2]Tablas!$A81),0)+IFERROR(GETPIVOTDATA("Cuenta de CANT",Tabla9,"PROV",[2]Tablas!$A$89,"SEFIS",AU$52,"CANT",[2]Tablas!$A81),0)+IFERROR(GETPIVOTDATA("Cuenta de CANT",Tabla9,"PROV",[2]Tablas!$A$102,"SEFIS",AU$52,"CANT",[2]Tablas!$A81),0)+IFERROR(GETPIVOTDATA("Cuenta de CANT",Tabla9,"PROV",[2]Tablas!$A$117,"SEFIS",AU$52,"CANT",[2]Tablas!$A81),0)</f>
        <v>0</v>
      </c>
      <c r="AV110" s="15">
        <f ca="1">IFERROR(GETPIVOTDATA("Cuenta de CANT",Tabla9,"PROV",[2]Tablas!$A$27,"SEFIS",AV$52,"CANT",[2]Tablas!$A81),0)+IFERROR(GETPIVOTDATA("Cuenta de CANT",Tabla9,"PROV",[2]Tablas!$A$49,"SEFIS",AV$52,"CANT",[2]Tablas!$A81),0)+IFERROR(GETPIVOTDATA("Cuenta de CANT",Tabla9,"PROV",[2]Tablas!$A$67,"SEFIS",AV$52,"CANT",[2]Tablas!$A81),0)+IFERROR(GETPIVOTDATA("Cuenta de CANT",Tabla9,"PROV",[2]Tablas!$A$77,"SEFIS",AV$52,"CANT",[2]Tablas!$A81),0)+IFERROR(GETPIVOTDATA("Cuenta de CANT",Tabla9,"PROV",[2]Tablas!$A$89,"SEFIS",AV$52,"CANT",[2]Tablas!$A81),0)+IFERROR(GETPIVOTDATA("Cuenta de CANT",Tabla9,"PROV",[2]Tablas!$A$102,"SEFIS",AV$52,"CANT",[2]Tablas!$A81),0)+IFERROR(GETPIVOTDATA("Cuenta de CANT",Tabla9,"PROV",[2]Tablas!$A$117,"SEFIS",AV$52,"CANT",[2]Tablas!$A81),0)</f>
        <v>0</v>
      </c>
      <c r="AW110" s="15">
        <f ca="1">IFERROR(GETPIVOTDATA("Cuenta de CANT",Tabla9,"PROV",[2]Tablas!$A$27,"SEFIS",AW$52,"CANT",[2]Tablas!$A81),0)+IFERROR(GETPIVOTDATA("Cuenta de CANT",Tabla9,"PROV",[2]Tablas!$A$49,"SEFIS",AW$52,"CANT",[2]Tablas!$A81),0)+IFERROR(GETPIVOTDATA("Cuenta de CANT",Tabla9,"PROV",[2]Tablas!$A$67,"SEFIS",AW$52,"CANT",[2]Tablas!$A81),0)+IFERROR(GETPIVOTDATA("Cuenta de CANT",Tabla9,"PROV",[2]Tablas!$A$77,"SEFIS",AW$52,"CANT",[2]Tablas!$A81),0)+IFERROR(GETPIVOTDATA("Cuenta de CANT",Tabla9,"PROV",[2]Tablas!$A$89,"SEFIS",AW$52,"CANT",[2]Tablas!$A81),0)+IFERROR(GETPIVOTDATA("Cuenta de CANT",Tabla9,"PROV",[2]Tablas!$A$102,"SEFIS",AW$52,"CANT",[2]Tablas!$A81),0)+IFERROR(GETPIVOTDATA("Cuenta de CANT",Tabla9,"PROV",[2]Tablas!$A$117,"SEFIS",AW$52,"CANT",[2]Tablas!$A81),0)</f>
        <v>0</v>
      </c>
      <c r="AX110" s="15">
        <f ca="1">IFERROR(GETPIVOTDATA("Cuenta de CANT",Tabla9,"PROV",[2]Tablas!$A$27,"SEFIS",AX$52,"CANT",[2]Tablas!$A81),0)+IFERROR(GETPIVOTDATA("Cuenta de CANT",Tabla9,"PROV",[2]Tablas!$A$49,"SEFIS",AX$52,"CANT",[2]Tablas!$A81),0)+IFERROR(GETPIVOTDATA("Cuenta de CANT",Tabla9,"PROV",[2]Tablas!$A$67,"SEFIS",AX$52,"CANT",[2]Tablas!$A81),0)+IFERROR(GETPIVOTDATA("Cuenta de CANT",Tabla9,"PROV",[2]Tablas!$A$77,"SEFIS",AX$52,"CANT",[2]Tablas!$A81),0)+IFERROR(GETPIVOTDATA("Cuenta de CANT",Tabla9,"PROV",[2]Tablas!$A$89,"SEFIS",AX$52,"CANT",[2]Tablas!$A81),0)+IFERROR(GETPIVOTDATA("Cuenta de CANT",Tabla9,"PROV",[2]Tablas!$A$102,"SEFIS",AX$52,"CANT",[2]Tablas!$A81),0)+IFERROR(GETPIVOTDATA("Cuenta de CANT",Tabla9,"PROV",[2]Tablas!$A$117,"SEFIS",AX$52,"CANT",[2]Tablas!$A81),0)</f>
        <v>0</v>
      </c>
      <c r="AY110" s="15">
        <f ca="1">IFERROR(GETPIVOTDATA("Cuenta de CANT",Tabla9,"PROV",[2]Tablas!$A$27,"SEFIS",AY$52,"CANT",[2]Tablas!$A81),0)+IFERROR(GETPIVOTDATA("Cuenta de CANT",Tabla9,"PROV",[2]Tablas!$A$49,"SEFIS",AY$52,"CANT",[2]Tablas!$A81),0)+IFERROR(GETPIVOTDATA("Cuenta de CANT",Tabla9,"PROV",[2]Tablas!$A$67,"SEFIS",AY$52,"CANT",[2]Tablas!$A81),0)+IFERROR(GETPIVOTDATA("Cuenta de CANT",Tabla9,"PROV",[2]Tablas!$A$77,"SEFIS",AY$52,"CANT",[2]Tablas!$A81),0)+IFERROR(GETPIVOTDATA("Cuenta de CANT",Tabla9,"PROV",[2]Tablas!$A$89,"SEFIS",AY$52,"CANT",[2]Tablas!$A81),0)+IFERROR(GETPIVOTDATA("Cuenta de CANT",Tabla9,"PROV",[2]Tablas!$A$102,"SEFIS",AY$52,"CANT",[2]Tablas!$A81),0)+IFERROR(GETPIVOTDATA("Cuenta de CANT",Tabla9,"PROV",[2]Tablas!$A$117,"SEFIS",AY$52,"CANT",[2]Tablas!$A81),0)</f>
        <v>0</v>
      </c>
      <c r="AZ110" s="15">
        <f ca="1">IFERROR(GETPIVOTDATA("Cuenta de CANT",Tabla9,"PROV",[2]Tablas!$A$27,"SEFIS",AZ$52,"CANT",[2]Tablas!$A81),0)+IFERROR(GETPIVOTDATA("Cuenta de CANT",Tabla9,"PROV",[2]Tablas!$A$49,"SEFIS",AZ$52,"CANT",[2]Tablas!$A81),0)+IFERROR(GETPIVOTDATA("Cuenta de CANT",Tabla9,"PROV",[2]Tablas!$A$67,"SEFIS",AZ$52,"CANT",[2]Tablas!$A81),0)+IFERROR(GETPIVOTDATA("Cuenta de CANT",Tabla9,"PROV",[2]Tablas!$A$77,"SEFIS",AZ$52,"CANT",[2]Tablas!$A81),0)+IFERROR(GETPIVOTDATA("Cuenta de CANT",Tabla9,"PROV",[2]Tablas!$A$89,"SEFIS",AZ$52,"CANT",[2]Tablas!$A81),0)+IFERROR(GETPIVOTDATA("Cuenta de CANT",Tabla9,"PROV",[2]Tablas!$A$102,"SEFIS",AZ$52,"CANT",[2]Tablas!$A81),0)+IFERROR(GETPIVOTDATA("Cuenta de CANT",Tabla9,"PROV",[2]Tablas!$A$117,"SEFIS",AZ$52,"CANT",[2]Tablas!$A81),0)</f>
        <v>0</v>
      </c>
      <c r="BA110" s="15">
        <f ca="1">IFERROR(GETPIVOTDATA("Cuenta de CANT",Tabla9,"PROV",[2]Tablas!$A$27,"SEFIS",BA$52,"CANT",[2]Tablas!$A81),0)+IFERROR(GETPIVOTDATA("Cuenta de CANT",Tabla9,"PROV",[2]Tablas!$A$49,"SEFIS",BA$52,"CANT",[2]Tablas!$A81),0)+IFERROR(GETPIVOTDATA("Cuenta de CANT",Tabla9,"PROV",[2]Tablas!$A$67,"SEFIS",BA$52,"CANT",[2]Tablas!$A81),0)+IFERROR(GETPIVOTDATA("Cuenta de CANT",Tabla9,"PROV",[2]Tablas!$A$77,"SEFIS",BA$52,"CANT",[2]Tablas!$A81),0)+IFERROR(GETPIVOTDATA("Cuenta de CANT",Tabla9,"PROV",[2]Tablas!$A$89,"SEFIS",BA$52,"CANT",[2]Tablas!$A81),0)+IFERROR(GETPIVOTDATA("Cuenta de CANT",Tabla9,"PROV",[2]Tablas!$A$102,"SEFIS",BA$52,"CANT",[2]Tablas!$A81),0)+IFERROR(GETPIVOTDATA("Cuenta de CANT",Tabla9,"PROV",[2]Tablas!$A$117,"SEFIS",BA$52,"CANT",[2]Tablas!$A81),0)</f>
        <v>0</v>
      </c>
      <c r="BB110" s="15">
        <f ca="1">IFERROR(GETPIVOTDATA("Cuenta de CANT",Tabla9,"PROV",[2]Tablas!$A$27,"SEFIS",BB$52,"CANT",[2]Tablas!$A81),0)+IFERROR(GETPIVOTDATA("Cuenta de CANT",Tabla9,"PROV",[2]Tablas!$A$49,"SEFIS",BB$52,"CANT",[2]Tablas!$A81),0)+IFERROR(GETPIVOTDATA("Cuenta de CANT",Tabla9,"PROV",[2]Tablas!$A$67,"SEFIS",BB$52,"CANT",[2]Tablas!$A81),0)+IFERROR(GETPIVOTDATA("Cuenta de CANT",Tabla9,"PROV",[2]Tablas!$A$77,"SEFIS",BB$52,"CANT",[2]Tablas!$A81),0)+IFERROR(GETPIVOTDATA("Cuenta de CANT",Tabla9,"PROV",[2]Tablas!$A$89,"SEFIS",BB$52,"CANT",[2]Tablas!$A81),0)+IFERROR(GETPIVOTDATA("Cuenta de CANT",Tabla9,"PROV",[2]Tablas!$A$102,"SEFIS",BB$52,"CANT",[2]Tablas!$A81),0)+IFERROR(GETPIVOTDATA("Cuenta de CANT",Tabla9,"PROV",[2]Tablas!$A$117,"SEFIS",BB$52,"CANT",[2]Tablas!$A81),0)</f>
        <v>0</v>
      </c>
      <c r="BC110" s="15">
        <f ca="1">IFERROR(GETPIVOTDATA("Cuenta de CANT",Tabla9,"PROV",[2]Tablas!$A$27,"SEFIS",BC$52,"CANT",[2]Tablas!$A81),0)+IFERROR(GETPIVOTDATA("Cuenta de CANT",Tabla9,"PROV",[2]Tablas!$A$49,"SEFIS",BC$52,"CANT",[2]Tablas!$A81),0)+IFERROR(GETPIVOTDATA("Cuenta de CANT",Tabla9,"PROV",[2]Tablas!$A$67,"SEFIS",BC$52,"CANT",[2]Tablas!$A81),0)+IFERROR(GETPIVOTDATA("Cuenta de CANT",Tabla9,"PROV",[2]Tablas!$A$77,"SEFIS",BC$52,"CANT",[2]Tablas!$A81),0)+IFERROR(GETPIVOTDATA("Cuenta de CANT",Tabla9,"PROV",[2]Tablas!$A$89,"SEFIS",BC$52,"CANT",[2]Tablas!$A81),0)+IFERROR(GETPIVOTDATA("Cuenta de CANT",Tabla9,"PROV",[2]Tablas!$A$102,"SEFIS",BC$52,"CANT",[2]Tablas!$A81),0)+IFERROR(GETPIVOTDATA("Cuenta de CANT",Tabla9,"PROV",[2]Tablas!$A$117,"SEFIS",BC$52,"CANT",[2]Tablas!$A81),0)</f>
        <v>0</v>
      </c>
      <c r="BD110" s="15">
        <f ca="1">IFERROR(GETPIVOTDATA("Cuenta de CANT",Tabla9,"PROV",[2]Tablas!$A$27,"SEFIS",BD$52,"CANT",[2]Tablas!$A81),0)+IFERROR(GETPIVOTDATA("Cuenta de CANT",Tabla9,"PROV",[2]Tablas!$A$49,"SEFIS",BD$52,"CANT",[2]Tablas!$A81),0)+IFERROR(GETPIVOTDATA("Cuenta de CANT",Tabla9,"PROV",[2]Tablas!$A$67,"SEFIS",BD$52,"CANT",[2]Tablas!$A81),0)+IFERROR(GETPIVOTDATA("Cuenta de CANT",Tabla9,"PROV",[2]Tablas!$A$77,"SEFIS",BD$52,"CANT",[2]Tablas!$A81),0)+IFERROR(GETPIVOTDATA("Cuenta de CANT",Tabla9,"PROV",[2]Tablas!$A$89,"SEFIS",BD$52,"CANT",[2]Tablas!$A81),0)+IFERROR(GETPIVOTDATA("Cuenta de CANT",Tabla9,"PROV",[2]Tablas!$A$102,"SEFIS",BD$52,"CANT",[2]Tablas!$A81),0)+IFERROR(GETPIVOTDATA("Cuenta de CANT",Tabla9,"PROV",[2]Tablas!$A$117,"SEFIS",BD$52,"CANT",[2]Tablas!$A81),0)</f>
        <v>0</v>
      </c>
    </row>
    <row r="111" spans="1:56" x14ac:dyDescent="0.35">
      <c r="A111" s="14" t="s">
        <v>99</v>
      </c>
      <c r="B111" s="10">
        <f ca="1">SUM(D111:BD111)</f>
        <v>0</v>
      </c>
      <c r="C111" s="13"/>
      <c r="D111" s="15">
        <f ca="1">IFERROR(GETPIVOTDATA("Cuenta de CANT",Tabla9,"PROV",[2]Tablas!$A$27,"SEFIS",D$52,"CANT",[2]Tablas!$A83),0)+IFERROR(GETPIVOTDATA("Cuenta de CANT",Tabla9,"PROV",[2]Tablas!$A$49,"SEFIS",D$52,"CANT",[2]Tablas!$A83),0)+IFERROR(GETPIVOTDATA("Cuenta de CANT",Tabla9,"PROV",[2]Tablas!$A$67,"SEFIS",D$52,"CANT",[2]Tablas!$A83),0)+IFERROR(GETPIVOTDATA("Cuenta de CANT",Tabla9,"PROV",[2]Tablas!$A$77,"SEFIS",D$52,"CANT",[2]Tablas!$A83),0)+IFERROR(GETPIVOTDATA("Cuenta de CANT",Tabla9,"PROV",[2]Tablas!$A$89,"SEFIS",D$52,"CANT",[2]Tablas!$A83),0)+IFERROR(GETPIVOTDATA("Cuenta de CANT",Tabla9,"PROV",[2]Tablas!$A$102,"SEFIS",D$52,"CANT",[2]Tablas!$A83),0)+IFERROR(GETPIVOTDATA("Cuenta de CANT",Tabla9,"PROV",[2]Tablas!$A$117,"SEFIS",D$52,"CANT",[2]Tablas!$A83),0)</f>
        <v>0</v>
      </c>
      <c r="E111" s="15">
        <f ca="1">IFERROR(GETPIVOTDATA("Cuenta de CANT",Tabla9,"PROV",[2]Tablas!$A$27,"SEFIS",E$52,"CANT",[2]Tablas!$A83),0)+IFERROR(GETPIVOTDATA("Cuenta de CANT",Tabla9,"PROV",[2]Tablas!$A$49,"SEFIS",E$52,"CANT",[2]Tablas!$A83),0)+IFERROR(GETPIVOTDATA("Cuenta de CANT",Tabla9,"PROV",[2]Tablas!$A$67,"SEFIS",E$52,"CANT",[2]Tablas!$A83),0)+IFERROR(GETPIVOTDATA("Cuenta de CANT",Tabla9,"PROV",[2]Tablas!$A$77,"SEFIS",E$52,"CANT",[2]Tablas!$A83),0)+IFERROR(GETPIVOTDATA("Cuenta de CANT",Tabla9,"PROV",[2]Tablas!$A$89,"SEFIS",E$52,"CANT",[2]Tablas!$A83),0)+IFERROR(GETPIVOTDATA("Cuenta de CANT",Tabla9,"PROV",[2]Tablas!$A$102,"SEFIS",E$52,"CANT",[2]Tablas!$A83),0)+IFERROR(GETPIVOTDATA("Cuenta de CANT",Tabla9,"PROV",[2]Tablas!$A$117,"SEFIS",E$52,"CANT",[2]Tablas!$A83),0)</f>
        <v>0</v>
      </c>
      <c r="F111" s="15">
        <f ca="1">IFERROR(GETPIVOTDATA("Cuenta de CANT",Tabla9,"PROV",[2]Tablas!$A$27,"SEFIS",F$52,"CANT",[2]Tablas!$A83),0)+IFERROR(GETPIVOTDATA("Cuenta de CANT",Tabla9,"PROV",[2]Tablas!$A$49,"SEFIS",F$52,"CANT",[2]Tablas!$A83),0)+IFERROR(GETPIVOTDATA("Cuenta de CANT",Tabla9,"PROV",[2]Tablas!$A$67,"SEFIS",F$52,"CANT",[2]Tablas!$A83),0)+IFERROR(GETPIVOTDATA("Cuenta de CANT",Tabla9,"PROV",[2]Tablas!$A$77,"SEFIS",F$52,"CANT",[2]Tablas!$A83),0)+IFERROR(GETPIVOTDATA("Cuenta de CANT",Tabla9,"PROV",[2]Tablas!$A$89,"SEFIS",F$52,"CANT",[2]Tablas!$A83),0)+IFERROR(GETPIVOTDATA("Cuenta de CANT",Tabla9,"PROV",[2]Tablas!$A$102,"SEFIS",F$52,"CANT",[2]Tablas!$A83),0)+IFERROR(GETPIVOTDATA("Cuenta de CANT",Tabla9,"PROV",[2]Tablas!$A$117,"SEFIS",F$52,"CANT",[2]Tablas!$A83),0)</f>
        <v>0</v>
      </c>
      <c r="G111" s="15">
        <f ca="1">IFERROR(GETPIVOTDATA("Cuenta de CANT",Tabla9,"PROV",[2]Tablas!$A$27,"SEFIS",G$52,"CANT",[2]Tablas!$A83),0)+IFERROR(GETPIVOTDATA("Cuenta de CANT",Tabla9,"PROV",[2]Tablas!$A$49,"SEFIS",G$52,"CANT",[2]Tablas!$A83),0)+IFERROR(GETPIVOTDATA("Cuenta de CANT",Tabla9,"PROV",[2]Tablas!$A$67,"SEFIS",G$52,"CANT",[2]Tablas!$A83),0)+IFERROR(GETPIVOTDATA("Cuenta de CANT",Tabla9,"PROV",[2]Tablas!$A$77,"SEFIS",G$52,"CANT",[2]Tablas!$A83),0)+IFERROR(GETPIVOTDATA("Cuenta de CANT",Tabla9,"PROV",[2]Tablas!$A$89,"SEFIS",G$52,"CANT",[2]Tablas!$A83),0)+IFERROR(GETPIVOTDATA("Cuenta de CANT",Tabla9,"PROV",[2]Tablas!$A$102,"SEFIS",G$52,"CANT",[2]Tablas!$A83),0)+IFERROR(GETPIVOTDATA("Cuenta de CANT",Tabla9,"PROV",[2]Tablas!$A$117,"SEFIS",G$52,"CANT",[2]Tablas!$A83),0)</f>
        <v>0</v>
      </c>
      <c r="H111" s="15">
        <f ca="1">IFERROR(GETPIVOTDATA("Cuenta de CANT",Tabla9,"PROV",[2]Tablas!$A$27,"SEFIS",H$52,"CANT",[2]Tablas!$A83),0)+IFERROR(GETPIVOTDATA("Cuenta de CANT",Tabla9,"PROV",[2]Tablas!$A$49,"SEFIS",H$52,"CANT",[2]Tablas!$A83),0)+IFERROR(GETPIVOTDATA("Cuenta de CANT",Tabla9,"PROV",[2]Tablas!$A$67,"SEFIS",H$52,"CANT",[2]Tablas!$A83),0)+IFERROR(GETPIVOTDATA("Cuenta de CANT",Tabla9,"PROV",[2]Tablas!$A$77,"SEFIS",H$52,"CANT",[2]Tablas!$A83),0)+IFERROR(GETPIVOTDATA("Cuenta de CANT",Tabla9,"PROV",[2]Tablas!$A$89,"SEFIS",H$52,"CANT",[2]Tablas!$A83),0)+IFERROR(GETPIVOTDATA("Cuenta de CANT",Tabla9,"PROV",[2]Tablas!$A$102,"SEFIS",H$52,"CANT",[2]Tablas!$A83),0)+IFERROR(GETPIVOTDATA("Cuenta de CANT",Tabla9,"PROV",[2]Tablas!$A$117,"SEFIS",H$52,"CANT",[2]Tablas!$A83),0)</f>
        <v>0</v>
      </c>
      <c r="I111" s="15">
        <f ca="1">IFERROR(GETPIVOTDATA("Cuenta de CANT",Tabla9,"PROV",[2]Tablas!$A$27,"SEFIS",I$52,"CANT",[2]Tablas!$A83),0)+IFERROR(GETPIVOTDATA("Cuenta de CANT",Tabla9,"PROV",[2]Tablas!$A$49,"SEFIS",I$52,"CANT",[2]Tablas!$A83),0)+IFERROR(GETPIVOTDATA("Cuenta de CANT",Tabla9,"PROV",[2]Tablas!$A$67,"SEFIS",I$52,"CANT",[2]Tablas!$A83),0)+IFERROR(GETPIVOTDATA("Cuenta de CANT",Tabla9,"PROV",[2]Tablas!$A$77,"SEFIS",I$52,"CANT",[2]Tablas!$A83),0)+IFERROR(GETPIVOTDATA("Cuenta de CANT",Tabla9,"PROV",[2]Tablas!$A$89,"SEFIS",I$52,"CANT",[2]Tablas!$A83),0)+IFERROR(GETPIVOTDATA("Cuenta de CANT",Tabla9,"PROV",[2]Tablas!$A$102,"SEFIS",I$52,"CANT",[2]Tablas!$A83),0)+IFERROR(GETPIVOTDATA("Cuenta de CANT",Tabla9,"PROV",[2]Tablas!$A$117,"SEFIS",I$52,"CANT",[2]Tablas!$A83),0)</f>
        <v>0</v>
      </c>
      <c r="J111" s="15">
        <f ca="1">IFERROR(GETPIVOTDATA("Cuenta de CANT",Tabla9,"PROV",[2]Tablas!$A$27,"SEFIS",J$52,"CANT",[2]Tablas!$A83),0)+IFERROR(GETPIVOTDATA("Cuenta de CANT",Tabla9,"PROV",[2]Tablas!$A$49,"SEFIS",J$52,"CANT",[2]Tablas!$A83),0)+IFERROR(GETPIVOTDATA("Cuenta de CANT",Tabla9,"PROV",[2]Tablas!$A$67,"SEFIS",J$52,"CANT",[2]Tablas!$A83),0)+IFERROR(GETPIVOTDATA("Cuenta de CANT",Tabla9,"PROV",[2]Tablas!$A$77,"SEFIS",J$52,"CANT",[2]Tablas!$A83),0)+IFERROR(GETPIVOTDATA("Cuenta de CANT",Tabla9,"PROV",[2]Tablas!$A$89,"SEFIS",J$52,"CANT",[2]Tablas!$A83),0)+IFERROR(GETPIVOTDATA("Cuenta de CANT",Tabla9,"PROV",[2]Tablas!$A$102,"SEFIS",J$52,"CANT",[2]Tablas!$A83),0)+IFERROR(GETPIVOTDATA("Cuenta de CANT",Tabla9,"PROV",[2]Tablas!$A$117,"SEFIS",J$52,"CANT",[2]Tablas!$A83),0)</f>
        <v>0</v>
      </c>
      <c r="K111" s="15">
        <f ca="1">IFERROR(GETPIVOTDATA("Cuenta de CANT",Tabla9,"PROV",[2]Tablas!$A$27,"SEFIS",K$52,"CANT",[2]Tablas!$A83),0)+IFERROR(GETPIVOTDATA("Cuenta de CANT",Tabla9,"PROV",[2]Tablas!$A$49,"SEFIS",K$52,"CANT",[2]Tablas!$A83),0)+IFERROR(GETPIVOTDATA("Cuenta de CANT",Tabla9,"PROV",[2]Tablas!$A$67,"SEFIS",K$52,"CANT",[2]Tablas!$A83),0)+IFERROR(GETPIVOTDATA("Cuenta de CANT",Tabla9,"PROV",[2]Tablas!$A$77,"SEFIS",K$52,"CANT",[2]Tablas!$A83),0)+IFERROR(GETPIVOTDATA("Cuenta de CANT",Tabla9,"PROV",[2]Tablas!$A$89,"SEFIS",K$52,"CANT",[2]Tablas!$A83),0)+IFERROR(GETPIVOTDATA("Cuenta de CANT",Tabla9,"PROV",[2]Tablas!$A$102,"SEFIS",K$52,"CANT",[2]Tablas!$A83),0)+IFERROR(GETPIVOTDATA("Cuenta de CANT",Tabla9,"PROV",[2]Tablas!$A$117,"SEFIS",K$52,"CANT",[2]Tablas!$A83),0)</f>
        <v>0</v>
      </c>
      <c r="L111" s="15">
        <f ca="1">IFERROR(GETPIVOTDATA("Cuenta de CANT",Tabla9,"PROV",[2]Tablas!$A$27,"SEFIS",L$52,"CANT",[2]Tablas!$A83),0)+IFERROR(GETPIVOTDATA("Cuenta de CANT",Tabla9,"PROV",[2]Tablas!$A$49,"SEFIS",L$52,"CANT",[2]Tablas!$A83),0)+IFERROR(GETPIVOTDATA("Cuenta de CANT",Tabla9,"PROV",[2]Tablas!$A$67,"SEFIS",L$52,"CANT",[2]Tablas!$A83),0)+IFERROR(GETPIVOTDATA("Cuenta de CANT",Tabla9,"PROV",[2]Tablas!$A$77,"SEFIS",L$52,"CANT",[2]Tablas!$A83),0)+IFERROR(GETPIVOTDATA("Cuenta de CANT",Tabla9,"PROV",[2]Tablas!$A$89,"SEFIS",L$52,"CANT",[2]Tablas!$A83),0)+IFERROR(GETPIVOTDATA("Cuenta de CANT",Tabla9,"PROV",[2]Tablas!$A$102,"SEFIS",L$52,"CANT",[2]Tablas!$A83),0)+IFERROR(GETPIVOTDATA("Cuenta de CANT",Tabla9,"PROV",[2]Tablas!$A$117,"SEFIS",L$52,"CANT",[2]Tablas!$A83),0)</f>
        <v>0</v>
      </c>
      <c r="M111" s="15">
        <f ca="1">IFERROR(GETPIVOTDATA("Cuenta de CANT",Tabla9,"PROV",[2]Tablas!$A$27,"SEFIS",M$52,"CANT",[2]Tablas!$A83),0)+IFERROR(GETPIVOTDATA("Cuenta de CANT",Tabla9,"PROV",[2]Tablas!$A$49,"SEFIS",M$52,"CANT",[2]Tablas!$A83),0)+IFERROR(GETPIVOTDATA("Cuenta de CANT",Tabla9,"PROV",[2]Tablas!$A$67,"SEFIS",M$52,"CANT",[2]Tablas!$A83),0)+IFERROR(GETPIVOTDATA("Cuenta de CANT",Tabla9,"PROV",[2]Tablas!$A$77,"SEFIS",M$52,"CANT",[2]Tablas!$A83),0)+IFERROR(GETPIVOTDATA("Cuenta de CANT",Tabla9,"PROV",[2]Tablas!$A$89,"SEFIS",M$52,"CANT",[2]Tablas!$A83),0)+IFERROR(GETPIVOTDATA("Cuenta de CANT",Tabla9,"PROV",[2]Tablas!$A$102,"SEFIS",M$52,"CANT",[2]Tablas!$A83),0)+IFERROR(GETPIVOTDATA("Cuenta de CANT",Tabla9,"PROV",[2]Tablas!$A$117,"SEFIS",M$52,"CANT",[2]Tablas!$A83),0)</f>
        <v>0</v>
      </c>
      <c r="N111" s="15">
        <f ca="1">IFERROR(GETPIVOTDATA("Cuenta de CANT",Tabla9,"PROV",[2]Tablas!$A$27,"SEFIS",N$52,"CANT",[2]Tablas!$A83),0)+IFERROR(GETPIVOTDATA("Cuenta de CANT",Tabla9,"PROV",[2]Tablas!$A$49,"SEFIS",N$52,"CANT",[2]Tablas!$A83),0)+IFERROR(GETPIVOTDATA("Cuenta de CANT",Tabla9,"PROV",[2]Tablas!$A$67,"SEFIS",N$52,"CANT",[2]Tablas!$A83),0)+IFERROR(GETPIVOTDATA("Cuenta de CANT",Tabla9,"PROV",[2]Tablas!$A$77,"SEFIS",N$52,"CANT",[2]Tablas!$A83),0)+IFERROR(GETPIVOTDATA("Cuenta de CANT",Tabla9,"PROV",[2]Tablas!$A$89,"SEFIS",N$52,"CANT",[2]Tablas!$A83),0)+IFERROR(GETPIVOTDATA("Cuenta de CANT",Tabla9,"PROV",[2]Tablas!$A$102,"SEFIS",N$52,"CANT",[2]Tablas!$A83),0)+IFERROR(GETPIVOTDATA("Cuenta de CANT",Tabla9,"PROV",[2]Tablas!$A$117,"SEFIS",N$52,"CANT",[2]Tablas!$A83),0)</f>
        <v>0</v>
      </c>
      <c r="O111" s="15">
        <f ca="1">IFERROR(GETPIVOTDATA("Cuenta de CANT",Tabla9,"PROV",[2]Tablas!$A$27,"SEFIS",O$52,"CANT",[2]Tablas!$A83),0)+IFERROR(GETPIVOTDATA("Cuenta de CANT",Tabla9,"PROV",[2]Tablas!$A$49,"SEFIS",O$52,"CANT",[2]Tablas!$A83),0)+IFERROR(GETPIVOTDATA("Cuenta de CANT",Tabla9,"PROV",[2]Tablas!$A$67,"SEFIS",O$52,"CANT",[2]Tablas!$A83),0)+IFERROR(GETPIVOTDATA("Cuenta de CANT",Tabla9,"PROV",[2]Tablas!$A$77,"SEFIS",O$52,"CANT",[2]Tablas!$A83),0)+IFERROR(GETPIVOTDATA("Cuenta de CANT",Tabla9,"PROV",[2]Tablas!$A$89,"SEFIS",O$52,"CANT",[2]Tablas!$A83),0)+IFERROR(GETPIVOTDATA("Cuenta de CANT",Tabla9,"PROV",[2]Tablas!$A$102,"SEFIS",O$52,"CANT",[2]Tablas!$A83),0)+IFERROR(GETPIVOTDATA("Cuenta de CANT",Tabla9,"PROV",[2]Tablas!$A$117,"SEFIS",O$52,"CANT",[2]Tablas!$A83),0)</f>
        <v>0</v>
      </c>
      <c r="P111" s="15">
        <f ca="1">IFERROR(GETPIVOTDATA("Cuenta de CANT",Tabla9,"PROV",[2]Tablas!$A$27,"SEFIS",P$52,"CANT",[2]Tablas!$A83),0)+IFERROR(GETPIVOTDATA("Cuenta de CANT",Tabla9,"PROV",[2]Tablas!$A$49,"SEFIS",P$52,"CANT",[2]Tablas!$A83),0)+IFERROR(GETPIVOTDATA("Cuenta de CANT",Tabla9,"PROV",[2]Tablas!$A$67,"SEFIS",P$52,"CANT",[2]Tablas!$A83),0)+IFERROR(GETPIVOTDATA("Cuenta de CANT",Tabla9,"PROV",[2]Tablas!$A$77,"SEFIS",P$52,"CANT",[2]Tablas!$A83),0)+IFERROR(GETPIVOTDATA("Cuenta de CANT",Tabla9,"PROV",[2]Tablas!$A$89,"SEFIS",P$52,"CANT",[2]Tablas!$A83),0)+IFERROR(GETPIVOTDATA("Cuenta de CANT",Tabla9,"PROV",[2]Tablas!$A$102,"SEFIS",P$52,"CANT",[2]Tablas!$A83),0)+IFERROR(GETPIVOTDATA("Cuenta de CANT",Tabla9,"PROV",[2]Tablas!$A$117,"SEFIS",P$52,"CANT",[2]Tablas!$A83),0)</f>
        <v>0</v>
      </c>
      <c r="Q111" s="15">
        <f ca="1">IFERROR(GETPIVOTDATA("Cuenta de CANT",Tabla9,"PROV",[2]Tablas!$A$27,"SEFIS",Q$52,"CANT",[2]Tablas!$A83),0)+IFERROR(GETPIVOTDATA("Cuenta de CANT",Tabla9,"PROV",[2]Tablas!$A$49,"SEFIS",Q$52,"CANT",[2]Tablas!$A83),0)+IFERROR(GETPIVOTDATA("Cuenta de CANT",Tabla9,"PROV",[2]Tablas!$A$67,"SEFIS",Q$52,"CANT",[2]Tablas!$A83),0)+IFERROR(GETPIVOTDATA("Cuenta de CANT",Tabla9,"PROV",[2]Tablas!$A$77,"SEFIS",Q$52,"CANT",[2]Tablas!$A83),0)+IFERROR(GETPIVOTDATA("Cuenta de CANT",Tabla9,"PROV",[2]Tablas!$A$89,"SEFIS",Q$52,"CANT",[2]Tablas!$A83),0)+IFERROR(GETPIVOTDATA("Cuenta de CANT",Tabla9,"PROV",[2]Tablas!$A$102,"SEFIS",Q$52,"CANT",[2]Tablas!$A83),0)+IFERROR(GETPIVOTDATA("Cuenta de CANT",Tabla9,"PROV",[2]Tablas!$A$117,"SEFIS",Q$52,"CANT",[2]Tablas!$A83),0)</f>
        <v>0</v>
      </c>
      <c r="R111" s="15">
        <f ca="1">IFERROR(GETPIVOTDATA("Cuenta de CANT",Tabla9,"PROV",[2]Tablas!$A$27,"SEFIS",R$52,"CANT",[2]Tablas!$A83),0)+IFERROR(GETPIVOTDATA("Cuenta de CANT",Tabla9,"PROV",[2]Tablas!$A$49,"SEFIS",R$52,"CANT",[2]Tablas!$A83),0)+IFERROR(GETPIVOTDATA("Cuenta de CANT",Tabla9,"PROV",[2]Tablas!$A$67,"SEFIS",R$52,"CANT",[2]Tablas!$A83),0)+IFERROR(GETPIVOTDATA("Cuenta de CANT",Tabla9,"PROV",[2]Tablas!$A$77,"SEFIS",R$52,"CANT",[2]Tablas!$A83),0)+IFERROR(GETPIVOTDATA("Cuenta de CANT",Tabla9,"PROV",[2]Tablas!$A$89,"SEFIS",R$52,"CANT",[2]Tablas!$A83),0)+IFERROR(GETPIVOTDATA("Cuenta de CANT",Tabla9,"PROV",[2]Tablas!$A$102,"SEFIS",R$52,"CANT",[2]Tablas!$A83),0)+IFERROR(GETPIVOTDATA("Cuenta de CANT",Tabla9,"PROV",[2]Tablas!$A$117,"SEFIS",R$52,"CANT",[2]Tablas!$A83),0)</f>
        <v>0</v>
      </c>
      <c r="S111" s="15">
        <f ca="1">IFERROR(GETPIVOTDATA("Cuenta de CANT",Tabla9,"PROV",[2]Tablas!$A$27,"SEFIS",S$52,"CANT",[2]Tablas!$A83),0)+IFERROR(GETPIVOTDATA("Cuenta de CANT",Tabla9,"PROV",[2]Tablas!$A$49,"SEFIS",S$52,"CANT",[2]Tablas!$A83),0)+IFERROR(GETPIVOTDATA("Cuenta de CANT",Tabla9,"PROV",[2]Tablas!$A$67,"SEFIS",S$52,"CANT",[2]Tablas!$A83),0)+IFERROR(GETPIVOTDATA("Cuenta de CANT",Tabla9,"PROV",[2]Tablas!$A$77,"SEFIS",S$52,"CANT",[2]Tablas!$A83),0)+IFERROR(GETPIVOTDATA("Cuenta de CANT",Tabla9,"PROV",[2]Tablas!$A$89,"SEFIS",S$52,"CANT",[2]Tablas!$A83),0)+IFERROR(GETPIVOTDATA("Cuenta de CANT",Tabla9,"PROV",[2]Tablas!$A$102,"SEFIS",S$52,"CANT",[2]Tablas!$A83),0)+IFERROR(GETPIVOTDATA("Cuenta de CANT",Tabla9,"PROV",[2]Tablas!$A$117,"SEFIS",S$52,"CANT",[2]Tablas!$A83),0)</f>
        <v>0</v>
      </c>
      <c r="T111" s="15">
        <f ca="1">IFERROR(GETPIVOTDATA("Cuenta de CANT",Tabla9,"PROV",[2]Tablas!$A$27,"SEFIS",T$52,"CANT",[2]Tablas!$A83),0)+IFERROR(GETPIVOTDATA("Cuenta de CANT",Tabla9,"PROV",[2]Tablas!$A$49,"SEFIS",T$52,"CANT",[2]Tablas!$A83),0)+IFERROR(GETPIVOTDATA("Cuenta de CANT",Tabla9,"PROV",[2]Tablas!$A$67,"SEFIS",T$52,"CANT",[2]Tablas!$A83),0)+IFERROR(GETPIVOTDATA("Cuenta de CANT",Tabla9,"PROV",[2]Tablas!$A$77,"SEFIS",T$52,"CANT",[2]Tablas!$A83),0)+IFERROR(GETPIVOTDATA("Cuenta de CANT",Tabla9,"PROV",[2]Tablas!$A$89,"SEFIS",T$52,"CANT",[2]Tablas!$A83),0)+IFERROR(GETPIVOTDATA("Cuenta de CANT",Tabla9,"PROV",[2]Tablas!$A$102,"SEFIS",T$52,"CANT",[2]Tablas!$A83),0)+IFERROR(GETPIVOTDATA("Cuenta de CANT",Tabla9,"PROV",[2]Tablas!$A$117,"SEFIS",T$52,"CANT",[2]Tablas!$A83),0)</f>
        <v>0</v>
      </c>
      <c r="U111" s="15">
        <f ca="1">IFERROR(GETPIVOTDATA("Cuenta de CANT",Tabla9,"PROV",[2]Tablas!$A$27,"SEFIS",U$52,"CANT",[2]Tablas!$A83),0)+IFERROR(GETPIVOTDATA("Cuenta de CANT",Tabla9,"PROV",[2]Tablas!$A$49,"SEFIS",U$52,"CANT",[2]Tablas!$A83),0)+IFERROR(GETPIVOTDATA("Cuenta de CANT",Tabla9,"PROV",[2]Tablas!$A$67,"SEFIS",U$52,"CANT",[2]Tablas!$A83),0)+IFERROR(GETPIVOTDATA("Cuenta de CANT",Tabla9,"PROV",[2]Tablas!$A$77,"SEFIS",U$52,"CANT",[2]Tablas!$A83),0)+IFERROR(GETPIVOTDATA("Cuenta de CANT",Tabla9,"PROV",[2]Tablas!$A$89,"SEFIS",U$52,"CANT",[2]Tablas!$A83),0)+IFERROR(GETPIVOTDATA("Cuenta de CANT",Tabla9,"PROV",[2]Tablas!$A$102,"SEFIS",U$52,"CANT",[2]Tablas!$A83),0)+IFERROR(GETPIVOTDATA("Cuenta de CANT",Tabla9,"PROV",[2]Tablas!$A$117,"SEFIS",U$52,"CANT",[2]Tablas!$A83),0)</f>
        <v>0</v>
      </c>
      <c r="V111" s="15">
        <f ca="1">IFERROR(GETPIVOTDATA("Cuenta de CANT",Tabla9,"PROV",[2]Tablas!$A$27,"SEFIS",V$52,"CANT",[2]Tablas!$A83),0)+IFERROR(GETPIVOTDATA("Cuenta de CANT",Tabla9,"PROV",[2]Tablas!$A$49,"SEFIS",V$52,"CANT",[2]Tablas!$A83),0)+IFERROR(GETPIVOTDATA("Cuenta de CANT",Tabla9,"PROV",[2]Tablas!$A$67,"SEFIS",V$52,"CANT",[2]Tablas!$A83),0)+IFERROR(GETPIVOTDATA("Cuenta de CANT",Tabla9,"PROV",[2]Tablas!$A$77,"SEFIS",V$52,"CANT",[2]Tablas!$A83),0)+IFERROR(GETPIVOTDATA("Cuenta de CANT",Tabla9,"PROV",[2]Tablas!$A$89,"SEFIS",V$52,"CANT",[2]Tablas!$A83),0)+IFERROR(GETPIVOTDATA("Cuenta de CANT",Tabla9,"PROV",[2]Tablas!$A$102,"SEFIS",V$52,"CANT",[2]Tablas!$A83),0)+IFERROR(GETPIVOTDATA("Cuenta de CANT",Tabla9,"PROV",[2]Tablas!$A$117,"SEFIS",V$52,"CANT",[2]Tablas!$A83),0)</f>
        <v>0</v>
      </c>
      <c r="W111" s="15">
        <f ca="1">IFERROR(GETPIVOTDATA("Cuenta de CANT",Tabla9,"PROV",[2]Tablas!$A$27,"SEFIS",W$52,"CANT",[2]Tablas!$A83),0)+IFERROR(GETPIVOTDATA("Cuenta de CANT",Tabla9,"PROV",[2]Tablas!$A$49,"SEFIS",W$52,"CANT",[2]Tablas!$A83),0)+IFERROR(GETPIVOTDATA("Cuenta de CANT",Tabla9,"PROV",[2]Tablas!$A$67,"SEFIS",W$52,"CANT",[2]Tablas!$A83),0)+IFERROR(GETPIVOTDATA("Cuenta de CANT",Tabla9,"PROV",[2]Tablas!$A$77,"SEFIS",W$52,"CANT",[2]Tablas!$A83),0)+IFERROR(GETPIVOTDATA("Cuenta de CANT",Tabla9,"PROV",[2]Tablas!$A$89,"SEFIS",W$52,"CANT",[2]Tablas!$A83),0)+IFERROR(GETPIVOTDATA("Cuenta de CANT",Tabla9,"PROV",[2]Tablas!$A$102,"SEFIS",W$52,"CANT",[2]Tablas!$A83),0)+IFERROR(GETPIVOTDATA("Cuenta de CANT",Tabla9,"PROV",[2]Tablas!$A$117,"SEFIS",W$52,"CANT",[2]Tablas!$A83),0)</f>
        <v>0</v>
      </c>
      <c r="X111" s="15">
        <f ca="1">IFERROR(GETPIVOTDATA("Cuenta de CANT",Tabla9,"PROV",[2]Tablas!$A$27,"SEFIS",X$52,"CANT",[2]Tablas!$A83),0)+IFERROR(GETPIVOTDATA("Cuenta de CANT",Tabla9,"PROV",[2]Tablas!$A$49,"SEFIS",X$52,"CANT",[2]Tablas!$A83),0)+IFERROR(GETPIVOTDATA("Cuenta de CANT",Tabla9,"PROV",[2]Tablas!$A$67,"SEFIS",X$52,"CANT",[2]Tablas!$A83),0)+IFERROR(GETPIVOTDATA("Cuenta de CANT",Tabla9,"PROV",[2]Tablas!$A$77,"SEFIS",X$52,"CANT",[2]Tablas!$A83),0)+IFERROR(GETPIVOTDATA("Cuenta de CANT",Tabla9,"PROV",[2]Tablas!$A$89,"SEFIS",X$52,"CANT",[2]Tablas!$A83),0)+IFERROR(GETPIVOTDATA("Cuenta de CANT",Tabla9,"PROV",[2]Tablas!$A$102,"SEFIS",X$52,"CANT",[2]Tablas!$A83),0)+IFERROR(GETPIVOTDATA("Cuenta de CANT",Tabla9,"PROV",[2]Tablas!$A$117,"SEFIS",X$52,"CANT",[2]Tablas!$A83),0)</f>
        <v>0</v>
      </c>
      <c r="Y111" s="15">
        <f ca="1">IFERROR(GETPIVOTDATA("Cuenta de CANT",Tabla9,"PROV",[2]Tablas!$A$27,"SEFIS",Y$52,"CANT",[2]Tablas!$A83),0)+IFERROR(GETPIVOTDATA("Cuenta de CANT",Tabla9,"PROV",[2]Tablas!$A$49,"SEFIS",Y$52,"CANT",[2]Tablas!$A83),0)+IFERROR(GETPIVOTDATA("Cuenta de CANT",Tabla9,"PROV",[2]Tablas!$A$67,"SEFIS",Y$52,"CANT",[2]Tablas!$A83),0)+IFERROR(GETPIVOTDATA("Cuenta de CANT",Tabla9,"PROV",[2]Tablas!$A$77,"SEFIS",Y$52,"CANT",[2]Tablas!$A83),0)+IFERROR(GETPIVOTDATA("Cuenta de CANT",Tabla9,"PROV",[2]Tablas!$A$89,"SEFIS",Y$52,"CANT",[2]Tablas!$A83),0)+IFERROR(GETPIVOTDATA("Cuenta de CANT",Tabla9,"PROV",[2]Tablas!$A$102,"SEFIS",Y$52,"CANT",[2]Tablas!$A83),0)+IFERROR(GETPIVOTDATA("Cuenta de CANT",Tabla9,"PROV",[2]Tablas!$A$117,"SEFIS",Y$52,"CANT",[2]Tablas!$A83),0)</f>
        <v>0</v>
      </c>
      <c r="Z111" s="15">
        <f ca="1">IFERROR(GETPIVOTDATA("Cuenta de CANT",Tabla9,"PROV",[2]Tablas!$A$27,"SEFIS",Z$52,"CANT",[2]Tablas!$A83),0)+IFERROR(GETPIVOTDATA("Cuenta de CANT",Tabla9,"PROV",[2]Tablas!$A$49,"SEFIS",Z$52,"CANT",[2]Tablas!$A83),0)+IFERROR(GETPIVOTDATA("Cuenta de CANT",Tabla9,"PROV",[2]Tablas!$A$67,"SEFIS",Z$52,"CANT",[2]Tablas!$A83),0)+IFERROR(GETPIVOTDATA("Cuenta de CANT",Tabla9,"PROV",[2]Tablas!$A$77,"SEFIS",Z$52,"CANT",[2]Tablas!$A83),0)+IFERROR(GETPIVOTDATA("Cuenta de CANT",Tabla9,"PROV",[2]Tablas!$A$89,"SEFIS",Z$52,"CANT",[2]Tablas!$A83),0)+IFERROR(GETPIVOTDATA("Cuenta de CANT",Tabla9,"PROV",[2]Tablas!$A$102,"SEFIS",Z$52,"CANT",[2]Tablas!$A83),0)+IFERROR(GETPIVOTDATA("Cuenta de CANT",Tabla9,"PROV",[2]Tablas!$A$117,"SEFIS",Z$52,"CANT",[2]Tablas!$A83),0)</f>
        <v>0</v>
      </c>
      <c r="AA111" s="15">
        <f ca="1">IFERROR(GETPIVOTDATA("Cuenta de CANT",Tabla9,"PROV",[2]Tablas!$A$27,"SEFIS",AA$52,"CANT",[2]Tablas!$A83),0)+IFERROR(GETPIVOTDATA("Cuenta de CANT",Tabla9,"PROV",[2]Tablas!$A$49,"SEFIS",AA$52,"CANT",[2]Tablas!$A83),0)+IFERROR(GETPIVOTDATA("Cuenta de CANT",Tabla9,"PROV",[2]Tablas!$A$67,"SEFIS",AA$52,"CANT",[2]Tablas!$A83),0)+IFERROR(GETPIVOTDATA("Cuenta de CANT",Tabla9,"PROV",[2]Tablas!$A$77,"SEFIS",AA$52,"CANT",[2]Tablas!$A83),0)+IFERROR(GETPIVOTDATA("Cuenta de CANT",Tabla9,"PROV",[2]Tablas!$A$89,"SEFIS",AA$52,"CANT",[2]Tablas!$A83),0)+IFERROR(GETPIVOTDATA("Cuenta de CANT",Tabla9,"PROV",[2]Tablas!$A$102,"SEFIS",AA$52,"CANT",[2]Tablas!$A83),0)+IFERROR(GETPIVOTDATA("Cuenta de CANT",Tabla9,"PROV",[2]Tablas!$A$117,"SEFIS",AA$52,"CANT",[2]Tablas!$A83),0)</f>
        <v>0</v>
      </c>
      <c r="AB111" s="15">
        <f ca="1">IFERROR(GETPIVOTDATA("Cuenta de CANT",Tabla9,"PROV",[2]Tablas!$A$27,"SEFIS",AB$52,"CANT",[2]Tablas!$A83),0)+IFERROR(GETPIVOTDATA("Cuenta de CANT",Tabla9,"PROV",[2]Tablas!$A$49,"SEFIS",AB$52,"CANT",[2]Tablas!$A83),0)+IFERROR(GETPIVOTDATA("Cuenta de CANT",Tabla9,"PROV",[2]Tablas!$A$67,"SEFIS",AB$52,"CANT",[2]Tablas!$A83),0)+IFERROR(GETPIVOTDATA("Cuenta de CANT",Tabla9,"PROV",[2]Tablas!$A$77,"SEFIS",AB$52,"CANT",[2]Tablas!$A83),0)+IFERROR(GETPIVOTDATA("Cuenta de CANT",Tabla9,"PROV",[2]Tablas!$A$89,"SEFIS",AB$52,"CANT",[2]Tablas!$A83),0)+IFERROR(GETPIVOTDATA("Cuenta de CANT",Tabla9,"PROV",[2]Tablas!$A$102,"SEFIS",AB$52,"CANT",[2]Tablas!$A83),0)+IFERROR(GETPIVOTDATA("Cuenta de CANT",Tabla9,"PROV",[2]Tablas!$A$117,"SEFIS",AB$52,"CANT",[2]Tablas!$A83),0)</f>
        <v>0</v>
      </c>
      <c r="AC111" s="15">
        <f ca="1">IFERROR(GETPIVOTDATA("Cuenta de CANT",Tabla9,"PROV",[2]Tablas!$A$27,"SEFIS",AC$52,"CANT",[2]Tablas!$A83),0)+IFERROR(GETPIVOTDATA("Cuenta de CANT",Tabla9,"PROV",[2]Tablas!$A$49,"SEFIS",AC$52,"CANT",[2]Tablas!$A83),0)+IFERROR(GETPIVOTDATA("Cuenta de CANT",Tabla9,"PROV",[2]Tablas!$A$67,"SEFIS",AC$52,"CANT",[2]Tablas!$A83),0)+IFERROR(GETPIVOTDATA("Cuenta de CANT",Tabla9,"PROV",[2]Tablas!$A$77,"SEFIS",AC$52,"CANT",[2]Tablas!$A83),0)+IFERROR(GETPIVOTDATA("Cuenta de CANT",Tabla9,"PROV",[2]Tablas!$A$89,"SEFIS",AC$52,"CANT",[2]Tablas!$A83),0)+IFERROR(GETPIVOTDATA("Cuenta de CANT",Tabla9,"PROV",[2]Tablas!$A$102,"SEFIS",AC$52,"CANT",[2]Tablas!$A83),0)+IFERROR(GETPIVOTDATA("Cuenta de CANT",Tabla9,"PROV",[2]Tablas!$A$117,"SEFIS",AC$52,"CANT",[2]Tablas!$A83),0)</f>
        <v>0</v>
      </c>
      <c r="AD111" s="15">
        <f ca="1">IFERROR(GETPIVOTDATA("Cuenta de CANT",Tabla9,"PROV",[2]Tablas!$A$27,"SEFIS",AD$52,"CANT",[2]Tablas!$A83),0)+IFERROR(GETPIVOTDATA("Cuenta de CANT",Tabla9,"PROV",[2]Tablas!$A$49,"SEFIS",AD$52,"CANT",[2]Tablas!$A83),0)+IFERROR(GETPIVOTDATA("Cuenta de CANT",Tabla9,"PROV",[2]Tablas!$A$67,"SEFIS",AD$52,"CANT",[2]Tablas!$A83),0)+IFERROR(GETPIVOTDATA("Cuenta de CANT",Tabla9,"PROV",[2]Tablas!$A$77,"SEFIS",AD$52,"CANT",[2]Tablas!$A83),0)+IFERROR(GETPIVOTDATA("Cuenta de CANT",Tabla9,"PROV",[2]Tablas!$A$89,"SEFIS",AD$52,"CANT",[2]Tablas!$A83),0)+IFERROR(GETPIVOTDATA("Cuenta de CANT",Tabla9,"PROV",[2]Tablas!$A$102,"SEFIS",AD$52,"CANT",[2]Tablas!$A83),0)+IFERROR(GETPIVOTDATA("Cuenta de CANT",Tabla9,"PROV",[2]Tablas!$A$117,"SEFIS",AD$52,"CANT",[2]Tablas!$A83),0)</f>
        <v>0</v>
      </c>
      <c r="AE111" s="15">
        <f ca="1">IFERROR(GETPIVOTDATA("Cuenta de CANT",Tabla9,"PROV",[2]Tablas!$A$27,"SEFIS",AE$52,"CANT",[2]Tablas!$A83),0)+IFERROR(GETPIVOTDATA("Cuenta de CANT",Tabla9,"PROV",[2]Tablas!$A$49,"SEFIS",AE$52,"CANT",[2]Tablas!$A83),0)+IFERROR(GETPIVOTDATA("Cuenta de CANT",Tabla9,"PROV",[2]Tablas!$A$67,"SEFIS",AE$52,"CANT",[2]Tablas!$A83),0)+IFERROR(GETPIVOTDATA("Cuenta de CANT",Tabla9,"PROV",[2]Tablas!$A$77,"SEFIS",AE$52,"CANT",[2]Tablas!$A83),0)+IFERROR(GETPIVOTDATA("Cuenta de CANT",Tabla9,"PROV",[2]Tablas!$A$89,"SEFIS",AE$52,"CANT",[2]Tablas!$A83),0)+IFERROR(GETPIVOTDATA("Cuenta de CANT",Tabla9,"PROV",[2]Tablas!$A$102,"SEFIS",AE$52,"CANT",[2]Tablas!$A83),0)+IFERROR(GETPIVOTDATA("Cuenta de CANT",Tabla9,"PROV",[2]Tablas!$A$117,"SEFIS",AE$52,"CANT",[2]Tablas!$A83),0)</f>
        <v>0</v>
      </c>
      <c r="AF111" s="15">
        <f ca="1">IFERROR(GETPIVOTDATA("Cuenta de CANT",Tabla9,"PROV",[2]Tablas!$A$27,"SEFIS",AF$52,"CANT",[2]Tablas!$A83),0)+IFERROR(GETPIVOTDATA("Cuenta de CANT",Tabla9,"PROV",[2]Tablas!$A$49,"SEFIS",AF$52,"CANT",[2]Tablas!$A83),0)+IFERROR(GETPIVOTDATA("Cuenta de CANT",Tabla9,"PROV",[2]Tablas!$A$67,"SEFIS",AF$52,"CANT",[2]Tablas!$A83),0)+IFERROR(GETPIVOTDATA("Cuenta de CANT",Tabla9,"PROV",[2]Tablas!$A$77,"SEFIS",AF$52,"CANT",[2]Tablas!$A83),0)+IFERROR(GETPIVOTDATA("Cuenta de CANT",Tabla9,"PROV",[2]Tablas!$A$89,"SEFIS",AF$52,"CANT",[2]Tablas!$A83),0)+IFERROR(GETPIVOTDATA("Cuenta de CANT",Tabla9,"PROV",[2]Tablas!$A$102,"SEFIS",AF$52,"CANT",[2]Tablas!$A83),0)+IFERROR(GETPIVOTDATA("Cuenta de CANT",Tabla9,"PROV",[2]Tablas!$A$117,"SEFIS",AF$52,"CANT",[2]Tablas!$A83),0)</f>
        <v>0</v>
      </c>
      <c r="AG111" s="15">
        <f ca="1">IFERROR(GETPIVOTDATA("Cuenta de CANT",Tabla9,"PROV",[2]Tablas!$A$27,"SEFIS",AG$52,"CANT",[2]Tablas!$A83),0)+IFERROR(GETPIVOTDATA("Cuenta de CANT",Tabla9,"PROV",[2]Tablas!$A$49,"SEFIS",AG$52,"CANT",[2]Tablas!$A83),0)+IFERROR(GETPIVOTDATA("Cuenta de CANT",Tabla9,"PROV",[2]Tablas!$A$67,"SEFIS",AG$52,"CANT",[2]Tablas!$A83),0)+IFERROR(GETPIVOTDATA("Cuenta de CANT",Tabla9,"PROV",[2]Tablas!$A$77,"SEFIS",AG$52,"CANT",[2]Tablas!$A83),0)+IFERROR(GETPIVOTDATA("Cuenta de CANT",Tabla9,"PROV",[2]Tablas!$A$89,"SEFIS",AG$52,"CANT",[2]Tablas!$A83),0)+IFERROR(GETPIVOTDATA("Cuenta de CANT",Tabla9,"PROV",[2]Tablas!$A$102,"SEFIS",AG$52,"CANT",[2]Tablas!$A83),0)+IFERROR(GETPIVOTDATA("Cuenta de CANT",Tabla9,"PROV",[2]Tablas!$A$117,"SEFIS",AG$52,"CANT",[2]Tablas!$A83),0)</f>
        <v>0</v>
      </c>
      <c r="AH111" s="15">
        <f ca="1">IFERROR(GETPIVOTDATA("Cuenta de CANT",Tabla9,"PROV",[2]Tablas!$A$27,"SEFIS",AH$52,"CANT",[2]Tablas!$A83),0)+IFERROR(GETPIVOTDATA("Cuenta de CANT",Tabla9,"PROV",[2]Tablas!$A$49,"SEFIS",AH$52,"CANT",[2]Tablas!$A83),0)+IFERROR(GETPIVOTDATA("Cuenta de CANT",Tabla9,"PROV",[2]Tablas!$A$67,"SEFIS",AH$52,"CANT",[2]Tablas!$A83),0)+IFERROR(GETPIVOTDATA("Cuenta de CANT",Tabla9,"PROV",[2]Tablas!$A$77,"SEFIS",AH$52,"CANT",[2]Tablas!$A83),0)+IFERROR(GETPIVOTDATA("Cuenta de CANT",Tabla9,"PROV",[2]Tablas!$A$89,"SEFIS",AH$52,"CANT",[2]Tablas!$A83),0)+IFERROR(GETPIVOTDATA("Cuenta de CANT",Tabla9,"PROV",[2]Tablas!$A$102,"SEFIS",AH$52,"CANT",[2]Tablas!$A83),0)+IFERROR(GETPIVOTDATA("Cuenta de CANT",Tabla9,"PROV",[2]Tablas!$A$117,"SEFIS",AH$52,"CANT",[2]Tablas!$A83),0)</f>
        <v>0</v>
      </c>
      <c r="AI111" s="15">
        <f ca="1">IFERROR(GETPIVOTDATA("Cuenta de CANT",Tabla9,"PROV",[2]Tablas!$A$27,"SEFIS",AI$52,"CANT",[2]Tablas!$A83),0)+IFERROR(GETPIVOTDATA("Cuenta de CANT",Tabla9,"PROV",[2]Tablas!$A$49,"SEFIS",AI$52,"CANT",[2]Tablas!$A83),0)+IFERROR(GETPIVOTDATA("Cuenta de CANT",Tabla9,"PROV",[2]Tablas!$A$67,"SEFIS",AI$52,"CANT",[2]Tablas!$A83),0)+IFERROR(GETPIVOTDATA("Cuenta de CANT",Tabla9,"PROV",[2]Tablas!$A$77,"SEFIS",AI$52,"CANT",[2]Tablas!$A83),0)+IFERROR(GETPIVOTDATA("Cuenta de CANT",Tabla9,"PROV",[2]Tablas!$A$89,"SEFIS",AI$52,"CANT",[2]Tablas!$A83),0)+IFERROR(GETPIVOTDATA("Cuenta de CANT",Tabla9,"PROV",[2]Tablas!$A$102,"SEFIS",AI$52,"CANT",[2]Tablas!$A83),0)+IFERROR(GETPIVOTDATA("Cuenta de CANT",Tabla9,"PROV",[2]Tablas!$A$117,"SEFIS",AI$52,"CANT",[2]Tablas!$A83),0)</f>
        <v>0</v>
      </c>
      <c r="AJ111" s="15">
        <f ca="1">IFERROR(GETPIVOTDATA("Cuenta de CANT",Tabla9,"PROV",[2]Tablas!$A$27,"SEFIS",AJ$52,"CANT",[2]Tablas!$A83),0)+IFERROR(GETPIVOTDATA("Cuenta de CANT",Tabla9,"PROV",[2]Tablas!$A$49,"SEFIS",AJ$52,"CANT",[2]Tablas!$A83),0)+IFERROR(GETPIVOTDATA("Cuenta de CANT",Tabla9,"PROV",[2]Tablas!$A$67,"SEFIS",AJ$52,"CANT",[2]Tablas!$A83),0)+IFERROR(GETPIVOTDATA("Cuenta de CANT",Tabla9,"PROV",[2]Tablas!$A$77,"SEFIS",AJ$52,"CANT",[2]Tablas!$A83),0)+IFERROR(GETPIVOTDATA("Cuenta de CANT",Tabla9,"PROV",[2]Tablas!$A$89,"SEFIS",AJ$52,"CANT",[2]Tablas!$A83),0)+IFERROR(GETPIVOTDATA("Cuenta de CANT",Tabla9,"PROV",[2]Tablas!$A$102,"SEFIS",AJ$52,"CANT",[2]Tablas!$A83),0)+IFERROR(GETPIVOTDATA("Cuenta de CANT",Tabla9,"PROV",[2]Tablas!$A$117,"SEFIS",AJ$52,"CANT",[2]Tablas!$A83),0)</f>
        <v>0</v>
      </c>
      <c r="AK111" s="15">
        <f ca="1">IFERROR(GETPIVOTDATA("Cuenta de CANT",Tabla9,"PROV",[2]Tablas!$A$27,"SEFIS",AK$52,"CANT",[2]Tablas!$A83),0)+IFERROR(GETPIVOTDATA("Cuenta de CANT",Tabla9,"PROV",[2]Tablas!$A$49,"SEFIS",AK$52,"CANT",[2]Tablas!$A83),0)+IFERROR(GETPIVOTDATA("Cuenta de CANT",Tabla9,"PROV",[2]Tablas!$A$67,"SEFIS",AK$52,"CANT",[2]Tablas!$A83),0)+IFERROR(GETPIVOTDATA("Cuenta de CANT",Tabla9,"PROV",[2]Tablas!$A$77,"SEFIS",AK$52,"CANT",[2]Tablas!$A83),0)+IFERROR(GETPIVOTDATA("Cuenta de CANT",Tabla9,"PROV",[2]Tablas!$A$89,"SEFIS",AK$52,"CANT",[2]Tablas!$A83),0)+IFERROR(GETPIVOTDATA("Cuenta de CANT",Tabla9,"PROV",[2]Tablas!$A$102,"SEFIS",AK$52,"CANT",[2]Tablas!$A83),0)+IFERROR(GETPIVOTDATA("Cuenta de CANT",Tabla9,"PROV",[2]Tablas!$A$117,"SEFIS",AK$52,"CANT",[2]Tablas!$A83),0)</f>
        <v>0</v>
      </c>
      <c r="AL111" s="15">
        <f ca="1">IFERROR(GETPIVOTDATA("Cuenta de CANT",Tabla9,"PROV",[2]Tablas!$A$27,"SEFIS",AL$52,"CANT",[2]Tablas!$A83),0)+IFERROR(GETPIVOTDATA("Cuenta de CANT",Tabla9,"PROV",[2]Tablas!$A$49,"SEFIS",AL$52,"CANT",[2]Tablas!$A83),0)+IFERROR(GETPIVOTDATA("Cuenta de CANT",Tabla9,"PROV",[2]Tablas!$A$67,"SEFIS",AL$52,"CANT",[2]Tablas!$A83),0)+IFERROR(GETPIVOTDATA("Cuenta de CANT",Tabla9,"PROV",[2]Tablas!$A$77,"SEFIS",AL$52,"CANT",[2]Tablas!$A83),0)+IFERROR(GETPIVOTDATA("Cuenta de CANT",Tabla9,"PROV",[2]Tablas!$A$89,"SEFIS",AL$52,"CANT",[2]Tablas!$A83),0)+IFERROR(GETPIVOTDATA("Cuenta de CANT",Tabla9,"PROV",[2]Tablas!$A$102,"SEFIS",AL$52,"CANT",[2]Tablas!$A83),0)+IFERROR(GETPIVOTDATA("Cuenta de CANT",Tabla9,"PROV",[2]Tablas!$A$117,"SEFIS",AL$52,"CANT",[2]Tablas!$A83),0)</f>
        <v>0</v>
      </c>
      <c r="AM111" s="15">
        <f ca="1">IFERROR(GETPIVOTDATA("Cuenta de CANT",Tabla9,"PROV",[2]Tablas!$A$27,"SEFIS",AM$52,"CANT",[2]Tablas!$A83),0)+IFERROR(GETPIVOTDATA("Cuenta de CANT",Tabla9,"PROV",[2]Tablas!$A$49,"SEFIS",AM$52,"CANT",[2]Tablas!$A83),0)+IFERROR(GETPIVOTDATA("Cuenta de CANT",Tabla9,"PROV",[2]Tablas!$A$67,"SEFIS",AM$52,"CANT",[2]Tablas!$A83),0)+IFERROR(GETPIVOTDATA("Cuenta de CANT",Tabla9,"PROV",[2]Tablas!$A$77,"SEFIS",AM$52,"CANT",[2]Tablas!$A83),0)+IFERROR(GETPIVOTDATA("Cuenta de CANT",Tabla9,"PROV",[2]Tablas!$A$89,"SEFIS",AM$52,"CANT",[2]Tablas!$A83),0)+IFERROR(GETPIVOTDATA("Cuenta de CANT",Tabla9,"PROV",[2]Tablas!$A$102,"SEFIS",AM$52,"CANT",[2]Tablas!$A83),0)+IFERROR(GETPIVOTDATA("Cuenta de CANT",Tabla9,"PROV",[2]Tablas!$A$117,"SEFIS",AM$52,"CANT",[2]Tablas!$A83),0)</f>
        <v>0</v>
      </c>
      <c r="AN111" s="15">
        <f ca="1">IFERROR(GETPIVOTDATA("Cuenta de CANT",Tabla9,"PROV",[2]Tablas!$A$27,"SEFIS",AN$52,"CANT",[2]Tablas!$A83),0)+IFERROR(GETPIVOTDATA("Cuenta de CANT",Tabla9,"PROV",[2]Tablas!$A$49,"SEFIS",AN$52,"CANT",[2]Tablas!$A83),0)+IFERROR(GETPIVOTDATA("Cuenta de CANT",Tabla9,"PROV",[2]Tablas!$A$67,"SEFIS",AN$52,"CANT",[2]Tablas!$A83),0)+IFERROR(GETPIVOTDATA("Cuenta de CANT",Tabla9,"PROV",[2]Tablas!$A$77,"SEFIS",AN$52,"CANT",[2]Tablas!$A83),0)+IFERROR(GETPIVOTDATA("Cuenta de CANT",Tabla9,"PROV",[2]Tablas!$A$89,"SEFIS",AN$52,"CANT",[2]Tablas!$A83),0)+IFERROR(GETPIVOTDATA("Cuenta de CANT",Tabla9,"PROV",[2]Tablas!$A$102,"SEFIS",AN$52,"CANT",[2]Tablas!$A83),0)+IFERROR(GETPIVOTDATA("Cuenta de CANT",Tabla9,"PROV",[2]Tablas!$A$117,"SEFIS",AN$52,"CANT",[2]Tablas!$A83),0)</f>
        <v>0</v>
      </c>
      <c r="AO111" s="15">
        <f ca="1">IFERROR(GETPIVOTDATA("Cuenta de CANT",Tabla9,"PROV",[2]Tablas!$A$27,"SEFIS",AO$52,"CANT",[2]Tablas!$A83),0)+IFERROR(GETPIVOTDATA("Cuenta de CANT",Tabla9,"PROV",[2]Tablas!$A$49,"SEFIS",AO$52,"CANT",[2]Tablas!$A83),0)+IFERROR(GETPIVOTDATA("Cuenta de CANT",Tabla9,"PROV",[2]Tablas!$A$67,"SEFIS",AO$52,"CANT",[2]Tablas!$A83),0)+IFERROR(GETPIVOTDATA("Cuenta de CANT",Tabla9,"PROV",[2]Tablas!$A$77,"SEFIS",AO$52,"CANT",[2]Tablas!$A83),0)+IFERROR(GETPIVOTDATA("Cuenta de CANT",Tabla9,"PROV",[2]Tablas!$A$89,"SEFIS",AO$52,"CANT",[2]Tablas!$A83),0)+IFERROR(GETPIVOTDATA("Cuenta de CANT",Tabla9,"PROV",[2]Tablas!$A$102,"SEFIS",AO$52,"CANT",[2]Tablas!$A83),0)+IFERROR(GETPIVOTDATA("Cuenta de CANT",Tabla9,"PROV",[2]Tablas!$A$117,"SEFIS",AO$52,"CANT",[2]Tablas!$A83),0)</f>
        <v>0</v>
      </c>
      <c r="AP111" s="15">
        <f ca="1">IFERROR(GETPIVOTDATA("Cuenta de CANT",Tabla9,"PROV",[2]Tablas!$A$27,"SEFIS",AP$52,"CANT",[2]Tablas!$A83),0)+IFERROR(GETPIVOTDATA("Cuenta de CANT",Tabla9,"PROV",[2]Tablas!$A$49,"SEFIS",AP$52,"CANT",[2]Tablas!$A83),0)+IFERROR(GETPIVOTDATA("Cuenta de CANT",Tabla9,"PROV",[2]Tablas!$A$67,"SEFIS",AP$52,"CANT",[2]Tablas!$A83),0)+IFERROR(GETPIVOTDATA("Cuenta de CANT",Tabla9,"PROV",[2]Tablas!$A$77,"SEFIS",AP$52,"CANT",[2]Tablas!$A83),0)+IFERROR(GETPIVOTDATA("Cuenta de CANT",Tabla9,"PROV",[2]Tablas!$A$89,"SEFIS",AP$52,"CANT",[2]Tablas!$A83),0)+IFERROR(GETPIVOTDATA("Cuenta de CANT",Tabla9,"PROV",[2]Tablas!$A$102,"SEFIS",AP$52,"CANT",[2]Tablas!$A83),0)+IFERROR(GETPIVOTDATA("Cuenta de CANT",Tabla9,"PROV",[2]Tablas!$A$117,"SEFIS",AP$52,"CANT",[2]Tablas!$A83),0)</f>
        <v>0</v>
      </c>
      <c r="AQ111" s="15">
        <f ca="1">IFERROR(GETPIVOTDATA("Cuenta de CANT",Tabla9,"PROV",[2]Tablas!$A$27,"SEFIS",AQ$52,"CANT",[2]Tablas!$A83),0)+IFERROR(GETPIVOTDATA("Cuenta de CANT",Tabla9,"PROV",[2]Tablas!$A$49,"SEFIS",AQ$52,"CANT",[2]Tablas!$A83),0)+IFERROR(GETPIVOTDATA("Cuenta de CANT",Tabla9,"PROV",[2]Tablas!$A$67,"SEFIS",AQ$52,"CANT",[2]Tablas!$A83),0)+IFERROR(GETPIVOTDATA("Cuenta de CANT",Tabla9,"PROV",[2]Tablas!$A$77,"SEFIS",AQ$52,"CANT",[2]Tablas!$A83),0)+IFERROR(GETPIVOTDATA("Cuenta de CANT",Tabla9,"PROV",[2]Tablas!$A$89,"SEFIS",AQ$52,"CANT",[2]Tablas!$A83),0)+IFERROR(GETPIVOTDATA("Cuenta de CANT",Tabla9,"PROV",[2]Tablas!$A$102,"SEFIS",AQ$52,"CANT",[2]Tablas!$A83),0)+IFERROR(GETPIVOTDATA("Cuenta de CANT",Tabla9,"PROV",[2]Tablas!$A$117,"SEFIS",AQ$52,"CANT",[2]Tablas!$A83),0)</f>
        <v>0</v>
      </c>
      <c r="AR111" s="15">
        <f ca="1">IFERROR(GETPIVOTDATA("Cuenta de CANT",Tabla9,"PROV",[2]Tablas!$A$27,"SEFIS",AR$52,"CANT",[2]Tablas!$A83),0)+IFERROR(GETPIVOTDATA("Cuenta de CANT",Tabla9,"PROV",[2]Tablas!$A$49,"SEFIS",AR$52,"CANT",[2]Tablas!$A83),0)+IFERROR(GETPIVOTDATA("Cuenta de CANT",Tabla9,"PROV",[2]Tablas!$A$67,"SEFIS",AR$52,"CANT",[2]Tablas!$A83),0)+IFERROR(GETPIVOTDATA("Cuenta de CANT",Tabla9,"PROV",[2]Tablas!$A$77,"SEFIS",AR$52,"CANT",[2]Tablas!$A83),0)+IFERROR(GETPIVOTDATA("Cuenta de CANT",Tabla9,"PROV",[2]Tablas!$A$89,"SEFIS",AR$52,"CANT",[2]Tablas!$A83),0)+IFERROR(GETPIVOTDATA("Cuenta de CANT",Tabla9,"PROV",[2]Tablas!$A$102,"SEFIS",AR$52,"CANT",[2]Tablas!$A83),0)+IFERROR(GETPIVOTDATA("Cuenta de CANT",Tabla9,"PROV",[2]Tablas!$A$117,"SEFIS",AR$52,"CANT",[2]Tablas!$A83),0)</f>
        <v>0</v>
      </c>
      <c r="AS111" s="15">
        <f ca="1">IFERROR(GETPIVOTDATA("Cuenta de CANT",Tabla9,"PROV",[2]Tablas!$A$27,"SEFIS",AS$52,"CANT",[2]Tablas!$A83),0)+IFERROR(GETPIVOTDATA("Cuenta de CANT",Tabla9,"PROV",[2]Tablas!$A$49,"SEFIS",AS$52,"CANT",[2]Tablas!$A83),0)+IFERROR(GETPIVOTDATA("Cuenta de CANT",Tabla9,"PROV",[2]Tablas!$A$67,"SEFIS",AS$52,"CANT",[2]Tablas!$A83),0)+IFERROR(GETPIVOTDATA("Cuenta de CANT",Tabla9,"PROV",[2]Tablas!$A$77,"SEFIS",AS$52,"CANT",[2]Tablas!$A83),0)+IFERROR(GETPIVOTDATA("Cuenta de CANT",Tabla9,"PROV",[2]Tablas!$A$89,"SEFIS",AS$52,"CANT",[2]Tablas!$A83),0)+IFERROR(GETPIVOTDATA("Cuenta de CANT",Tabla9,"PROV",[2]Tablas!$A$102,"SEFIS",AS$52,"CANT",[2]Tablas!$A83),0)+IFERROR(GETPIVOTDATA("Cuenta de CANT",Tabla9,"PROV",[2]Tablas!$A$117,"SEFIS",AS$52,"CANT",[2]Tablas!$A83),0)</f>
        <v>0</v>
      </c>
      <c r="AT111" s="15">
        <f ca="1">IFERROR(GETPIVOTDATA("Cuenta de CANT",Tabla9,"PROV",[2]Tablas!$A$27,"SEFIS",AT$52,"CANT",[2]Tablas!$A83),0)+IFERROR(GETPIVOTDATA("Cuenta de CANT",Tabla9,"PROV",[2]Tablas!$A$49,"SEFIS",AT$52,"CANT",[2]Tablas!$A83),0)+IFERROR(GETPIVOTDATA("Cuenta de CANT",Tabla9,"PROV",[2]Tablas!$A$67,"SEFIS",AT$52,"CANT",[2]Tablas!$A83),0)+IFERROR(GETPIVOTDATA("Cuenta de CANT",Tabla9,"PROV",[2]Tablas!$A$77,"SEFIS",AT$52,"CANT",[2]Tablas!$A83),0)+IFERROR(GETPIVOTDATA("Cuenta de CANT",Tabla9,"PROV",[2]Tablas!$A$89,"SEFIS",AT$52,"CANT",[2]Tablas!$A83),0)+IFERROR(GETPIVOTDATA("Cuenta de CANT",Tabla9,"PROV",[2]Tablas!$A$102,"SEFIS",AT$52,"CANT",[2]Tablas!$A83),0)+IFERROR(GETPIVOTDATA("Cuenta de CANT",Tabla9,"PROV",[2]Tablas!$A$117,"SEFIS",AT$52,"CANT",[2]Tablas!$A83),0)</f>
        <v>0</v>
      </c>
      <c r="AU111" s="15">
        <f ca="1">IFERROR(GETPIVOTDATA("Cuenta de CANT",Tabla9,"PROV",[2]Tablas!$A$27,"SEFIS",AU$52,"CANT",[2]Tablas!$A83),0)+IFERROR(GETPIVOTDATA("Cuenta de CANT",Tabla9,"PROV",[2]Tablas!$A$49,"SEFIS",AU$52,"CANT",[2]Tablas!$A83),0)+IFERROR(GETPIVOTDATA("Cuenta de CANT",Tabla9,"PROV",[2]Tablas!$A$67,"SEFIS",AU$52,"CANT",[2]Tablas!$A83),0)+IFERROR(GETPIVOTDATA("Cuenta de CANT",Tabla9,"PROV",[2]Tablas!$A$77,"SEFIS",AU$52,"CANT",[2]Tablas!$A83),0)+IFERROR(GETPIVOTDATA("Cuenta de CANT",Tabla9,"PROV",[2]Tablas!$A$89,"SEFIS",AU$52,"CANT",[2]Tablas!$A83),0)+IFERROR(GETPIVOTDATA("Cuenta de CANT",Tabla9,"PROV",[2]Tablas!$A$102,"SEFIS",AU$52,"CANT",[2]Tablas!$A83),0)+IFERROR(GETPIVOTDATA("Cuenta de CANT",Tabla9,"PROV",[2]Tablas!$A$117,"SEFIS",AU$52,"CANT",[2]Tablas!$A83),0)</f>
        <v>0</v>
      </c>
      <c r="AV111" s="15">
        <f ca="1">IFERROR(GETPIVOTDATA("Cuenta de CANT",Tabla9,"PROV",[2]Tablas!$A$27,"SEFIS",AV$52,"CANT",[2]Tablas!$A83),0)+IFERROR(GETPIVOTDATA("Cuenta de CANT",Tabla9,"PROV",[2]Tablas!$A$49,"SEFIS",AV$52,"CANT",[2]Tablas!$A83),0)+IFERROR(GETPIVOTDATA("Cuenta de CANT",Tabla9,"PROV",[2]Tablas!$A$67,"SEFIS",AV$52,"CANT",[2]Tablas!$A83),0)+IFERROR(GETPIVOTDATA("Cuenta de CANT",Tabla9,"PROV",[2]Tablas!$A$77,"SEFIS",AV$52,"CANT",[2]Tablas!$A83),0)+IFERROR(GETPIVOTDATA("Cuenta de CANT",Tabla9,"PROV",[2]Tablas!$A$89,"SEFIS",AV$52,"CANT",[2]Tablas!$A83),0)+IFERROR(GETPIVOTDATA("Cuenta de CANT",Tabla9,"PROV",[2]Tablas!$A$102,"SEFIS",AV$52,"CANT",[2]Tablas!$A83),0)+IFERROR(GETPIVOTDATA("Cuenta de CANT",Tabla9,"PROV",[2]Tablas!$A$117,"SEFIS",AV$52,"CANT",[2]Tablas!$A83),0)</f>
        <v>0</v>
      </c>
      <c r="AW111" s="15">
        <f ca="1">IFERROR(GETPIVOTDATA("Cuenta de CANT",Tabla9,"PROV",[2]Tablas!$A$27,"SEFIS",AW$52,"CANT",[2]Tablas!$A83),0)+IFERROR(GETPIVOTDATA("Cuenta de CANT",Tabla9,"PROV",[2]Tablas!$A$49,"SEFIS",AW$52,"CANT",[2]Tablas!$A83),0)+IFERROR(GETPIVOTDATA("Cuenta de CANT",Tabla9,"PROV",[2]Tablas!$A$67,"SEFIS",AW$52,"CANT",[2]Tablas!$A83),0)+IFERROR(GETPIVOTDATA("Cuenta de CANT",Tabla9,"PROV",[2]Tablas!$A$77,"SEFIS",AW$52,"CANT",[2]Tablas!$A83),0)+IFERROR(GETPIVOTDATA("Cuenta de CANT",Tabla9,"PROV",[2]Tablas!$A$89,"SEFIS",AW$52,"CANT",[2]Tablas!$A83),0)+IFERROR(GETPIVOTDATA("Cuenta de CANT",Tabla9,"PROV",[2]Tablas!$A$102,"SEFIS",AW$52,"CANT",[2]Tablas!$A83),0)+IFERROR(GETPIVOTDATA("Cuenta de CANT",Tabla9,"PROV",[2]Tablas!$A$117,"SEFIS",AW$52,"CANT",[2]Tablas!$A83),0)</f>
        <v>0</v>
      </c>
      <c r="AX111" s="15">
        <f ca="1">IFERROR(GETPIVOTDATA("Cuenta de CANT",Tabla9,"PROV",[2]Tablas!$A$27,"SEFIS",AX$52,"CANT",[2]Tablas!$A83),0)+IFERROR(GETPIVOTDATA("Cuenta de CANT",Tabla9,"PROV",[2]Tablas!$A$49,"SEFIS",AX$52,"CANT",[2]Tablas!$A83),0)+IFERROR(GETPIVOTDATA("Cuenta de CANT",Tabla9,"PROV",[2]Tablas!$A$67,"SEFIS",AX$52,"CANT",[2]Tablas!$A83),0)+IFERROR(GETPIVOTDATA("Cuenta de CANT",Tabla9,"PROV",[2]Tablas!$A$77,"SEFIS",AX$52,"CANT",[2]Tablas!$A83),0)+IFERROR(GETPIVOTDATA("Cuenta de CANT",Tabla9,"PROV",[2]Tablas!$A$89,"SEFIS",AX$52,"CANT",[2]Tablas!$A83),0)+IFERROR(GETPIVOTDATA("Cuenta de CANT",Tabla9,"PROV",[2]Tablas!$A$102,"SEFIS",AX$52,"CANT",[2]Tablas!$A83),0)+IFERROR(GETPIVOTDATA("Cuenta de CANT",Tabla9,"PROV",[2]Tablas!$A$117,"SEFIS",AX$52,"CANT",[2]Tablas!$A83),0)</f>
        <v>0</v>
      </c>
      <c r="AY111" s="15">
        <f ca="1">IFERROR(GETPIVOTDATA("Cuenta de CANT",Tabla9,"PROV",[2]Tablas!$A$27,"SEFIS",AY$52,"CANT",[2]Tablas!$A83),0)+IFERROR(GETPIVOTDATA("Cuenta de CANT",Tabla9,"PROV",[2]Tablas!$A$49,"SEFIS",AY$52,"CANT",[2]Tablas!$A83),0)+IFERROR(GETPIVOTDATA("Cuenta de CANT",Tabla9,"PROV",[2]Tablas!$A$67,"SEFIS",AY$52,"CANT",[2]Tablas!$A83),0)+IFERROR(GETPIVOTDATA("Cuenta de CANT",Tabla9,"PROV",[2]Tablas!$A$77,"SEFIS",AY$52,"CANT",[2]Tablas!$A83),0)+IFERROR(GETPIVOTDATA("Cuenta de CANT",Tabla9,"PROV",[2]Tablas!$A$89,"SEFIS",AY$52,"CANT",[2]Tablas!$A83),0)+IFERROR(GETPIVOTDATA("Cuenta de CANT",Tabla9,"PROV",[2]Tablas!$A$102,"SEFIS",AY$52,"CANT",[2]Tablas!$A83),0)+IFERROR(GETPIVOTDATA("Cuenta de CANT",Tabla9,"PROV",[2]Tablas!$A$117,"SEFIS",AY$52,"CANT",[2]Tablas!$A83),0)</f>
        <v>0</v>
      </c>
      <c r="AZ111" s="15">
        <f ca="1">IFERROR(GETPIVOTDATA("Cuenta de CANT",Tabla9,"PROV",[2]Tablas!$A$27,"SEFIS",AZ$52,"CANT",[2]Tablas!$A83),0)+IFERROR(GETPIVOTDATA("Cuenta de CANT",Tabla9,"PROV",[2]Tablas!$A$49,"SEFIS",AZ$52,"CANT",[2]Tablas!$A83),0)+IFERROR(GETPIVOTDATA("Cuenta de CANT",Tabla9,"PROV",[2]Tablas!$A$67,"SEFIS",AZ$52,"CANT",[2]Tablas!$A83),0)+IFERROR(GETPIVOTDATA("Cuenta de CANT",Tabla9,"PROV",[2]Tablas!$A$77,"SEFIS",AZ$52,"CANT",[2]Tablas!$A83),0)+IFERROR(GETPIVOTDATA("Cuenta de CANT",Tabla9,"PROV",[2]Tablas!$A$89,"SEFIS",AZ$52,"CANT",[2]Tablas!$A83),0)+IFERROR(GETPIVOTDATA("Cuenta de CANT",Tabla9,"PROV",[2]Tablas!$A$102,"SEFIS",AZ$52,"CANT",[2]Tablas!$A83),0)+IFERROR(GETPIVOTDATA("Cuenta de CANT",Tabla9,"PROV",[2]Tablas!$A$117,"SEFIS",AZ$52,"CANT",[2]Tablas!$A83),0)</f>
        <v>0</v>
      </c>
      <c r="BA111" s="15">
        <f ca="1">IFERROR(GETPIVOTDATA("Cuenta de CANT",Tabla9,"PROV",[2]Tablas!$A$27,"SEFIS",BA$52,"CANT",[2]Tablas!$A83),0)+IFERROR(GETPIVOTDATA("Cuenta de CANT",Tabla9,"PROV",[2]Tablas!$A$49,"SEFIS",BA$52,"CANT",[2]Tablas!$A83),0)+IFERROR(GETPIVOTDATA("Cuenta de CANT",Tabla9,"PROV",[2]Tablas!$A$67,"SEFIS",BA$52,"CANT",[2]Tablas!$A83),0)+IFERROR(GETPIVOTDATA("Cuenta de CANT",Tabla9,"PROV",[2]Tablas!$A$77,"SEFIS",BA$52,"CANT",[2]Tablas!$A83),0)+IFERROR(GETPIVOTDATA("Cuenta de CANT",Tabla9,"PROV",[2]Tablas!$A$89,"SEFIS",BA$52,"CANT",[2]Tablas!$A83),0)+IFERROR(GETPIVOTDATA("Cuenta de CANT",Tabla9,"PROV",[2]Tablas!$A$102,"SEFIS",BA$52,"CANT",[2]Tablas!$A83),0)+IFERROR(GETPIVOTDATA("Cuenta de CANT",Tabla9,"PROV",[2]Tablas!$A$117,"SEFIS",BA$52,"CANT",[2]Tablas!$A83),0)</f>
        <v>0</v>
      </c>
      <c r="BB111" s="15">
        <f ca="1">IFERROR(GETPIVOTDATA("Cuenta de CANT",Tabla9,"PROV",[2]Tablas!$A$27,"SEFIS",BB$52,"CANT",[2]Tablas!$A83),0)+IFERROR(GETPIVOTDATA("Cuenta de CANT",Tabla9,"PROV",[2]Tablas!$A$49,"SEFIS",BB$52,"CANT",[2]Tablas!$A83),0)+IFERROR(GETPIVOTDATA("Cuenta de CANT",Tabla9,"PROV",[2]Tablas!$A$67,"SEFIS",BB$52,"CANT",[2]Tablas!$A83),0)+IFERROR(GETPIVOTDATA("Cuenta de CANT",Tabla9,"PROV",[2]Tablas!$A$77,"SEFIS",BB$52,"CANT",[2]Tablas!$A83),0)+IFERROR(GETPIVOTDATA("Cuenta de CANT",Tabla9,"PROV",[2]Tablas!$A$89,"SEFIS",BB$52,"CANT",[2]Tablas!$A83),0)+IFERROR(GETPIVOTDATA("Cuenta de CANT",Tabla9,"PROV",[2]Tablas!$A$102,"SEFIS",BB$52,"CANT",[2]Tablas!$A83),0)+IFERROR(GETPIVOTDATA("Cuenta de CANT",Tabla9,"PROV",[2]Tablas!$A$117,"SEFIS",BB$52,"CANT",[2]Tablas!$A83),0)</f>
        <v>0</v>
      </c>
      <c r="BC111" s="15">
        <f ca="1">IFERROR(GETPIVOTDATA("Cuenta de CANT",Tabla9,"PROV",[2]Tablas!$A$27,"SEFIS",BC$52,"CANT",[2]Tablas!$A83),0)+IFERROR(GETPIVOTDATA("Cuenta de CANT",Tabla9,"PROV",[2]Tablas!$A$49,"SEFIS",BC$52,"CANT",[2]Tablas!$A83),0)+IFERROR(GETPIVOTDATA("Cuenta de CANT",Tabla9,"PROV",[2]Tablas!$A$67,"SEFIS",BC$52,"CANT",[2]Tablas!$A83),0)+IFERROR(GETPIVOTDATA("Cuenta de CANT",Tabla9,"PROV",[2]Tablas!$A$77,"SEFIS",BC$52,"CANT",[2]Tablas!$A83),0)+IFERROR(GETPIVOTDATA("Cuenta de CANT",Tabla9,"PROV",[2]Tablas!$A$89,"SEFIS",BC$52,"CANT",[2]Tablas!$A83),0)+IFERROR(GETPIVOTDATA("Cuenta de CANT",Tabla9,"PROV",[2]Tablas!$A$102,"SEFIS",BC$52,"CANT",[2]Tablas!$A83),0)+IFERROR(GETPIVOTDATA("Cuenta de CANT",Tabla9,"PROV",[2]Tablas!$A$117,"SEFIS",BC$52,"CANT",[2]Tablas!$A83),0)</f>
        <v>0</v>
      </c>
      <c r="BD111" s="15">
        <f ca="1">IFERROR(GETPIVOTDATA("Cuenta de CANT",Tabla9,"PROV",[2]Tablas!$A$27,"SEFIS",BD$52,"CANT",[2]Tablas!$A83),0)+IFERROR(GETPIVOTDATA("Cuenta de CANT",Tabla9,"PROV",[2]Tablas!$A$49,"SEFIS",BD$52,"CANT",[2]Tablas!$A83),0)+IFERROR(GETPIVOTDATA("Cuenta de CANT",Tabla9,"PROV",[2]Tablas!$A$67,"SEFIS",BD$52,"CANT",[2]Tablas!$A83),0)+IFERROR(GETPIVOTDATA("Cuenta de CANT",Tabla9,"PROV",[2]Tablas!$A$77,"SEFIS",BD$52,"CANT",[2]Tablas!$A83),0)+IFERROR(GETPIVOTDATA("Cuenta de CANT",Tabla9,"PROV",[2]Tablas!$A$89,"SEFIS",BD$52,"CANT",[2]Tablas!$A83),0)+IFERROR(GETPIVOTDATA("Cuenta de CANT",Tabla9,"PROV",[2]Tablas!$A$102,"SEFIS",BD$52,"CANT",[2]Tablas!$A83),0)+IFERROR(GETPIVOTDATA("Cuenta de CANT",Tabla9,"PROV",[2]Tablas!$A$117,"SEFIS",BD$52,"CANT",[2]Tablas!$A83),0)</f>
        <v>0</v>
      </c>
    </row>
    <row r="112" spans="1:56" x14ac:dyDescent="0.35">
      <c r="A112" s="17" t="s">
        <v>100</v>
      </c>
      <c r="B112" s="18"/>
      <c r="C112" s="18"/>
      <c r="D112" s="18"/>
      <c r="E112" s="18"/>
      <c r="F112" s="18"/>
      <c r="G112" s="18"/>
      <c r="H112" s="18"/>
      <c r="I112" s="18"/>
      <c r="J112" s="18"/>
      <c r="K112" s="18"/>
      <c r="L112" s="18"/>
      <c r="M112" s="18"/>
      <c r="N112" s="18"/>
      <c r="O112" s="18"/>
      <c r="P112" s="18"/>
      <c r="Q112" s="18"/>
      <c r="R112" s="18"/>
      <c r="S112" s="18"/>
      <c r="T112" s="18"/>
      <c r="U112" s="18"/>
      <c r="V112" s="18"/>
      <c r="W112" s="18"/>
      <c r="X112" s="18"/>
      <c r="Y112" s="18"/>
      <c r="Z112" s="18"/>
      <c r="AA112" s="18"/>
      <c r="AB112" s="18"/>
      <c r="AC112" s="18"/>
      <c r="AD112" s="18"/>
      <c r="AE112" s="18"/>
      <c r="AF112" s="18"/>
      <c r="AG112" s="18"/>
      <c r="AH112" s="18"/>
      <c r="AI112" s="18"/>
      <c r="AJ112" s="18"/>
      <c r="AK112" s="18"/>
      <c r="AL112" s="18"/>
      <c r="AM112" s="18"/>
      <c r="AN112" s="18"/>
      <c r="AO112" s="18"/>
      <c r="AP112" s="18"/>
      <c r="AQ112" s="18"/>
      <c r="AR112" s="18"/>
      <c r="AS112" s="18"/>
      <c r="AT112" s="18"/>
      <c r="AU112" s="18"/>
      <c r="AV112" s="18"/>
      <c r="AW112" s="18"/>
      <c r="AX112" s="18"/>
      <c r="AY112" s="18"/>
      <c r="AZ112" s="18"/>
      <c r="BA112" s="18"/>
      <c r="BB112" s="18"/>
      <c r="BC112" s="18"/>
      <c r="BD112" s="18"/>
    </row>
    <row r="113" spans="1:56" x14ac:dyDescent="0.35">
      <c r="A113" s="14" t="s">
        <v>103</v>
      </c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/>
      <c r="BB113" s="2"/>
      <c r="BC113" s="2"/>
      <c r="BD113" s="2"/>
    </row>
    <row r="114" spans="1:56" x14ac:dyDescent="0.35">
      <c r="A114" s="19"/>
      <c r="B114" s="19"/>
      <c r="C114" s="19"/>
      <c r="D114" s="19"/>
      <c r="E114" s="19"/>
      <c r="F114" s="19"/>
      <c r="G114" s="19"/>
      <c r="H114" s="19"/>
      <c r="I114" s="19"/>
      <c r="J114" s="19"/>
      <c r="K114" s="19"/>
      <c r="L114" s="19"/>
      <c r="M114" s="19"/>
      <c r="N114" s="19"/>
      <c r="O114" s="19"/>
      <c r="P114" s="19"/>
      <c r="Q114" s="19"/>
      <c r="R114" s="19"/>
      <c r="S114" s="19"/>
      <c r="T114" s="19"/>
      <c r="U114" s="19"/>
      <c r="V114" s="19"/>
      <c r="W114" s="19"/>
      <c r="X114" s="19"/>
      <c r="Y114" s="19"/>
      <c r="Z114" s="19"/>
      <c r="AA114" s="19"/>
      <c r="AB114" s="19"/>
      <c r="AC114" s="19"/>
      <c r="AD114" s="19"/>
      <c r="AE114" s="19"/>
      <c r="AF114" s="19"/>
      <c r="AG114" s="19"/>
      <c r="AH114" s="19"/>
      <c r="AI114" s="19"/>
      <c r="AJ114" s="19"/>
      <c r="AK114" s="19"/>
      <c r="AL114" s="19"/>
      <c r="AM114" s="19"/>
      <c r="AN114" s="19"/>
      <c r="AO114" s="19"/>
      <c r="AP114" s="19"/>
      <c r="AQ114" s="19"/>
      <c r="AR114" s="19"/>
      <c r="AS114" s="19"/>
      <c r="AT114" s="19"/>
      <c r="AU114" s="19"/>
      <c r="AV114" s="19"/>
      <c r="AW114" s="19"/>
      <c r="AX114" s="19"/>
      <c r="AY114" s="19"/>
      <c r="AZ114" s="19"/>
      <c r="BA114" s="19"/>
      <c r="BB114" s="19"/>
      <c r="BC114" s="19"/>
      <c r="BD114" s="19"/>
    </row>
    <row r="115" spans="1:56" x14ac:dyDescent="0.35">
      <c r="A115" s="14" t="s">
        <v>308</v>
      </c>
      <c r="B115">
        <f>B88+B99</f>
        <v>377</v>
      </c>
      <c r="C115" t="s">
        <v>106</v>
      </c>
      <c r="D115">
        <f t="shared" ref="C115:BD115" si="15">D88+D99</f>
        <v>1</v>
      </c>
      <c r="E115">
        <f t="shared" si="15"/>
        <v>3</v>
      </c>
      <c r="F115">
        <f t="shared" si="15"/>
        <v>0</v>
      </c>
      <c r="G115">
        <f t="shared" si="15"/>
        <v>0</v>
      </c>
      <c r="H115">
        <f t="shared" si="15"/>
        <v>0</v>
      </c>
      <c r="I115">
        <f t="shared" si="15"/>
        <v>1</v>
      </c>
      <c r="J115">
        <f t="shared" si="15"/>
        <v>1</v>
      </c>
      <c r="K115">
        <f t="shared" si="15"/>
        <v>1</v>
      </c>
      <c r="L115">
        <f t="shared" si="15"/>
        <v>3</v>
      </c>
      <c r="M115">
        <f t="shared" si="15"/>
        <v>3</v>
      </c>
      <c r="N115">
        <f t="shared" si="15"/>
        <v>2</v>
      </c>
      <c r="O115">
        <f t="shared" si="15"/>
        <v>1</v>
      </c>
      <c r="P115">
        <f t="shared" si="15"/>
        <v>0</v>
      </c>
      <c r="Q115">
        <f t="shared" si="15"/>
        <v>1</v>
      </c>
      <c r="R115">
        <f t="shared" si="15"/>
        <v>0</v>
      </c>
      <c r="S115">
        <f t="shared" si="15"/>
        <v>1</v>
      </c>
      <c r="T115">
        <f t="shared" si="15"/>
        <v>0</v>
      </c>
      <c r="U115">
        <f t="shared" si="15"/>
        <v>0</v>
      </c>
      <c r="V115">
        <f t="shared" si="15"/>
        <v>0</v>
      </c>
      <c r="W115">
        <f t="shared" si="15"/>
        <v>0</v>
      </c>
      <c r="X115">
        <f t="shared" si="15"/>
        <v>1</v>
      </c>
      <c r="Y115">
        <f t="shared" si="15"/>
        <v>7</v>
      </c>
      <c r="Z115">
        <f t="shared" si="15"/>
        <v>4</v>
      </c>
      <c r="AA115">
        <f t="shared" si="15"/>
        <v>6</v>
      </c>
      <c r="AB115">
        <f t="shared" si="15"/>
        <v>0</v>
      </c>
      <c r="AC115">
        <f t="shared" si="15"/>
        <v>4</v>
      </c>
      <c r="AD115">
        <f t="shared" si="15"/>
        <v>5</v>
      </c>
      <c r="AE115">
        <f t="shared" si="15"/>
        <v>2</v>
      </c>
      <c r="AF115">
        <f t="shared" si="15"/>
        <v>6</v>
      </c>
      <c r="AG115">
        <f t="shared" si="15"/>
        <v>5</v>
      </c>
      <c r="AH115">
        <f t="shared" si="15"/>
        <v>10</v>
      </c>
      <c r="AI115">
        <f t="shared" si="15"/>
        <v>11</v>
      </c>
      <c r="AJ115">
        <f t="shared" si="15"/>
        <v>16</v>
      </c>
      <c r="AK115">
        <f t="shared" si="15"/>
        <v>14</v>
      </c>
      <c r="AL115">
        <f t="shared" si="15"/>
        <v>18</v>
      </c>
      <c r="AM115">
        <f t="shared" si="15"/>
        <v>18</v>
      </c>
      <c r="AN115">
        <f t="shared" si="15"/>
        <v>6</v>
      </c>
      <c r="AO115">
        <f t="shared" si="15"/>
        <v>11</v>
      </c>
      <c r="AP115">
        <f t="shared" si="15"/>
        <v>17</v>
      </c>
      <c r="AQ115">
        <f t="shared" si="15"/>
        <v>12</v>
      </c>
      <c r="AR115">
        <f t="shared" si="15"/>
        <v>16</v>
      </c>
      <c r="AS115">
        <f t="shared" si="15"/>
        <v>11</v>
      </c>
      <c r="AT115">
        <f t="shared" si="15"/>
        <v>9</v>
      </c>
      <c r="AU115">
        <f t="shared" si="15"/>
        <v>22</v>
      </c>
      <c r="AV115">
        <f t="shared" si="15"/>
        <v>8</v>
      </c>
      <c r="AW115">
        <f t="shared" si="15"/>
        <v>22</v>
      </c>
      <c r="AX115">
        <f t="shared" si="15"/>
        <v>17</v>
      </c>
      <c r="AY115">
        <f t="shared" si="15"/>
        <v>15</v>
      </c>
      <c r="AZ115">
        <f t="shared" si="15"/>
        <v>23</v>
      </c>
      <c r="BA115">
        <f t="shared" si="15"/>
        <v>17</v>
      </c>
      <c r="BB115">
        <f t="shared" si="15"/>
        <v>17</v>
      </c>
      <c r="BC115">
        <f t="shared" si="15"/>
        <v>9</v>
      </c>
      <c r="BD115">
        <f t="shared" si="15"/>
        <v>0</v>
      </c>
    </row>
    <row r="116" spans="1:56" x14ac:dyDescent="0.35">
      <c r="A116" s="14" t="s">
        <v>309</v>
      </c>
      <c r="B116">
        <f>B94+B100</f>
        <v>42</v>
      </c>
      <c r="C116" t="s">
        <v>106</v>
      </c>
      <c r="D116">
        <f t="shared" ref="C116:BD116" si="16">D94+D100</f>
        <v>0</v>
      </c>
      <c r="E116">
        <f t="shared" si="16"/>
        <v>2</v>
      </c>
      <c r="F116">
        <f t="shared" si="16"/>
        <v>0</v>
      </c>
      <c r="G116">
        <f t="shared" si="16"/>
        <v>0</v>
      </c>
      <c r="H116">
        <f t="shared" si="16"/>
        <v>0</v>
      </c>
      <c r="I116">
        <f t="shared" si="16"/>
        <v>0</v>
      </c>
      <c r="J116">
        <f t="shared" si="16"/>
        <v>0</v>
      </c>
      <c r="K116">
        <f t="shared" si="16"/>
        <v>1</v>
      </c>
      <c r="L116">
        <f t="shared" si="16"/>
        <v>1</v>
      </c>
      <c r="M116">
        <f t="shared" si="16"/>
        <v>0</v>
      </c>
      <c r="N116">
        <f t="shared" si="16"/>
        <v>0</v>
      </c>
      <c r="O116">
        <f t="shared" si="16"/>
        <v>0</v>
      </c>
      <c r="P116">
        <f t="shared" si="16"/>
        <v>0</v>
      </c>
      <c r="Q116">
        <f t="shared" si="16"/>
        <v>0</v>
      </c>
      <c r="R116">
        <f t="shared" si="16"/>
        <v>0</v>
      </c>
      <c r="S116">
        <f t="shared" si="16"/>
        <v>1</v>
      </c>
      <c r="T116">
        <f t="shared" si="16"/>
        <v>0</v>
      </c>
      <c r="U116">
        <f t="shared" si="16"/>
        <v>1</v>
      </c>
      <c r="V116">
        <f t="shared" si="16"/>
        <v>0</v>
      </c>
      <c r="W116">
        <f t="shared" si="16"/>
        <v>0</v>
      </c>
      <c r="X116">
        <f t="shared" si="16"/>
        <v>0</v>
      </c>
      <c r="Y116">
        <f t="shared" si="16"/>
        <v>0</v>
      </c>
      <c r="Z116">
        <f t="shared" si="16"/>
        <v>1</v>
      </c>
      <c r="AA116">
        <f t="shared" si="16"/>
        <v>0</v>
      </c>
      <c r="AB116">
        <f t="shared" si="16"/>
        <v>0</v>
      </c>
      <c r="AC116">
        <f t="shared" si="16"/>
        <v>0</v>
      </c>
      <c r="AD116">
        <f t="shared" si="16"/>
        <v>0</v>
      </c>
      <c r="AE116">
        <f t="shared" si="16"/>
        <v>1</v>
      </c>
      <c r="AF116">
        <f t="shared" si="16"/>
        <v>0</v>
      </c>
      <c r="AG116">
        <f t="shared" si="16"/>
        <v>1</v>
      </c>
      <c r="AH116">
        <f t="shared" si="16"/>
        <v>2</v>
      </c>
      <c r="AI116">
        <f t="shared" si="16"/>
        <v>0</v>
      </c>
      <c r="AJ116">
        <f t="shared" si="16"/>
        <v>1</v>
      </c>
      <c r="AK116">
        <f t="shared" si="16"/>
        <v>0</v>
      </c>
      <c r="AL116">
        <f t="shared" si="16"/>
        <v>0</v>
      </c>
      <c r="AM116">
        <f t="shared" si="16"/>
        <v>1</v>
      </c>
      <c r="AN116">
        <f t="shared" si="16"/>
        <v>0</v>
      </c>
      <c r="AO116">
        <f t="shared" si="16"/>
        <v>0</v>
      </c>
      <c r="AP116">
        <f t="shared" si="16"/>
        <v>0</v>
      </c>
      <c r="AQ116">
        <f t="shared" si="16"/>
        <v>1</v>
      </c>
      <c r="AR116">
        <f t="shared" si="16"/>
        <v>7</v>
      </c>
      <c r="AS116">
        <f t="shared" si="16"/>
        <v>1</v>
      </c>
      <c r="AT116">
        <f t="shared" si="16"/>
        <v>3</v>
      </c>
      <c r="AU116">
        <f t="shared" si="16"/>
        <v>2</v>
      </c>
      <c r="AV116">
        <f t="shared" si="16"/>
        <v>3</v>
      </c>
      <c r="AW116">
        <f t="shared" si="16"/>
        <v>2</v>
      </c>
      <c r="AX116">
        <f t="shared" si="16"/>
        <v>2</v>
      </c>
      <c r="AY116">
        <f t="shared" si="16"/>
        <v>1</v>
      </c>
      <c r="AZ116">
        <f t="shared" si="16"/>
        <v>1</v>
      </c>
      <c r="BA116">
        <f t="shared" si="16"/>
        <v>3</v>
      </c>
      <c r="BB116">
        <f t="shared" si="16"/>
        <v>0</v>
      </c>
      <c r="BC116">
        <f t="shared" si="16"/>
        <v>3</v>
      </c>
      <c r="BD116">
        <f t="shared" si="16"/>
        <v>0</v>
      </c>
    </row>
  </sheetData>
  <mergeCells count="58">
    <mergeCell ref="AT7:AT8"/>
    <mergeCell ref="AU7:AU8"/>
    <mergeCell ref="AV7:AV8"/>
    <mergeCell ref="AW7:AW8"/>
    <mergeCell ref="AP7:AP8"/>
    <mergeCell ref="AQ7:AQ8"/>
    <mergeCell ref="AR7:AR8"/>
    <mergeCell ref="AS7:AS8"/>
    <mergeCell ref="T7:T8"/>
    <mergeCell ref="U7:U8"/>
    <mergeCell ref="AK7:AK8"/>
    <mergeCell ref="AL7:AL8"/>
    <mergeCell ref="AM7:AM8"/>
    <mergeCell ref="V7:V8"/>
    <mergeCell ref="W7:W8"/>
    <mergeCell ref="X7:X8"/>
    <mergeCell ref="Y7:Y8"/>
    <mergeCell ref="Z7:Z8"/>
    <mergeCell ref="AA7:AA8"/>
    <mergeCell ref="AB7:AB8"/>
    <mergeCell ref="AC7:AC8"/>
    <mergeCell ref="AD7:AD8"/>
    <mergeCell ref="AE7:AE8"/>
    <mergeCell ref="AF7:AF8"/>
    <mergeCell ref="O7:O8"/>
    <mergeCell ref="P7:P8"/>
    <mergeCell ref="Q7:Q8"/>
    <mergeCell ref="R7:R8"/>
    <mergeCell ref="S7:S8"/>
    <mergeCell ref="A6:A8"/>
    <mergeCell ref="B6:C6"/>
    <mergeCell ref="D6:BD6"/>
    <mergeCell ref="B7:B8"/>
    <mergeCell ref="C7:C8"/>
    <mergeCell ref="D7:D8"/>
    <mergeCell ref="E7:E8"/>
    <mergeCell ref="F7:F8"/>
    <mergeCell ref="G7:G8"/>
    <mergeCell ref="H7:H8"/>
    <mergeCell ref="I7:I8"/>
    <mergeCell ref="J7:J8"/>
    <mergeCell ref="K7:K8"/>
    <mergeCell ref="L7:L8"/>
    <mergeCell ref="M7:M8"/>
    <mergeCell ref="N7:N8"/>
    <mergeCell ref="AG7:AG8"/>
    <mergeCell ref="AH7:AH8"/>
    <mergeCell ref="AI7:AI8"/>
    <mergeCell ref="AJ7:AJ8"/>
    <mergeCell ref="AO7:AO8"/>
    <mergeCell ref="AN7:AN8"/>
    <mergeCell ref="BC7:BC8"/>
    <mergeCell ref="BD7:BD8"/>
    <mergeCell ref="AX7:AX8"/>
    <mergeCell ref="AY7:AY8"/>
    <mergeCell ref="AZ7:AZ8"/>
    <mergeCell ref="BA7:BA8"/>
    <mergeCell ref="BB7:BB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10</vt:i4>
      </vt:variant>
    </vt:vector>
  </HeadingPairs>
  <TitlesOfParts>
    <vt:vector size="10" baseType="lpstr">
      <vt:lpstr>2011-2016</vt:lpstr>
      <vt:lpstr>2017</vt:lpstr>
      <vt:lpstr>2018</vt:lpstr>
      <vt:lpstr>2019</vt:lpstr>
      <vt:lpstr>2020</vt:lpstr>
      <vt:lpstr>2021</vt:lpstr>
      <vt:lpstr>2022</vt:lpstr>
      <vt:lpstr>2023</vt:lpstr>
      <vt:lpstr>2024</vt:lpstr>
      <vt:lpstr>2025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Adrian Montero</dc:creator>
  <cp:keywords/>
  <dc:description/>
  <cp:lastModifiedBy>MARIANNE ALESANDRA PEÑA WUST</cp:lastModifiedBy>
  <cp:revision/>
  <dcterms:created xsi:type="dcterms:W3CDTF">2015-06-05T18:17:20Z</dcterms:created>
  <dcterms:modified xsi:type="dcterms:W3CDTF">2026-06-09T17:41:11Z</dcterms:modified>
  <cp:category/>
  <cp:contentStatus/>
</cp:coreProperties>
</file>